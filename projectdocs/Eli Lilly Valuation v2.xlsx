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gowustl-my.sharepoint.com/personal/a_ramabadran_wustl_edu/Documents/Semester 4/Fin340/Project 2/"/>
    </mc:Choice>
  </mc:AlternateContent>
  <xr:revisionPtr revIDLastSave="2110" documentId="8_{E7EFB942-367C-44AD-A803-25AC6D6612FA}" xr6:coauthVersionLast="47" xr6:coauthVersionMax="47" xr10:uidLastSave="{28A02389-47D5-45B5-B326-9943F4867748}"/>
  <bookViews>
    <workbookView xWindow="0" yWindow="0" windowWidth="28725" windowHeight="15480" tabRatio="811" xr2:uid="{53563A1D-5D35-4FC3-A5C7-E8744A20A2A8}"/>
  </bookViews>
  <sheets>
    <sheet name="Valuation Summary" sheetId="8" r:id="rId1"/>
    <sheet name="Multiples Valuation" sheetId="9" r:id="rId2"/>
    <sheet name="CAPM and WACC" sheetId="10" r:id="rId3"/>
    <sheet name="Free Cash Flow Valuation" sheetId="11" r:id="rId4"/>
    <sheet name="JNJ" sheetId="13" r:id="rId5"/>
    <sheet name="MRK" sheetId="15" r:id="rId6"/>
    <sheet name="PFE" sheetId="16" r:id="rId7"/>
    <sheet name="BMY" sheetId="12" r:id="rId8"/>
    <sheet name="VTRS" sheetId="19" r:id="rId9"/>
    <sheet name="OGN" sheetId="17" r:id="rId10"/>
    <sheet name="PRGO" sheetId="18" r:id="rId11"/>
    <sheet name="LLY" sheetId="14" r:id="rId12"/>
    <sheet name="Tax Rates" sheetId="22" r:id="rId13"/>
    <sheet name="Decimal Format" sheetId="20" r:id="rId14"/>
    <sheet name="Excess Returns and Beta" sheetId="21" r:id="rId15"/>
    <sheet name="Comps Selection" sheetId="5" r:id="rId16"/>
    <sheet name="Comps Valuation" sheetId="1" r:id="rId17"/>
    <sheet name="Comps Cap Structure" sheetId="7" r:id="rId18"/>
    <sheet name="Screening" sheetId="3" r:id="rId19"/>
    <sheet name="holdings" sheetId="4" r:id="rId20"/>
    <sheet name="Industry" sheetId="2" r:id="rId21"/>
  </sheets>
  <definedNames>
    <definedName name="_xlnm._FilterDatabase" localSheetId="18" hidden="1">Screening!$A$8:$S$8</definedName>
    <definedName name="_xlnm._FilterDatabase" localSheetId="12" hidden="1">'Tax Rates'!$A$8:$C$33</definedName>
    <definedName name="_xlnm.Print_Area" localSheetId="16">'Comps Valuation'!$A$1:$P$22</definedName>
    <definedName name="_xlnm.Print_Area" localSheetId="3">'Free Cash Flow Valuation'!$A$1:$S$52</definedName>
    <definedName name="_xlnm.Print_Area" localSheetId="1">'Multiples Valuation'!$A$1:$J$42</definedName>
    <definedName name="_xlnm.Print_Area" localSheetId="0">'Valuation Summary'!$A$1:$L$18</definedName>
    <definedName name="_xlnm.Print_Titles" localSheetId="18">Screening!$1:$3</definedName>
    <definedName name="_xlnm.Print_Titles" localSheetId="12">'Tax Rates'!$1:$3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0" l="1"/>
  <c r="D12" i="10"/>
  <c r="B12" i="10" l="1"/>
  <c r="C12" i="10" s="1"/>
  <c r="A12" i="10"/>
  <c r="B11" i="10"/>
  <c r="C11" i="10" s="1"/>
  <c r="A11" i="10"/>
  <c r="B37" i="9"/>
  <c r="A37" i="9"/>
  <c r="E24" i="9"/>
  <c r="E37" i="9" s="1"/>
  <c r="B24" i="9"/>
  <c r="A24" i="9"/>
  <c r="C24" i="9" s="1"/>
  <c r="G11" i="9"/>
  <c r="F11" i="9"/>
  <c r="H11" i="9" s="1"/>
  <c r="E11" i="9"/>
  <c r="B15" i="10"/>
  <c r="C15" i="10" s="1"/>
  <c r="A15" i="10"/>
  <c r="E12" i="8"/>
  <c r="E11" i="8"/>
  <c r="E9" i="8"/>
  <c r="E10" i="8"/>
  <c r="D27" i="11"/>
  <c r="C27" i="11"/>
  <c r="B27" i="11"/>
  <c r="C24" i="11"/>
  <c r="B24" i="11"/>
  <c r="D24" i="11"/>
  <c r="E13" i="11"/>
  <c r="D13" i="11"/>
  <c r="C13" i="11"/>
  <c r="B13" i="11"/>
  <c r="D12" i="11"/>
  <c r="C12" i="11"/>
  <c r="B12" i="11"/>
  <c r="E12" i="11"/>
  <c r="F27" i="11"/>
  <c r="E27" i="11"/>
  <c r="D16" i="11"/>
  <c r="C16" i="11"/>
  <c r="B16" i="11"/>
  <c r="E16" i="11"/>
  <c r="E24" i="11"/>
  <c r="B10" i="11"/>
  <c r="E10" i="11"/>
  <c r="D10" i="11"/>
  <c r="C10" i="11"/>
  <c r="F15" i="11"/>
  <c r="F12" i="11"/>
  <c r="F9" i="11"/>
  <c r="F24" i="11" s="1"/>
  <c r="G49" i="11"/>
  <c r="G47" i="11"/>
  <c r="I29" i="11"/>
  <c r="H24" i="11"/>
  <c r="G24" i="11"/>
  <c r="H29" i="11"/>
  <c r="G29" i="11"/>
  <c r="I26" i="11"/>
  <c r="H26" i="11"/>
  <c r="G26" i="11"/>
  <c r="I23" i="11"/>
  <c r="H23" i="11"/>
  <c r="G23" i="11"/>
  <c r="I18" i="11"/>
  <c r="H18" i="11"/>
  <c r="G18" i="11"/>
  <c r="G21" i="11" s="1"/>
  <c r="I15" i="11"/>
  <c r="H15" i="11"/>
  <c r="G15" i="11"/>
  <c r="I12" i="11"/>
  <c r="H12" i="11"/>
  <c r="G12" i="11"/>
  <c r="I9" i="11"/>
  <c r="J9" i="11" s="1"/>
  <c r="K9" i="11" s="1"/>
  <c r="L9" i="11" s="1"/>
  <c r="L23" i="11" s="1"/>
  <c r="H9" i="11"/>
  <c r="G9" i="11"/>
  <c r="H10" i="11" s="1"/>
  <c r="B28" i="10"/>
  <c r="B14" i="10"/>
  <c r="C14" i="10" s="1"/>
  <c r="A14" i="10"/>
  <c r="B13" i="10"/>
  <c r="C13" i="10" s="1"/>
  <c r="A13" i="10"/>
  <c r="B10" i="10"/>
  <c r="C10" i="10" s="1"/>
  <c r="A10" i="10"/>
  <c r="B9" i="10"/>
  <c r="C9" i="10" s="1"/>
  <c r="A9" i="10"/>
  <c r="AL126" i="21"/>
  <c r="Z126" i="21"/>
  <c r="N126" i="21"/>
  <c r="EO124" i="21"/>
  <c r="EN124" i="21"/>
  <c r="EM124" i="21"/>
  <c r="EL124" i="21"/>
  <c r="EK124" i="21"/>
  <c r="EJ124" i="21"/>
  <c r="EI124" i="21"/>
  <c r="EH124" i="21"/>
  <c r="EG124" i="21"/>
  <c r="EF124" i="21"/>
  <c r="EE124" i="21"/>
  <c r="ED124" i="21"/>
  <c r="EC124" i="21"/>
  <c r="EB124" i="21"/>
  <c r="EA124" i="21"/>
  <c r="DZ124" i="21"/>
  <c r="DY124" i="21"/>
  <c r="DX124" i="21"/>
  <c r="DW124" i="21"/>
  <c r="DV124" i="21"/>
  <c r="DU124" i="21"/>
  <c r="DT124" i="21"/>
  <c r="DS124" i="21"/>
  <c r="DR124" i="21"/>
  <c r="DQ124" i="21"/>
  <c r="DP124" i="21"/>
  <c r="DO124" i="21"/>
  <c r="DN124" i="21"/>
  <c r="DM124" i="21"/>
  <c r="DL124" i="21"/>
  <c r="DK124" i="21"/>
  <c r="DJ124" i="21"/>
  <c r="DI124" i="21"/>
  <c r="DH124" i="21"/>
  <c r="DG124" i="21"/>
  <c r="DF124" i="21"/>
  <c r="DE124" i="21"/>
  <c r="DD124" i="21"/>
  <c r="DC124" i="21"/>
  <c r="DB124" i="21"/>
  <c r="DA124" i="21"/>
  <c r="CZ124" i="21"/>
  <c r="CY124" i="21"/>
  <c r="CX124" i="21"/>
  <c r="CW124" i="21"/>
  <c r="CV124" i="21"/>
  <c r="CU124" i="21"/>
  <c r="CT124" i="21"/>
  <c r="CS124" i="21"/>
  <c r="CR124" i="21"/>
  <c r="CQ124" i="21"/>
  <c r="CP124" i="21"/>
  <c r="CO124" i="21"/>
  <c r="CN124" i="21"/>
  <c r="CM124" i="21"/>
  <c r="CL124" i="21"/>
  <c r="CK124" i="21"/>
  <c r="CJ124" i="21"/>
  <c r="CI124" i="21"/>
  <c r="CH124" i="21"/>
  <c r="CG124" i="21"/>
  <c r="CF124" i="21"/>
  <c r="CE124" i="21"/>
  <c r="CD124" i="21"/>
  <c r="CC124" i="21"/>
  <c r="CB124" i="21"/>
  <c r="CA124" i="21"/>
  <c r="BZ124" i="21"/>
  <c r="BY124" i="21"/>
  <c r="BX124" i="21"/>
  <c r="BW124" i="21"/>
  <c r="BV124" i="21"/>
  <c r="BU124" i="21"/>
  <c r="BT124" i="21"/>
  <c r="BS124" i="21"/>
  <c r="BR124" i="21"/>
  <c r="BQ124" i="21"/>
  <c r="BP124" i="21"/>
  <c r="BO124" i="21"/>
  <c r="BN124" i="21"/>
  <c r="BM124" i="21"/>
  <c r="BL124" i="21"/>
  <c r="BK124" i="21"/>
  <c r="BJ124" i="21"/>
  <c r="BI124" i="21"/>
  <c r="BH124" i="21"/>
  <c r="BG124" i="21"/>
  <c r="BF124" i="21"/>
  <c r="BE124" i="21"/>
  <c r="BD124" i="21"/>
  <c r="BC124" i="21"/>
  <c r="BB124" i="21"/>
  <c r="BA124"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EO123" i="21"/>
  <c r="EN123" i="21"/>
  <c r="EM123" i="21"/>
  <c r="EL123" i="21"/>
  <c r="EK123" i="21"/>
  <c r="EJ123" i="21"/>
  <c r="EI123" i="21"/>
  <c r="EH123" i="21"/>
  <c r="EG123" i="21"/>
  <c r="EF123" i="21"/>
  <c r="EE123" i="21"/>
  <c r="ED123" i="21"/>
  <c r="EC123" i="21"/>
  <c r="EB123" i="21"/>
  <c r="EA123" i="21"/>
  <c r="DZ123" i="21"/>
  <c r="DY123" i="21"/>
  <c r="DX123" i="21"/>
  <c r="DW123" i="21"/>
  <c r="DV123" i="21"/>
  <c r="DU123" i="21"/>
  <c r="DT123" i="21"/>
  <c r="DS123" i="21"/>
  <c r="DR123" i="21"/>
  <c r="DQ123" i="21"/>
  <c r="DP123" i="21"/>
  <c r="DO123" i="21"/>
  <c r="DN123" i="21"/>
  <c r="DM123" i="21"/>
  <c r="DL123" i="21"/>
  <c r="DK123" i="21"/>
  <c r="DJ123" i="21"/>
  <c r="DI123" i="21"/>
  <c r="DH123" i="21"/>
  <c r="DG123" i="21"/>
  <c r="DF123" i="21"/>
  <c r="DE123" i="21"/>
  <c r="DD123" i="21"/>
  <c r="DC123" i="21"/>
  <c r="DB123" i="21"/>
  <c r="DA123" i="21"/>
  <c r="CZ123" i="21"/>
  <c r="CY123" i="21"/>
  <c r="CX123" i="21"/>
  <c r="CW123" i="21"/>
  <c r="CV123" i="21"/>
  <c r="CU123" i="21"/>
  <c r="CT123" i="21"/>
  <c r="CS123" i="21"/>
  <c r="CR123" i="21"/>
  <c r="CQ123" i="21"/>
  <c r="CP123" i="21"/>
  <c r="CO123" i="21"/>
  <c r="CN123" i="21"/>
  <c r="CM123" i="21"/>
  <c r="CL123" i="21"/>
  <c r="CK123" i="21"/>
  <c r="CJ123" i="21"/>
  <c r="CI123" i="21"/>
  <c r="CH123" i="21"/>
  <c r="CG123" i="21"/>
  <c r="CF123" i="21"/>
  <c r="CE123" i="21"/>
  <c r="CD123" i="21"/>
  <c r="CC123" i="21"/>
  <c r="CB123" i="21"/>
  <c r="CA123" i="21"/>
  <c r="BZ123" i="21"/>
  <c r="BY123" i="21"/>
  <c r="BX123" i="21"/>
  <c r="BW123" i="21"/>
  <c r="BV123" i="21"/>
  <c r="BU123" i="21"/>
  <c r="BT123" i="21"/>
  <c r="BS123" i="21"/>
  <c r="BR123" i="21"/>
  <c r="BQ123" i="21"/>
  <c r="BP123" i="21"/>
  <c r="BO123" i="21"/>
  <c r="BN123" i="21"/>
  <c r="BM123" i="21"/>
  <c r="BL123" i="21"/>
  <c r="BK123" i="21"/>
  <c r="BJ123" i="21"/>
  <c r="BI123" i="21"/>
  <c r="BH123" i="21"/>
  <c r="BG123" i="21"/>
  <c r="BF123" i="21"/>
  <c r="BE123" i="21"/>
  <c r="BD123" i="21"/>
  <c r="BC123" i="21"/>
  <c r="BB123" i="21"/>
  <c r="BA123"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EO122" i="21"/>
  <c r="EN122" i="21"/>
  <c r="EM122" i="21"/>
  <c r="EL122" i="21"/>
  <c r="EK122" i="21"/>
  <c r="EJ122" i="21"/>
  <c r="EI122" i="21"/>
  <c r="EH122" i="21"/>
  <c r="EG122" i="21"/>
  <c r="EF122" i="21"/>
  <c r="EE122" i="21"/>
  <c r="ED122" i="21"/>
  <c r="EC122" i="21"/>
  <c r="EB122" i="21"/>
  <c r="EA122" i="21"/>
  <c r="DZ122" i="21"/>
  <c r="DY122" i="21"/>
  <c r="DX122" i="21"/>
  <c r="DW122" i="21"/>
  <c r="DV122" i="21"/>
  <c r="DU122" i="21"/>
  <c r="DT122" i="21"/>
  <c r="DS122" i="21"/>
  <c r="DR122" i="21"/>
  <c r="DQ122" i="21"/>
  <c r="DP122" i="21"/>
  <c r="DO122" i="21"/>
  <c r="DN122" i="21"/>
  <c r="DM122" i="21"/>
  <c r="DL122" i="21"/>
  <c r="DK122" i="21"/>
  <c r="DJ122" i="21"/>
  <c r="DI122" i="21"/>
  <c r="DH122" i="21"/>
  <c r="DG122" i="21"/>
  <c r="DF122" i="21"/>
  <c r="DE122" i="21"/>
  <c r="DD122" i="21"/>
  <c r="DC122" i="21"/>
  <c r="DB122" i="21"/>
  <c r="DA122" i="21"/>
  <c r="CZ122" i="21"/>
  <c r="CY122" i="21"/>
  <c r="CX122" i="21"/>
  <c r="CW122" i="21"/>
  <c r="CV122" i="21"/>
  <c r="CU122" i="21"/>
  <c r="CT122" i="21"/>
  <c r="CS122" i="21"/>
  <c r="CR122" i="21"/>
  <c r="CQ122" i="21"/>
  <c r="CP122" i="21"/>
  <c r="CO122" i="21"/>
  <c r="CN122" i="21"/>
  <c r="CM122" i="21"/>
  <c r="CL122" i="21"/>
  <c r="CK122" i="21"/>
  <c r="CJ122" i="21"/>
  <c r="CI122" i="21"/>
  <c r="CH122" i="21"/>
  <c r="CG122" i="21"/>
  <c r="CF122" i="21"/>
  <c r="CE122" i="21"/>
  <c r="CD122" i="21"/>
  <c r="CC122" i="21"/>
  <c r="CB122" i="21"/>
  <c r="CA122" i="21"/>
  <c r="BZ122" i="21"/>
  <c r="BY122" i="21"/>
  <c r="BX122" i="21"/>
  <c r="BW122" i="21"/>
  <c r="BV122" i="21"/>
  <c r="BU122" i="21"/>
  <c r="BT122" i="21"/>
  <c r="BS122" i="21"/>
  <c r="BR122" i="21"/>
  <c r="BQ122" i="21"/>
  <c r="BP122" i="21"/>
  <c r="BO122" i="21"/>
  <c r="BN122" i="21"/>
  <c r="BM122" i="21"/>
  <c r="BL122" i="21"/>
  <c r="BK122" i="21"/>
  <c r="BJ122" i="21"/>
  <c r="BI122" i="21"/>
  <c r="BH122" i="21"/>
  <c r="BG122" i="21"/>
  <c r="BF122" i="21"/>
  <c r="BE122" i="21"/>
  <c r="BD122" i="21"/>
  <c r="BC122" i="21"/>
  <c r="BB122" i="21"/>
  <c r="BA122"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EO121" i="21"/>
  <c r="EN121" i="21"/>
  <c r="EM121" i="21"/>
  <c r="EL121" i="21"/>
  <c r="EK121" i="21"/>
  <c r="EJ121" i="21"/>
  <c r="EI121" i="21"/>
  <c r="EH121" i="21"/>
  <c r="EG121" i="21"/>
  <c r="EF121" i="21"/>
  <c r="EE121" i="21"/>
  <c r="ED121" i="21"/>
  <c r="EC121" i="21"/>
  <c r="EB121" i="21"/>
  <c r="EA121" i="21"/>
  <c r="DZ121" i="21"/>
  <c r="DY121" i="21"/>
  <c r="DX121" i="21"/>
  <c r="DW121" i="21"/>
  <c r="DV121" i="21"/>
  <c r="DU121" i="21"/>
  <c r="DT121" i="21"/>
  <c r="DS121" i="21"/>
  <c r="DR121" i="21"/>
  <c r="DQ121" i="21"/>
  <c r="DP121" i="21"/>
  <c r="DO121" i="21"/>
  <c r="DN121" i="21"/>
  <c r="DM121" i="21"/>
  <c r="DL121" i="21"/>
  <c r="DK121" i="21"/>
  <c r="DJ121" i="21"/>
  <c r="DI121" i="21"/>
  <c r="DH121" i="21"/>
  <c r="DG121" i="21"/>
  <c r="DF121" i="21"/>
  <c r="DE121" i="21"/>
  <c r="DD121" i="21"/>
  <c r="DC121" i="21"/>
  <c r="DB121" i="21"/>
  <c r="DA121" i="21"/>
  <c r="CZ121" i="21"/>
  <c r="CY121" i="21"/>
  <c r="CX121" i="21"/>
  <c r="CW121" i="21"/>
  <c r="CV121" i="21"/>
  <c r="CU121" i="21"/>
  <c r="CT121" i="21"/>
  <c r="CS121" i="21"/>
  <c r="CR121" i="21"/>
  <c r="CQ121" i="21"/>
  <c r="CP121" i="21"/>
  <c r="CO121" i="21"/>
  <c r="CN121" i="21"/>
  <c r="CM121" i="21"/>
  <c r="CL121" i="21"/>
  <c r="CK121" i="21"/>
  <c r="CJ121" i="21"/>
  <c r="CI121" i="21"/>
  <c r="CH121" i="21"/>
  <c r="CG121" i="21"/>
  <c r="CF121" i="21"/>
  <c r="CE121" i="21"/>
  <c r="CD121" i="21"/>
  <c r="CC121" i="21"/>
  <c r="CB121" i="21"/>
  <c r="CA121" i="21"/>
  <c r="BZ121" i="21"/>
  <c r="BY121" i="21"/>
  <c r="BX121" i="21"/>
  <c r="BW121" i="21"/>
  <c r="BV121" i="21"/>
  <c r="BU121" i="21"/>
  <c r="BT121" i="21"/>
  <c r="BS121" i="21"/>
  <c r="BR121" i="21"/>
  <c r="BQ121" i="21"/>
  <c r="BP121" i="21"/>
  <c r="BO121" i="21"/>
  <c r="BN121" i="21"/>
  <c r="BM121" i="21"/>
  <c r="BL121" i="21"/>
  <c r="BK121" i="21"/>
  <c r="BJ121" i="21"/>
  <c r="BI121" i="21"/>
  <c r="BH121" i="21"/>
  <c r="BG121" i="21"/>
  <c r="BF121" i="21"/>
  <c r="BE121" i="21"/>
  <c r="BD121" i="21"/>
  <c r="BC121" i="21"/>
  <c r="BB121" i="21"/>
  <c r="BA121"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EO120" i="21"/>
  <c r="EN120" i="21"/>
  <c r="EM120" i="21"/>
  <c r="EL120" i="21"/>
  <c r="EK120" i="21"/>
  <c r="EJ120" i="21"/>
  <c r="EI120" i="21"/>
  <c r="EH120" i="21"/>
  <c r="EG120" i="21"/>
  <c r="EF120" i="21"/>
  <c r="EE120" i="21"/>
  <c r="ED120" i="21"/>
  <c r="EC120" i="21"/>
  <c r="EB120" i="21"/>
  <c r="EA120" i="21"/>
  <c r="DZ120" i="21"/>
  <c r="DY120" i="21"/>
  <c r="DX120" i="21"/>
  <c r="DW120" i="21"/>
  <c r="DV120" i="21"/>
  <c r="DU120" i="21"/>
  <c r="DT120" i="21"/>
  <c r="DS120" i="21"/>
  <c r="DR120" i="21"/>
  <c r="DQ120" i="21"/>
  <c r="DP120" i="21"/>
  <c r="DO120" i="21"/>
  <c r="DN120" i="21"/>
  <c r="DM120" i="21"/>
  <c r="DL120" i="21"/>
  <c r="DK120" i="21"/>
  <c r="DJ120" i="21"/>
  <c r="DI120" i="21"/>
  <c r="DH120" i="21"/>
  <c r="DG120" i="21"/>
  <c r="DF120" i="21"/>
  <c r="DE120" i="21"/>
  <c r="DD120" i="21"/>
  <c r="DC120" i="21"/>
  <c r="DB120" i="21"/>
  <c r="DA120" i="21"/>
  <c r="CZ120" i="21"/>
  <c r="CY120" i="21"/>
  <c r="CX120" i="21"/>
  <c r="CW120" i="21"/>
  <c r="CV120" i="21"/>
  <c r="CU120" i="21"/>
  <c r="CT120" i="21"/>
  <c r="CS120" i="21"/>
  <c r="CR120" i="21"/>
  <c r="CQ120" i="21"/>
  <c r="CP120" i="21"/>
  <c r="CO120" i="21"/>
  <c r="CN120" i="21"/>
  <c r="CM120" i="21"/>
  <c r="CL120" i="21"/>
  <c r="CK120" i="21"/>
  <c r="CJ120" i="21"/>
  <c r="CI120" i="21"/>
  <c r="CH120" i="21"/>
  <c r="CG120" i="21"/>
  <c r="CF120" i="21"/>
  <c r="CE120" i="21"/>
  <c r="CD120" i="21"/>
  <c r="CC120" i="21"/>
  <c r="CB120" i="21"/>
  <c r="CA120" i="21"/>
  <c r="BZ120" i="21"/>
  <c r="BY120" i="21"/>
  <c r="BX120" i="21"/>
  <c r="BW120" i="21"/>
  <c r="BV120" i="21"/>
  <c r="BU120" i="21"/>
  <c r="BT120" i="21"/>
  <c r="BS120" i="21"/>
  <c r="BR120" i="21"/>
  <c r="BQ120" i="21"/>
  <c r="BP120" i="21"/>
  <c r="BO120" i="21"/>
  <c r="BN120" i="21"/>
  <c r="BM120" i="21"/>
  <c r="BL120" i="21"/>
  <c r="BK120" i="21"/>
  <c r="BJ120" i="21"/>
  <c r="BI120" i="21"/>
  <c r="BH120" i="21"/>
  <c r="BG120" i="21"/>
  <c r="BF120" i="21"/>
  <c r="BE120" i="21"/>
  <c r="BD120" i="21"/>
  <c r="BC120" i="21"/>
  <c r="BB120" i="21"/>
  <c r="BA120"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EO119" i="21"/>
  <c r="EN119" i="21"/>
  <c r="EM119" i="21"/>
  <c r="EL119" i="21"/>
  <c r="EK119" i="21"/>
  <c r="EJ119" i="21"/>
  <c r="EI119" i="21"/>
  <c r="EH119" i="21"/>
  <c r="EG119" i="21"/>
  <c r="EF119" i="21"/>
  <c r="EE119" i="21"/>
  <c r="ED119" i="21"/>
  <c r="EC119" i="21"/>
  <c r="EB119" i="21"/>
  <c r="EA119" i="21"/>
  <c r="DZ119" i="21"/>
  <c r="DY119" i="21"/>
  <c r="DX119" i="21"/>
  <c r="DW119" i="21"/>
  <c r="DV119" i="21"/>
  <c r="DU119" i="21"/>
  <c r="DT119" i="21"/>
  <c r="DS119" i="21"/>
  <c r="DR119" i="21"/>
  <c r="DQ119" i="21"/>
  <c r="DP119" i="21"/>
  <c r="DO119" i="21"/>
  <c r="DN119" i="21"/>
  <c r="DM119" i="21"/>
  <c r="DL119" i="21"/>
  <c r="DK119" i="21"/>
  <c r="DJ119" i="21"/>
  <c r="DI119" i="21"/>
  <c r="DH119" i="21"/>
  <c r="DG119" i="21"/>
  <c r="DF119" i="21"/>
  <c r="DE119" i="21"/>
  <c r="DD119" i="21"/>
  <c r="DC119" i="21"/>
  <c r="DB119" i="21"/>
  <c r="DA119" i="21"/>
  <c r="CZ119" i="21"/>
  <c r="CY119" i="21"/>
  <c r="CX119" i="21"/>
  <c r="CW119" i="21"/>
  <c r="CV119" i="21"/>
  <c r="CU119" i="21"/>
  <c r="CT119" i="21"/>
  <c r="CS119" i="21"/>
  <c r="CR119" i="21"/>
  <c r="CQ119" i="21"/>
  <c r="CP119" i="21"/>
  <c r="CO119" i="21"/>
  <c r="CN119" i="21"/>
  <c r="CM119" i="21"/>
  <c r="CL119" i="21"/>
  <c r="CK119" i="21"/>
  <c r="CJ119" i="21"/>
  <c r="CI119" i="21"/>
  <c r="CH119" i="21"/>
  <c r="CG119" i="21"/>
  <c r="CF119" i="21"/>
  <c r="CE119" i="21"/>
  <c r="CD119" i="21"/>
  <c r="CC119" i="21"/>
  <c r="CB119" i="21"/>
  <c r="CA119" i="21"/>
  <c r="BZ119" i="21"/>
  <c r="BY119" i="21"/>
  <c r="BX119" i="21"/>
  <c r="BW119" i="21"/>
  <c r="BV119" i="21"/>
  <c r="BU119" i="21"/>
  <c r="BT119" i="21"/>
  <c r="BS119" i="21"/>
  <c r="BR119" i="21"/>
  <c r="BQ119" i="21"/>
  <c r="BP119" i="21"/>
  <c r="BO119" i="21"/>
  <c r="BN119" i="21"/>
  <c r="BM119" i="21"/>
  <c r="BL119" i="21"/>
  <c r="BK119" i="21"/>
  <c r="BJ119" i="21"/>
  <c r="BI119" i="21"/>
  <c r="BH119" i="21"/>
  <c r="BG119" i="21"/>
  <c r="BF119" i="21"/>
  <c r="BE119" i="21"/>
  <c r="BD119" i="21"/>
  <c r="BC119" i="21"/>
  <c r="BB119" i="21"/>
  <c r="BA119"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EO118" i="21"/>
  <c r="EN118" i="21"/>
  <c r="EM118" i="21"/>
  <c r="EL118" i="21"/>
  <c r="EK118" i="21"/>
  <c r="EJ118" i="21"/>
  <c r="EI118" i="21"/>
  <c r="EH118" i="21"/>
  <c r="EG118" i="21"/>
  <c r="EF118" i="21"/>
  <c r="EE118" i="21"/>
  <c r="ED118" i="21"/>
  <c r="EC118" i="21"/>
  <c r="EB118" i="21"/>
  <c r="EA118" i="21"/>
  <c r="DZ118" i="21"/>
  <c r="DY118" i="21"/>
  <c r="DX118" i="21"/>
  <c r="DW118" i="21"/>
  <c r="DV118" i="21"/>
  <c r="DU118" i="21"/>
  <c r="DT118" i="21"/>
  <c r="DS118" i="21"/>
  <c r="DR118" i="21"/>
  <c r="DQ118" i="21"/>
  <c r="DP118" i="21"/>
  <c r="DO118" i="21"/>
  <c r="DN118" i="21"/>
  <c r="DM118" i="21"/>
  <c r="DL118" i="21"/>
  <c r="DK118" i="21"/>
  <c r="DJ118" i="21"/>
  <c r="DI118" i="21"/>
  <c r="DH118" i="21"/>
  <c r="DG118" i="21"/>
  <c r="DF118" i="21"/>
  <c r="DE118" i="21"/>
  <c r="DD118" i="21"/>
  <c r="DC118" i="21"/>
  <c r="DB118" i="21"/>
  <c r="DA118" i="21"/>
  <c r="CZ118" i="21"/>
  <c r="CY118" i="21"/>
  <c r="CX118" i="21"/>
  <c r="CW118" i="21"/>
  <c r="CV118" i="21"/>
  <c r="CU118" i="21"/>
  <c r="CT118" i="21"/>
  <c r="CS118" i="21"/>
  <c r="CR118" i="21"/>
  <c r="CQ118" i="21"/>
  <c r="CP118" i="21"/>
  <c r="CO118" i="21"/>
  <c r="CN118" i="21"/>
  <c r="CM118" i="21"/>
  <c r="CL118" i="21"/>
  <c r="CK118" i="21"/>
  <c r="CJ118" i="21"/>
  <c r="CI118" i="21"/>
  <c r="CH118" i="21"/>
  <c r="CG118" i="21"/>
  <c r="CF118" i="21"/>
  <c r="CE118" i="21"/>
  <c r="CD118" i="21"/>
  <c r="CC118" i="21"/>
  <c r="CB118" i="21"/>
  <c r="CA118" i="21"/>
  <c r="BZ118" i="21"/>
  <c r="BY118" i="21"/>
  <c r="BX118" i="21"/>
  <c r="BW118" i="21"/>
  <c r="BV118" i="21"/>
  <c r="BU118" i="21"/>
  <c r="BT118" i="21"/>
  <c r="BS118" i="21"/>
  <c r="BR118" i="21"/>
  <c r="BQ118" i="21"/>
  <c r="BP118" i="21"/>
  <c r="BO118" i="21"/>
  <c r="BN118" i="21"/>
  <c r="BM118" i="21"/>
  <c r="BL118" i="21"/>
  <c r="BK118" i="21"/>
  <c r="BJ118" i="21"/>
  <c r="BI118" i="21"/>
  <c r="BH118" i="21"/>
  <c r="BG118" i="21"/>
  <c r="BF118" i="21"/>
  <c r="BE118" i="21"/>
  <c r="BD118" i="21"/>
  <c r="BC118" i="21"/>
  <c r="BB118" i="21"/>
  <c r="BA118"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EO117" i="21"/>
  <c r="EN117" i="21"/>
  <c r="EM117" i="21"/>
  <c r="EL117" i="21"/>
  <c r="EK117" i="21"/>
  <c r="EJ117" i="21"/>
  <c r="EI117" i="21"/>
  <c r="EH117" i="21"/>
  <c r="EG117" i="21"/>
  <c r="EF117" i="21"/>
  <c r="EE117" i="21"/>
  <c r="ED117" i="21"/>
  <c r="EC117" i="21"/>
  <c r="EB117" i="21"/>
  <c r="EA117" i="21"/>
  <c r="DZ117" i="21"/>
  <c r="DY117" i="21"/>
  <c r="DX117" i="21"/>
  <c r="DW117" i="21"/>
  <c r="DV117" i="21"/>
  <c r="DU117" i="21"/>
  <c r="DT117" i="21"/>
  <c r="DS117" i="21"/>
  <c r="DR117" i="21"/>
  <c r="DQ117" i="21"/>
  <c r="DP117" i="21"/>
  <c r="DO117" i="21"/>
  <c r="DN117" i="21"/>
  <c r="DM117" i="21"/>
  <c r="DL117" i="21"/>
  <c r="DK117" i="21"/>
  <c r="DJ117" i="21"/>
  <c r="DI117" i="21"/>
  <c r="DH117" i="21"/>
  <c r="DG117" i="21"/>
  <c r="DF117" i="21"/>
  <c r="DE117" i="21"/>
  <c r="DD117" i="21"/>
  <c r="DC117" i="21"/>
  <c r="DB117" i="21"/>
  <c r="DA117" i="21"/>
  <c r="CZ117" i="21"/>
  <c r="CY117" i="21"/>
  <c r="CX117" i="21"/>
  <c r="CW117" i="21"/>
  <c r="CV117" i="21"/>
  <c r="CU117" i="21"/>
  <c r="CT117" i="21"/>
  <c r="CS117" i="21"/>
  <c r="CR117" i="21"/>
  <c r="CQ117" i="21"/>
  <c r="CP117" i="21"/>
  <c r="CO117" i="21"/>
  <c r="CN117" i="21"/>
  <c r="CM117" i="21"/>
  <c r="CL117" i="21"/>
  <c r="CK117" i="21"/>
  <c r="CJ117" i="21"/>
  <c r="CI117" i="21"/>
  <c r="CH117" i="21"/>
  <c r="CG117" i="21"/>
  <c r="CF117" i="21"/>
  <c r="CE117" i="21"/>
  <c r="CD117" i="21"/>
  <c r="CC117" i="21"/>
  <c r="CB117" i="21"/>
  <c r="CA117" i="21"/>
  <c r="BZ117" i="21"/>
  <c r="BY117" i="21"/>
  <c r="BX117" i="21"/>
  <c r="BW117" i="21"/>
  <c r="BV117" i="21"/>
  <c r="BU117" i="21"/>
  <c r="BT117" i="21"/>
  <c r="BS117" i="21"/>
  <c r="BR117" i="21"/>
  <c r="BQ117" i="21"/>
  <c r="BP117" i="21"/>
  <c r="BO117" i="21"/>
  <c r="BN117" i="21"/>
  <c r="BM117" i="21"/>
  <c r="BL117" i="21"/>
  <c r="BK117" i="21"/>
  <c r="BJ117" i="21"/>
  <c r="BI117" i="21"/>
  <c r="BH117" i="21"/>
  <c r="BG117" i="21"/>
  <c r="BF117" i="21"/>
  <c r="BE117" i="21"/>
  <c r="BD117" i="21"/>
  <c r="BC117" i="21"/>
  <c r="BB117" i="21"/>
  <c r="BA117"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EO116" i="21"/>
  <c r="EN116" i="21"/>
  <c r="EM116" i="21"/>
  <c r="EL116" i="21"/>
  <c r="EK116" i="21"/>
  <c r="EJ116" i="21"/>
  <c r="EI116" i="21"/>
  <c r="EH116" i="21"/>
  <c r="EG116" i="21"/>
  <c r="EF116" i="21"/>
  <c r="EE116" i="21"/>
  <c r="ED116" i="21"/>
  <c r="EC116" i="21"/>
  <c r="EB116" i="21"/>
  <c r="EA116" i="21"/>
  <c r="DZ116" i="21"/>
  <c r="DY116" i="21"/>
  <c r="DX116" i="21"/>
  <c r="DW116" i="21"/>
  <c r="DV116" i="21"/>
  <c r="DU116" i="21"/>
  <c r="DT116" i="21"/>
  <c r="DS116" i="21"/>
  <c r="DR116" i="21"/>
  <c r="DQ116" i="21"/>
  <c r="DP116" i="21"/>
  <c r="DO116" i="21"/>
  <c r="DN116" i="21"/>
  <c r="DM116" i="21"/>
  <c r="DL116" i="21"/>
  <c r="DK116" i="21"/>
  <c r="DJ116" i="21"/>
  <c r="DI116" i="21"/>
  <c r="DH116" i="21"/>
  <c r="DG116" i="21"/>
  <c r="DF116" i="21"/>
  <c r="DE116" i="21"/>
  <c r="DD116" i="21"/>
  <c r="DC116" i="21"/>
  <c r="DB116" i="21"/>
  <c r="DA116" i="21"/>
  <c r="CZ116" i="21"/>
  <c r="CY116" i="21"/>
  <c r="CX116" i="21"/>
  <c r="CW116" i="21"/>
  <c r="CV116" i="21"/>
  <c r="CU116" i="21"/>
  <c r="CT116" i="21"/>
  <c r="CS116" i="21"/>
  <c r="CR116" i="21"/>
  <c r="CQ116" i="21"/>
  <c r="CP116" i="21"/>
  <c r="CO116" i="21"/>
  <c r="CN116" i="21"/>
  <c r="CM116" i="21"/>
  <c r="CL116" i="21"/>
  <c r="CK116" i="21"/>
  <c r="CJ116" i="21"/>
  <c r="CI116" i="21"/>
  <c r="CH116" i="21"/>
  <c r="CG116" i="21"/>
  <c r="CF116" i="21"/>
  <c r="CE116" i="21"/>
  <c r="CD116" i="21"/>
  <c r="CC116" i="21"/>
  <c r="CB116" i="21"/>
  <c r="CA116" i="21"/>
  <c r="BZ116" i="21"/>
  <c r="BY116" i="21"/>
  <c r="BX116" i="21"/>
  <c r="BW116" i="21"/>
  <c r="BV116" i="21"/>
  <c r="BU116" i="21"/>
  <c r="BT116" i="21"/>
  <c r="BS116" i="21"/>
  <c r="BR116" i="21"/>
  <c r="BQ116" i="21"/>
  <c r="BP116" i="21"/>
  <c r="BO116" i="21"/>
  <c r="BN116" i="21"/>
  <c r="BM116" i="21"/>
  <c r="BL116" i="21"/>
  <c r="BK116" i="21"/>
  <c r="BJ116" i="21"/>
  <c r="BI116" i="21"/>
  <c r="BH116" i="21"/>
  <c r="BG116" i="21"/>
  <c r="BF116" i="21"/>
  <c r="BE116" i="21"/>
  <c r="BD116" i="21"/>
  <c r="BC116" i="21"/>
  <c r="BB116" i="21"/>
  <c r="BA116"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EO115" i="21"/>
  <c r="EN115" i="21"/>
  <c r="EM115" i="21"/>
  <c r="EL115" i="21"/>
  <c r="EK115" i="21"/>
  <c r="EJ115" i="21"/>
  <c r="EI115" i="21"/>
  <c r="EH115" i="21"/>
  <c r="EG115" i="21"/>
  <c r="EF115" i="21"/>
  <c r="EE115" i="21"/>
  <c r="ED115" i="21"/>
  <c r="EC115" i="21"/>
  <c r="EB115" i="21"/>
  <c r="EA115" i="21"/>
  <c r="DZ115" i="21"/>
  <c r="DY115" i="21"/>
  <c r="DX115" i="21"/>
  <c r="DW115" i="21"/>
  <c r="DV115" i="21"/>
  <c r="DU115" i="21"/>
  <c r="DT115" i="21"/>
  <c r="DS115" i="21"/>
  <c r="DR115" i="21"/>
  <c r="DQ115" i="21"/>
  <c r="DP115" i="21"/>
  <c r="DO115" i="21"/>
  <c r="DN115" i="21"/>
  <c r="DM115" i="21"/>
  <c r="DL115" i="21"/>
  <c r="DK115" i="21"/>
  <c r="DJ115" i="21"/>
  <c r="DI115" i="21"/>
  <c r="DH115" i="21"/>
  <c r="DG115" i="21"/>
  <c r="DF115" i="21"/>
  <c r="DE115" i="21"/>
  <c r="DD115" i="21"/>
  <c r="DC115" i="21"/>
  <c r="DB115" i="21"/>
  <c r="DA115" i="21"/>
  <c r="CZ115" i="21"/>
  <c r="CY115" i="21"/>
  <c r="CX115" i="21"/>
  <c r="CW115" i="21"/>
  <c r="CV115" i="21"/>
  <c r="CU115" i="21"/>
  <c r="CT115" i="21"/>
  <c r="CS115" i="21"/>
  <c r="CR115" i="21"/>
  <c r="CQ115" i="21"/>
  <c r="CP115" i="21"/>
  <c r="CO115" i="21"/>
  <c r="CN115" i="21"/>
  <c r="CM115" i="21"/>
  <c r="CL115" i="21"/>
  <c r="CK115" i="21"/>
  <c r="CJ115" i="21"/>
  <c r="CI115" i="21"/>
  <c r="CH115" i="21"/>
  <c r="CG115" i="21"/>
  <c r="CF115" i="21"/>
  <c r="CE115" i="21"/>
  <c r="CD115" i="21"/>
  <c r="CC115" i="21"/>
  <c r="CB115" i="21"/>
  <c r="CA115" i="21"/>
  <c r="BZ115" i="21"/>
  <c r="BY115" i="21"/>
  <c r="BX115" i="21"/>
  <c r="BW115" i="21"/>
  <c r="BV115" i="21"/>
  <c r="BU115" i="21"/>
  <c r="BT115" i="21"/>
  <c r="BS115" i="21"/>
  <c r="BR115" i="21"/>
  <c r="BQ115" i="21"/>
  <c r="BP115" i="21"/>
  <c r="BO115" i="21"/>
  <c r="BN115" i="21"/>
  <c r="BM115" i="21"/>
  <c r="BL115" i="21"/>
  <c r="BK115" i="21"/>
  <c r="BJ115" i="21"/>
  <c r="BI115" i="21"/>
  <c r="BH115" i="21"/>
  <c r="BG115" i="21"/>
  <c r="BF115" i="21"/>
  <c r="BE115" i="21"/>
  <c r="BD115" i="21"/>
  <c r="BC115" i="21"/>
  <c r="BB115" i="21"/>
  <c r="BA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EO114" i="21"/>
  <c r="EN114" i="21"/>
  <c r="EM114" i="21"/>
  <c r="EL114" i="21"/>
  <c r="EK114" i="21"/>
  <c r="EJ114" i="21"/>
  <c r="EI114" i="21"/>
  <c r="EH114" i="21"/>
  <c r="EG114" i="21"/>
  <c r="EF114" i="21"/>
  <c r="EE114" i="21"/>
  <c r="ED114" i="21"/>
  <c r="EC114" i="21"/>
  <c r="EB114" i="21"/>
  <c r="EA114" i="21"/>
  <c r="DZ114" i="21"/>
  <c r="DY114" i="21"/>
  <c r="DX114" i="21"/>
  <c r="DW114" i="21"/>
  <c r="DV114" i="21"/>
  <c r="DU114" i="21"/>
  <c r="DT114" i="21"/>
  <c r="DS114" i="21"/>
  <c r="DR114" i="21"/>
  <c r="DQ114" i="21"/>
  <c r="DP114" i="21"/>
  <c r="DO114" i="21"/>
  <c r="DN114" i="21"/>
  <c r="DM114" i="21"/>
  <c r="DL114" i="21"/>
  <c r="DK114" i="21"/>
  <c r="DJ114" i="21"/>
  <c r="DI114" i="21"/>
  <c r="DH114" i="21"/>
  <c r="DG114" i="21"/>
  <c r="DF114" i="21"/>
  <c r="DE114" i="21"/>
  <c r="DD114" i="21"/>
  <c r="DC114" i="21"/>
  <c r="DB114" i="21"/>
  <c r="DA114" i="21"/>
  <c r="CZ114" i="21"/>
  <c r="CY114" i="21"/>
  <c r="CX114" i="21"/>
  <c r="CW114" i="21"/>
  <c r="CV114" i="21"/>
  <c r="CU114" i="21"/>
  <c r="CT114" i="21"/>
  <c r="CS114" i="21"/>
  <c r="CR114" i="21"/>
  <c r="CQ114" i="21"/>
  <c r="CP114" i="21"/>
  <c r="CO114" i="21"/>
  <c r="CN114" i="21"/>
  <c r="CM114" i="21"/>
  <c r="CL114" i="21"/>
  <c r="CK114" i="21"/>
  <c r="CJ114" i="21"/>
  <c r="CI114" i="21"/>
  <c r="CH114" i="21"/>
  <c r="CG114" i="21"/>
  <c r="CF114" i="21"/>
  <c r="CE114" i="21"/>
  <c r="CD114" i="21"/>
  <c r="CC114" i="21"/>
  <c r="CB114" i="21"/>
  <c r="CA114" i="21"/>
  <c r="BZ114" i="21"/>
  <c r="BY114" i="21"/>
  <c r="BX114" i="21"/>
  <c r="BW114" i="21"/>
  <c r="BV114" i="21"/>
  <c r="BU114" i="21"/>
  <c r="BT114" i="21"/>
  <c r="BS114" i="21"/>
  <c r="BR114" i="21"/>
  <c r="BQ114" i="21"/>
  <c r="BP114" i="21"/>
  <c r="BO114" i="21"/>
  <c r="BN114" i="21"/>
  <c r="BM114" i="21"/>
  <c r="BL114" i="21"/>
  <c r="BK114" i="21"/>
  <c r="BJ114" i="21"/>
  <c r="BI114" i="21"/>
  <c r="BH114" i="21"/>
  <c r="BG114" i="21"/>
  <c r="BF114" i="21"/>
  <c r="BE114" i="21"/>
  <c r="BD114" i="21"/>
  <c r="BC114" i="21"/>
  <c r="BB114" i="21"/>
  <c r="BA114"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EO113" i="21"/>
  <c r="EN113" i="21"/>
  <c r="EM113" i="21"/>
  <c r="EL113" i="21"/>
  <c r="EK113" i="21"/>
  <c r="EJ113" i="21"/>
  <c r="EI113" i="21"/>
  <c r="EH113" i="21"/>
  <c r="EG113" i="21"/>
  <c r="EF113" i="21"/>
  <c r="EE113" i="21"/>
  <c r="ED113" i="21"/>
  <c r="EC113" i="21"/>
  <c r="EB113" i="21"/>
  <c r="EA113" i="21"/>
  <c r="DZ113" i="21"/>
  <c r="DY113" i="21"/>
  <c r="DX113" i="21"/>
  <c r="DW113" i="21"/>
  <c r="DV113" i="21"/>
  <c r="DU113" i="21"/>
  <c r="DT113" i="21"/>
  <c r="DS113" i="21"/>
  <c r="DR113" i="21"/>
  <c r="DQ113" i="21"/>
  <c r="DP113" i="21"/>
  <c r="DO113" i="21"/>
  <c r="DN113" i="21"/>
  <c r="DM113" i="21"/>
  <c r="DL113" i="21"/>
  <c r="DK113" i="21"/>
  <c r="DJ113" i="21"/>
  <c r="DI113" i="21"/>
  <c r="DH113" i="21"/>
  <c r="DG113" i="21"/>
  <c r="DF113" i="21"/>
  <c r="DE113" i="21"/>
  <c r="DD113" i="21"/>
  <c r="DC113" i="21"/>
  <c r="DB113" i="21"/>
  <c r="DA113" i="21"/>
  <c r="CZ113" i="21"/>
  <c r="CY113" i="21"/>
  <c r="CX113" i="21"/>
  <c r="CW113" i="21"/>
  <c r="CV113" i="21"/>
  <c r="CU113" i="21"/>
  <c r="CT113" i="21"/>
  <c r="CS113" i="21"/>
  <c r="CR113" i="21"/>
  <c r="CQ113" i="21"/>
  <c r="CP113" i="21"/>
  <c r="CO113" i="21"/>
  <c r="CN113" i="21"/>
  <c r="CM113" i="21"/>
  <c r="CL113" i="21"/>
  <c r="CK113" i="21"/>
  <c r="CJ113" i="21"/>
  <c r="CI113" i="21"/>
  <c r="CH113" i="21"/>
  <c r="CG113" i="21"/>
  <c r="CF113" i="21"/>
  <c r="CE113" i="21"/>
  <c r="CD113" i="21"/>
  <c r="CC113" i="21"/>
  <c r="CB113" i="21"/>
  <c r="CA113" i="21"/>
  <c r="BZ113" i="21"/>
  <c r="BY113" i="21"/>
  <c r="BX113" i="21"/>
  <c r="BW113" i="21"/>
  <c r="BV113" i="21"/>
  <c r="BU113" i="21"/>
  <c r="BT113" i="21"/>
  <c r="BS113" i="21"/>
  <c r="BR113" i="21"/>
  <c r="BQ113" i="21"/>
  <c r="BP113" i="21"/>
  <c r="BO113" i="21"/>
  <c r="BN113" i="21"/>
  <c r="BM113" i="21"/>
  <c r="BL113" i="21"/>
  <c r="BK113" i="21"/>
  <c r="BJ113" i="21"/>
  <c r="BI113" i="21"/>
  <c r="BH113" i="21"/>
  <c r="BG113" i="21"/>
  <c r="BF113" i="21"/>
  <c r="BE113" i="21"/>
  <c r="BD113" i="21"/>
  <c r="BC113" i="21"/>
  <c r="BB113" i="21"/>
  <c r="BA113"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EO112" i="21"/>
  <c r="EN112" i="21"/>
  <c r="EM112" i="21"/>
  <c r="EL112" i="21"/>
  <c r="EK112" i="21"/>
  <c r="EJ112" i="21"/>
  <c r="EI112" i="21"/>
  <c r="EH112" i="21"/>
  <c r="EG112" i="21"/>
  <c r="EF112" i="21"/>
  <c r="EE112" i="21"/>
  <c r="ED112" i="21"/>
  <c r="EC112" i="21"/>
  <c r="EB112" i="21"/>
  <c r="EA112" i="21"/>
  <c r="DZ112" i="21"/>
  <c r="DY112" i="21"/>
  <c r="DX112" i="21"/>
  <c r="DW112" i="21"/>
  <c r="DV112" i="21"/>
  <c r="DU112" i="21"/>
  <c r="DT112" i="21"/>
  <c r="DS112" i="21"/>
  <c r="DR112" i="21"/>
  <c r="DQ112" i="21"/>
  <c r="DP112" i="21"/>
  <c r="DO112" i="21"/>
  <c r="DN112" i="21"/>
  <c r="DM112" i="21"/>
  <c r="DL112" i="21"/>
  <c r="DK112" i="21"/>
  <c r="DJ112" i="21"/>
  <c r="DI112" i="21"/>
  <c r="DH112" i="21"/>
  <c r="DG112" i="21"/>
  <c r="DF112" i="21"/>
  <c r="DE112" i="21"/>
  <c r="DD112" i="21"/>
  <c r="DC112" i="21"/>
  <c r="DB112" i="21"/>
  <c r="DA112" i="21"/>
  <c r="CZ112" i="21"/>
  <c r="CY112" i="21"/>
  <c r="CX112" i="21"/>
  <c r="CW112" i="21"/>
  <c r="CV112" i="21"/>
  <c r="CU112" i="21"/>
  <c r="CT112" i="21"/>
  <c r="CS112" i="21"/>
  <c r="CR112" i="21"/>
  <c r="CQ112" i="21"/>
  <c r="CP112" i="21"/>
  <c r="CO112" i="21"/>
  <c r="CN112" i="21"/>
  <c r="CM112" i="21"/>
  <c r="CL112" i="21"/>
  <c r="CK112" i="21"/>
  <c r="CJ112" i="21"/>
  <c r="CI112" i="21"/>
  <c r="CH112" i="21"/>
  <c r="CG112" i="21"/>
  <c r="CF112" i="21"/>
  <c r="CE112" i="21"/>
  <c r="CD112" i="21"/>
  <c r="CC112" i="21"/>
  <c r="CB112" i="21"/>
  <c r="CA112" i="21"/>
  <c r="BZ112" i="21"/>
  <c r="BY112" i="21"/>
  <c r="BX112" i="21"/>
  <c r="BW112" i="21"/>
  <c r="BV112" i="21"/>
  <c r="BU112" i="21"/>
  <c r="BT112" i="21"/>
  <c r="BS112" i="21"/>
  <c r="BR112" i="21"/>
  <c r="BQ112" i="21"/>
  <c r="BP112" i="21"/>
  <c r="BO112" i="21"/>
  <c r="BN112" i="21"/>
  <c r="BM112" i="21"/>
  <c r="BL112" i="21"/>
  <c r="BK112" i="21"/>
  <c r="BJ112" i="21"/>
  <c r="BI112" i="21"/>
  <c r="BH112" i="21"/>
  <c r="BG112" i="21"/>
  <c r="BF112" i="21"/>
  <c r="BE112" i="21"/>
  <c r="BD112" i="21"/>
  <c r="BC112" i="21"/>
  <c r="BB112" i="21"/>
  <c r="BA112"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EO111" i="21"/>
  <c r="EN111" i="21"/>
  <c r="EM111" i="21"/>
  <c r="EL111" i="21"/>
  <c r="EK111" i="21"/>
  <c r="EJ111" i="21"/>
  <c r="EI111" i="21"/>
  <c r="EH111" i="21"/>
  <c r="EG111" i="21"/>
  <c r="EF111" i="21"/>
  <c r="EE111" i="21"/>
  <c r="ED111" i="21"/>
  <c r="EC111" i="21"/>
  <c r="EB111" i="21"/>
  <c r="EA111" i="21"/>
  <c r="DZ111" i="21"/>
  <c r="DY111" i="21"/>
  <c r="DX111" i="21"/>
  <c r="DW111" i="21"/>
  <c r="DV111" i="21"/>
  <c r="DU111" i="21"/>
  <c r="DT111" i="21"/>
  <c r="DS111" i="21"/>
  <c r="DR111" i="21"/>
  <c r="DQ111" i="21"/>
  <c r="DP111" i="21"/>
  <c r="DO111" i="21"/>
  <c r="DN111" i="21"/>
  <c r="DM111" i="21"/>
  <c r="DL111" i="21"/>
  <c r="DK111" i="21"/>
  <c r="DJ111" i="21"/>
  <c r="DI111" i="21"/>
  <c r="DH111" i="21"/>
  <c r="DG111" i="21"/>
  <c r="DF111" i="21"/>
  <c r="DE111" i="21"/>
  <c r="DD111" i="21"/>
  <c r="DC111" i="21"/>
  <c r="DB111" i="21"/>
  <c r="DA111" i="21"/>
  <c r="CZ111" i="21"/>
  <c r="CY111" i="21"/>
  <c r="CX111" i="21"/>
  <c r="CW111" i="21"/>
  <c r="CV111" i="21"/>
  <c r="CU111" i="21"/>
  <c r="CT111" i="21"/>
  <c r="CS111" i="21"/>
  <c r="CR111" i="21"/>
  <c r="CQ111" i="21"/>
  <c r="CP111" i="21"/>
  <c r="CO111" i="21"/>
  <c r="CN111" i="21"/>
  <c r="CM111" i="21"/>
  <c r="CL111" i="21"/>
  <c r="CK111" i="21"/>
  <c r="CJ111" i="21"/>
  <c r="CI111" i="21"/>
  <c r="CH111" i="21"/>
  <c r="CG111" i="21"/>
  <c r="CF111" i="21"/>
  <c r="CE111" i="21"/>
  <c r="CD111" i="21"/>
  <c r="CC111" i="21"/>
  <c r="CB111" i="21"/>
  <c r="CA111" i="21"/>
  <c r="BZ111" i="21"/>
  <c r="BY111" i="21"/>
  <c r="BX111" i="21"/>
  <c r="BW111" i="21"/>
  <c r="BV111" i="21"/>
  <c r="BU111" i="21"/>
  <c r="BT111" i="21"/>
  <c r="BS111" i="21"/>
  <c r="BR111" i="21"/>
  <c r="BQ111" i="21"/>
  <c r="BP111" i="21"/>
  <c r="BO111" i="21"/>
  <c r="BN111" i="21"/>
  <c r="BM111" i="21"/>
  <c r="BL111" i="21"/>
  <c r="BK111" i="21"/>
  <c r="BJ111" i="21"/>
  <c r="BI111" i="21"/>
  <c r="BH111" i="21"/>
  <c r="BG111" i="21"/>
  <c r="BF111" i="21"/>
  <c r="BE111" i="21"/>
  <c r="BD111" i="21"/>
  <c r="BC111" i="21"/>
  <c r="BB111" i="21"/>
  <c r="BA111"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EO110" i="21"/>
  <c r="EN110" i="21"/>
  <c r="EM110" i="21"/>
  <c r="EL110" i="21"/>
  <c r="EK110" i="21"/>
  <c r="EJ110" i="21"/>
  <c r="EI110" i="21"/>
  <c r="EH110" i="21"/>
  <c r="EG110" i="21"/>
  <c r="EF110" i="21"/>
  <c r="EE110" i="21"/>
  <c r="ED110" i="21"/>
  <c r="EC110" i="21"/>
  <c r="EB110" i="21"/>
  <c r="EA110" i="21"/>
  <c r="DZ110" i="21"/>
  <c r="DY110" i="21"/>
  <c r="DX110" i="21"/>
  <c r="DW110" i="21"/>
  <c r="DV110" i="21"/>
  <c r="DU110" i="21"/>
  <c r="DT110" i="21"/>
  <c r="DS110" i="21"/>
  <c r="DR110" i="21"/>
  <c r="DQ110" i="21"/>
  <c r="DP110" i="21"/>
  <c r="DO110" i="21"/>
  <c r="DN110" i="21"/>
  <c r="DM110" i="21"/>
  <c r="DL110" i="21"/>
  <c r="DK110" i="21"/>
  <c r="DJ110" i="21"/>
  <c r="DI110" i="21"/>
  <c r="DH110" i="21"/>
  <c r="DG110" i="21"/>
  <c r="DF110" i="21"/>
  <c r="DE110" i="21"/>
  <c r="DD110" i="21"/>
  <c r="DC110" i="21"/>
  <c r="DB110" i="21"/>
  <c r="DA110" i="21"/>
  <c r="CZ110" i="21"/>
  <c r="CY110" i="21"/>
  <c r="CX110" i="21"/>
  <c r="CW110" i="21"/>
  <c r="CV110" i="21"/>
  <c r="CU110" i="21"/>
  <c r="CT110" i="21"/>
  <c r="CS110" i="21"/>
  <c r="CR110" i="21"/>
  <c r="CQ110" i="21"/>
  <c r="CP110" i="21"/>
  <c r="CO110" i="21"/>
  <c r="CN110" i="21"/>
  <c r="CM110" i="21"/>
  <c r="CL110" i="21"/>
  <c r="CK110" i="21"/>
  <c r="CJ110" i="21"/>
  <c r="CI110" i="21"/>
  <c r="CH110" i="21"/>
  <c r="CG110" i="21"/>
  <c r="CF110" i="21"/>
  <c r="CE110" i="21"/>
  <c r="CD110" i="21"/>
  <c r="CC110" i="21"/>
  <c r="CB110" i="21"/>
  <c r="CA110" i="21"/>
  <c r="BZ110" i="21"/>
  <c r="BY110" i="21"/>
  <c r="BX110" i="21"/>
  <c r="BW110" i="21"/>
  <c r="BV110" i="21"/>
  <c r="BU110" i="21"/>
  <c r="BT110" i="21"/>
  <c r="BS110" i="21"/>
  <c r="BR110" i="21"/>
  <c r="BQ110" i="21"/>
  <c r="BP110" i="21"/>
  <c r="BO110" i="21"/>
  <c r="BN110" i="21"/>
  <c r="BM110" i="21"/>
  <c r="BL110" i="21"/>
  <c r="BK110" i="21"/>
  <c r="BJ110" i="21"/>
  <c r="BI110" i="21"/>
  <c r="BH110" i="21"/>
  <c r="BG110" i="21"/>
  <c r="BF110" i="21"/>
  <c r="BE110" i="21"/>
  <c r="BD110" i="21"/>
  <c r="BC110" i="21"/>
  <c r="BB110" i="21"/>
  <c r="BA110"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EO109" i="21"/>
  <c r="EN109" i="21"/>
  <c r="EM109" i="21"/>
  <c r="EL109" i="21"/>
  <c r="EK109" i="21"/>
  <c r="EJ109" i="21"/>
  <c r="EI109" i="21"/>
  <c r="EH109" i="21"/>
  <c r="EG109" i="21"/>
  <c r="EF109" i="21"/>
  <c r="EE109" i="21"/>
  <c r="ED109" i="21"/>
  <c r="EC109" i="21"/>
  <c r="EB109" i="21"/>
  <c r="EA109" i="21"/>
  <c r="DZ109" i="21"/>
  <c r="DY109" i="21"/>
  <c r="DX109" i="21"/>
  <c r="DW109" i="21"/>
  <c r="DV109" i="21"/>
  <c r="DU109" i="21"/>
  <c r="DT109" i="21"/>
  <c r="DS109" i="21"/>
  <c r="DR109" i="21"/>
  <c r="DQ109" i="21"/>
  <c r="DP109" i="21"/>
  <c r="DO109" i="21"/>
  <c r="DN109" i="21"/>
  <c r="DM109" i="21"/>
  <c r="DL109" i="21"/>
  <c r="DK109" i="21"/>
  <c r="DJ109" i="21"/>
  <c r="DI109" i="21"/>
  <c r="DH109" i="21"/>
  <c r="DG109" i="21"/>
  <c r="DF109" i="21"/>
  <c r="DE109" i="21"/>
  <c r="DD109" i="21"/>
  <c r="DC109" i="21"/>
  <c r="DB109" i="21"/>
  <c r="DA109" i="21"/>
  <c r="CZ109" i="21"/>
  <c r="CY109" i="21"/>
  <c r="CX109" i="21"/>
  <c r="CW109" i="21"/>
  <c r="CV109" i="21"/>
  <c r="CU109" i="21"/>
  <c r="CT109" i="21"/>
  <c r="CS109" i="21"/>
  <c r="CR109" i="21"/>
  <c r="CQ109" i="21"/>
  <c r="CP109" i="21"/>
  <c r="CO109" i="21"/>
  <c r="CN109" i="21"/>
  <c r="CM109" i="21"/>
  <c r="CL109" i="21"/>
  <c r="CK109" i="21"/>
  <c r="CJ109" i="21"/>
  <c r="CI109" i="21"/>
  <c r="CH109" i="21"/>
  <c r="CG109" i="21"/>
  <c r="CF109" i="21"/>
  <c r="CE109" i="21"/>
  <c r="CD109" i="21"/>
  <c r="CC109" i="21"/>
  <c r="CB109" i="21"/>
  <c r="CA109" i="21"/>
  <c r="BZ109" i="21"/>
  <c r="BY109" i="21"/>
  <c r="BX109" i="21"/>
  <c r="BW109" i="21"/>
  <c r="BV109" i="21"/>
  <c r="BU109" i="21"/>
  <c r="BT109" i="21"/>
  <c r="BS109" i="21"/>
  <c r="BR109" i="21"/>
  <c r="BQ109" i="21"/>
  <c r="BP109" i="21"/>
  <c r="BO109" i="21"/>
  <c r="BN109" i="21"/>
  <c r="BM109" i="21"/>
  <c r="BL109" i="21"/>
  <c r="BK109" i="21"/>
  <c r="BJ109" i="21"/>
  <c r="BI109" i="21"/>
  <c r="BH109" i="21"/>
  <c r="BG109" i="21"/>
  <c r="BF109" i="21"/>
  <c r="BE109" i="21"/>
  <c r="BD109" i="21"/>
  <c r="BC109" i="21"/>
  <c r="BB109" i="21"/>
  <c r="BA109"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EO108" i="21"/>
  <c r="EN108" i="21"/>
  <c r="EM108" i="21"/>
  <c r="EL108" i="21"/>
  <c r="EK108" i="21"/>
  <c r="EJ108" i="21"/>
  <c r="EI108" i="21"/>
  <c r="EH108" i="21"/>
  <c r="EG108" i="21"/>
  <c r="EF108" i="21"/>
  <c r="EE108" i="21"/>
  <c r="ED108" i="21"/>
  <c r="EC108" i="21"/>
  <c r="EB108" i="21"/>
  <c r="EA108" i="21"/>
  <c r="DZ108" i="21"/>
  <c r="DY108" i="21"/>
  <c r="DX108" i="21"/>
  <c r="DW108" i="21"/>
  <c r="DV108" i="21"/>
  <c r="DU108" i="21"/>
  <c r="DT108" i="21"/>
  <c r="DS108" i="21"/>
  <c r="DR108" i="21"/>
  <c r="DQ108" i="21"/>
  <c r="DP108" i="21"/>
  <c r="DO108" i="21"/>
  <c r="DN108" i="21"/>
  <c r="DM108" i="21"/>
  <c r="DL108" i="21"/>
  <c r="DK108" i="21"/>
  <c r="DJ108" i="21"/>
  <c r="DI108" i="21"/>
  <c r="DH108" i="21"/>
  <c r="DG108" i="21"/>
  <c r="DF108" i="21"/>
  <c r="DE108" i="21"/>
  <c r="DD108" i="21"/>
  <c r="DC108" i="21"/>
  <c r="DB108" i="21"/>
  <c r="DA108" i="21"/>
  <c r="CZ108" i="21"/>
  <c r="CY108" i="21"/>
  <c r="CX108" i="21"/>
  <c r="CW108" i="21"/>
  <c r="CV108" i="21"/>
  <c r="CU108" i="21"/>
  <c r="CT108" i="21"/>
  <c r="CS108" i="21"/>
  <c r="CR108" i="21"/>
  <c r="CQ108" i="21"/>
  <c r="CP108" i="21"/>
  <c r="CO108" i="21"/>
  <c r="CN108" i="21"/>
  <c r="CM108" i="21"/>
  <c r="CL108" i="21"/>
  <c r="CK108" i="21"/>
  <c r="CJ108" i="21"/>
  <c r="CI108" i="21"/>
  <c r="CH108" i="21"/>
  <c r="CG108" i="21"/>
  <c r="CF108" i="21"/>
  <c r="CE108" i="21"/>
  <c r="CD108" i="21"/>
  <c r="CC108" i="21"/>
  <c r="CB108" i="21"/>
  <c r="CA108" i="21"/>
  <c r="BZ108" i="21"/>
  <c r="BY108" i="21"/>
  <c r="BX108" i="21"/>
  <c r="BW108" i="21"/>
  <c r="BV108" i="21"/>
  <c r="BU108" i="21"/>
  <c r="BT108" i="21"/>
  <c r="BS108" i="21"/>
  <c r="BR108" i="21"/>
  <c r="BQ108" i="21"/>
  <c r="BP108" i="21"/>
  <c r="BO108" i="21"/>
  <c r="BN108" i="21"/>
  <c r="BM108" i="21"/>
  <c r="BL108" i="21"/>
  <c r="BK108" i="21"/>
  <c r="BJ108" i="21"/>
  <c r="BI108" i="21"/>
  <c r="BH108" i="21"/>
  <c r="BG108" i="21"/>
  <c r="BF108" i="21"/>
  <c r="BE108" i="21"/>
  <c r="BD108" i="21"/>
  <c r="BC108" i="21"/>
  <c r="BB108" i="21"/>
  <c r="BA108"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EO107" i="21"/>
  <c r="EN107" i="21"/>
  <c r="EM107" i="21"/>
  <c r="EL107" i="21"/>
  <c r="EK107" i="21"/>
  <c r="EJ107" i="21"/>
  <c r="EI107" i="21"/>
  <c r="EH107" i="21"/>
  <c r="EG107" i="21"/>
  <c r="EF107" i="21"/>
  <c r="EE107" i="21"/>
  <c r="ED107" i="21"/>
  <c r="EC107" i="21"/>
  <c r="EB107" i="21"/>
  <c r="EA107" i="21"/>
  <c r="DZ107" i="21"/>
  <c r="DY107" i="21"/>
  <c r="DX107" i="21"/>
  <c r="DW107" i="21"/>
  <c r="DV107" i="21"/>
  <c r="DU107" i="21"/>
  <c r="DT107" i="21"/>
  <c r="DS107" i="21"/>
  <c r="DR107" i="21"/>
  <c r="DQ107" i="21"/>
  <c r="DP107" i="21"/>
  <c r="DO107" i="21"/>
  <c r="DN107" i="21"/>
  <c r="DM107" i="21"/>
  <c r="DL107" i="21"/>
  <c r="DK107" i="21"/>
  <c r="DJ107" i="21"/>
  <c r="DI107" i="21"/>
  <c r="DH107" i="21"/>
  <c r="DG107" i="21"/>
  <c r="DF107" i="21"/>
  <c r="DE107" i="21"/>
  <c r="DD107" i="21"/>
  <c r="DC107" i="21"/>
  <c r="DB107" i="21"/>
  <c r="DA107" i="21"/>
  <c r="CZ107" i="21"/>
  <c r="CY107" i="21"/>
  <c r="CX107" i="21"/>
  <c r="CW107" i="21"/>
  <c r="CV107" i="21"/>
  <c r="CU107" i="21"/>
  <c r="CT107" i="21"/>
  <c r="CS107" i="21"/>
  <c r="CR107" i="21"/>
  <c r="CQ107" i="21"/>
  <c r="CP107" i="21"/>
  <c r="CO107" i="21"/>
  <c r="CN107" i="21"/>
  <c r="CM107" i="21"/>
  <c r="CL107" i="21"/>
  <c r="CK107" i="21"/>
  <c r="CJ107" i="21"/>
  <c r="CI107" i="21"/>
  <c r="CH107" i="21"/>
  <c r="CG107" i="21"/>
  <c r="CF107" i="21"/>
  <c r="CE107" i="21"/>
  <c r="CD107" i="21"/>
  <c r="CC107" i="21"/>
  <c r="CB107" i="21"/>
  <c r="CA107" i="21"/>
  <c r="BZ107" i="21"/>
  <c r="BY107" i="21"/>
  <c r="BX107" i="21"/>
  <c r="BW107" i="21"/>
  <c r="BV107" i="21"/>
  <c r="BU107" i="21"/>
  <c r="BT107" i="21"/>
  <c r="BS107" i="21"/>
  <c r="BR107" i="21"/>
  <c r="BQ107" i="21"/>
  <c r="BP107" i="21"/>
  <c r="BO107" i="21"/>
  <c r="BN107" i="21"/>
  <c r="BM107" i="21"/>
  <c r="BL107" i="21"/>
  <c r="BK107" i="21"/>
  <c r="BJ107" i="21"/>
  <c r="BI107" i="21"/>
  <c r="BH107" i="21"/>
  <c r="BG107" i="21"/>
  <c r="BF107" i="21"/>
  <c r="BE107" i="21"/>
  <c r="BD107" i="21"/>
  <c r="BC107" i="21"/>
  <c r="BB107" i="21"/>
  <c r="BA107"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EO106" i="21"/>
  <c r="EN106" i="21"/>
  <c r="EM106" i="21"/>
  <c r="EL106" i="21"/>
  <c r="EK106" i="21"/>
  <c r="EJ106" i="21"/>
  <c r="EI106" i="21"/>
  <c r="EH106" i="21"/>
  <c r="EG106" i="21"/>
  <c r="EF106" i="21"/>
  <c r="EE106" i="21"/>
  <c r="ED106" i="21"/>
  <c r="EC106" i="21"/>
  <c r="EB106" i="21"/>
  <c r="EA106" i="21"/>
  <c r="DZ106" i="21"/>
  <c r="DY106" i="21"/>
  <c r="DX106" i="21"/>
  <c r="DW106" i="21"/>
  <c r="DV106" i="21"/>
  <c r="DU106" i="21"/>
  <c r="DT106" i="21"/>
  <c r="DS106" i="21"/>
  <c r="DR106" i="21"/>
  <c r="DQ106" i="21"/>
  <c r="DP106" i="21"/>
  <c r="DO106" i="21"/>
  <c r="DN106" i="21"/>
  <c r="DM106" i="21"/>
  <c r="DL106" i="21"/>
  <c r="DK106" i="21"/>
  <c r="DJ106" i="21"/>
  <c r="DI106" i="21"/>
  <c r="DH106" i="21"/>
  <c r="DG106" i="21"/>
  <c r="DF106" i="21"/>
  <c r="DE106" i="21"/>
  <c r="DD106" i="21"/>
  <c r="DC106" i="21"/>
  <c r="DB106" i="21"/>
  <c r="DA106" i="21"/>
  <c r="CZ106" i="21"/>
  <c r="CY106" i="21"/>
  <c r="CX106" i="21"/>
  <c r="CW106" i="21"/>
  <c r="CV106" i="21"/>
  <c r="CU106" i="21"/>
  <c r="CT106" i="21"/>
  <c r="CS106" i="21"/>
  <c r="CR106" i="21"/>
  <c r="CQ106" i="21"/>
  <c r="CP106" i="21"/>
  <c r="CO106" i="21"/>
  <c r="CN106" i="21"/>
  <c r="CM106" i="21"/>
  <c r="CL106" i="21"/>
  <c r="CK106" i="21"/>
  <c r="CJ106" i="21"/>
  <c r="CI106" i="21"/>
  <c r="CH106" i="21"/>
  <c r="CG106" i="21"/>
  <c r="CF106" i="21"/>
  <c r="CE106" i="21"/>
  <c r="CD106" i="21"/>
  <c r="CC106" i="21"/>
  <c r="CB106" i="21"/>
  <c r="CA106" i="21"/>
  <c r="BZ106" i="21"/>
  <c r="BY106" i="21"/>
  <c r="BX106" i="21"/>
  <c r="BW106" i="21"/>
  <c r="BV106" i="21"/>
  <c r="BU106" i="21"/>
  <c r="BT106" i="21"/>
  <c r="BS106" i="21"/>
  <c r="BR106" i="21"/>
  <c r="BQ106" i="21"/>
  <c r="BP106" i="21"/>
  <c r="BO106" i="21"/>
  <c r="BN106" i="21"/>
  <c r="BM106" i="21"/>
  <c r="BL106" i="21"/>
  <c r="BK106" i="21"/>
  <c r="BJ106" i="21"/>
  <c r="BI106" i="21"/>
  <c r="BH106" i="21"/>
  <c r="BG106" i="21"/>
  <c r="BF106" i="21"/>
  <c r="BE106" i="21"/>
  <c r="BD106" i="21"/>
  <c r="BC106" i="21"/>
  <c r="BB106" i="21"/>
  <c r="BA106"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EO105" i="21"/>
  <c r="EN105" i="21"/>
  <c r="EM105" i="21"/>
  <c r="EL105" i="21"/>
  <c r="EK105" i="21"/>
  <c r="EJ105" i="21"/>
  <c r="EI105" i="21"/>
  <c r="EH105" i="21"/>
  <c r="EG105" i="21"/>
  <c r="EF105" i="21"/>
  <c r="EE105" i="21"/>
  <c r="ED105" i="21"/>
  <c r="EC105" i="21"/>
  <c r="EB105" i="21"/>
  <c r="EA105" i="21"/>
  <c r="DZ105" i="21"/>
  <c r="DY105" i="21"/>
  <c r="DX105" i="21"/>
  <c r="DW105" i="21"/>
  <c r="DV105" i="21"/>
  <c r="DU105" i="21"/>
  <c r="DT105" i="21"/>
  <c r="DS105" i="21"/>
  <c r="DR105" i="21"/>
  <c r="DQ105" i="21"/>
  <c r="DP105" i="21"/>
  <c r="DO105" i="21"/>
  <c r="DN105" i="21"/>
  <c r="DM105" i="21"/>
  <c r="DL105" i="21"/>
  <c r="DK105" i="21"/>
  <c r="DJ105" i="21"/>
  <c r="DI105" i="21"/>
  <c r="DH105" i="21"/>
  <c r="DG105" i="21"/>
  <c r="DF105" i="21"/>
  <c r="DE105" i="21"/>
  <c r="DD105" i="21"/>
  <c r="DC105" i="21"/>
  <c r="DB105" i="21"/>
  <c r="DA105" i="21"/>
  <c r="CZ105" i="21"/>
  <c r="CY105" i="21"/>
  <c r="CX105" i="21"/>
  <c r="CW105" i="21"/>
  <c r="CV105" i="21"/>
  <c r="CU105" i="21"/>
  <c r="CT105" i="21"/>
  <c r="CS105" i="21"/>
  <c r="CR105" i="21"/>
  <c r="CQ105" i="21"/>
  <c r="CP105" i="21"/>
  <c r="CO105" i="21"/>
  <c r="CN105" i="21"/>
  <c r="CM105" i="21"/>
  <c r="CL105" i="21"/>
  <c r="CK105" i="21"/>
  <c r="CJ105" i="21"/>
  <c r="CI105" i="21"/>
  <c r="CH105" i="21"/>
  <c r="CG105" i="21"/>
  <c r="CF105" i="21"/>
  <c r="CE105" i="21"/>
  <c r="CD105" i="21"/>
  <c r="CC105" i="21"/>
  <c r="CB105" i="21"/>
  <c r="CA105" i="21"/>
  <c r="BZ105" i="21"/>
  <c r="BY105" i="21"/>
  <c r="BX105" i="21"/>
  <c r="BW105" i="21"/>
  <c r="BV105" i="21"/>
  <c r="BU105" i="21"/>
  <c r="BT105" i="21"/>
  <c r="BS105" i="21"/>
  <c r="BR105" i="21"/>
  <c r="BQ105" i="21"/>
  <c r="BP105" i="21"/>
  <c r="BO105" i="21"/>
  <c r="BN105" i="21"/>
  <c r="BM105" i="21"/>
  <c r="BL105" i="21"/>
  <c r="BK105" i="21"/>
  <c r="BJ105" i="21"/>
  <c r="BI105" i="21"/>
  <c r="BH105" i="21"/>
  <c r="BG105" i="21"/>
  <c r="BF105" i="21"/>
  <c r="BE105" i="21"/>
  <c r="BD105" i="21"/>
  <c r="BC105" i="21"/>
  <c r="BB105" i="21"/>
  <c r="BA105"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EO104" i="21"/>
  <c r="EN104" i="21"/>
  <c r="EM104" i="21"/>
  <c r="EL104" i="21"/>
  <c r="EK104" i="21"/>
  <c r="EJ104" i="21"/>
  <c r="EI104" i="21"/>
  <c r="EH104" i="21"/>
  <c r="EG104" i="21"/>
  <c r="EF104" i="21"/>
  <c r="EE104" i="21"/>
  <c r="ED104" i="21"/>
  <c r="EC104" i="21"/>
  <c r="EB104" i="21"/>
  <c r="EA104" i="21"/>
  <c r="DZ104" i="21"/>
  <c r="DY104" i="21"/>
  <c r="DX104" i="21"/>
  <c r="DW104" i="21"/>
  <c r="DV104" i="21"/>
  <c r="DU104" i="21"/>
  <c r="DT104" i="21"/>
  <c r="DS104" i="21"/>
  <c r="DR104" i="21"/>
  <c r="DQ104" i="21"/>
  <c r="DP104" i="21"/>
  <c r="DO104" i="21"/>
  <c r="DN104" i="21"/>
  <c r="DM104" i="21"/>
  <c r="DL104" i="21"/>
  <c r="DK104" i="21"/>
  <c r="DJ104" i="21"/>
  <c r="DI104" i="21"/>
  <c r="DH104" i="21"/>
  <c r="DG104" i="21"/>
  <c r="DF104" i="21"/>
  <c r="DE104" i="21"/>
  <c r="DD104" i="21"/>
  <c r="DC104" i="21"/>
  <c r="DB104" i="21"/>
  <c r="DA104" i="21"/>
  <c r="CZ104" i="21"/>
  <c r="CY104" i="21"/>
  <c r="CX104" i="21"/>
  <c r="CW104" i="21"/>
  <c r="CV104" i="21"/>
  <c r="CU104" i="21"/>
  <c r="CT104" i="21"/>
  <c r="CS104" i="21"/>
  <c r="CR104" i="21"/>
  <c r="CQ104" i="21"/>
  <c r="CP104" i="21"/>
  <c r="CO104" i="21"/>
  <c r="CN104" i="21"/>
  <c r="CM104" i="21"/>
  <c r="CL104" i="21"/>
  <c r="CK104" i="21"/>
  <c r="CJ104" i="21"/>
  <c r="CI104" i="21"/>
  <c r="CH104" i="21"/>
  <c r="CG104" i="21"/>
  <c r="CF104" i="21"/>
  <c r="CE104" i="21"/>
  <c r="CD104" i="21"/>
  <c r="CC104" i="21"/>
  <c r="CB104" i="21"/>
  <c r="CA104" i="21"/>
  <c r="BZ104" i="21"/>
  <c r="BY104" i="21"/>
  <c r="BX104" i="21"/>
  <c r="BW104" i="21"/>
  <c r="BV104" i="21"/>
  <c r="BU104" i="21"/>
  <c r="BT104" i="21"/>
  <c r="BS104" i="21"/>
  <c r="BR104" i="21"/>
  <c r="BQ104" i="21"/>
  <c r="BP104" i="21"/>
  <c r="BO104" i="21"/>
  <c r="BN104" i="21"/>
  <c r="BM104" i="21"/>
  <c r="BL104" i="21"/>
  <c r="BK104" i="21"/>
  <c r="BJ104" i="21"/>
  <c r="BI104" i="21"/>
  <c r="BH104" i="21"/>
  <c r="BG104" i="21"/>
  <c r="BF104" i="21"/>
  <c r="BE104" i="21"/>
  <c r="BD104" i="21"/>
  <c r="BC104" i="21"/>
  <c r="BB104" i="21"/>
  <c r="BA104"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EO103" i="21"/>
  <c r="EN103" i="21"/>
  <c r="EM103" i="21"/>
  <c r="EL103" i="21"/>
  <c r="EK103" i="21"/>
  <c r="EJ103" i="21"/>
  <c r="EI103" i="21"/>
  <c r="EH103" i="21"/>
  <c r="EG103" i="21"/>
  <c r="EF103" i="21"/>
  <c r="EE103" i="21"/>
  <c r="ED103" i="21"/>
  <c r="EC103" i="21"/>
  <c r="EB103" i="21"/>
  <c r="EA103" i="21"/>
  <c r="DZ103" i="21"/>
  <c r="DY103" i="21"/>
  <c r="DX103" i="21"/>
  <c r="DW103" i="21"/>
  <c r="DV103" i="21"/>
  <c r="DU103" i="21"/>
  <c r="DT103" i="21"/>
  <c r="DS103" i="21"/>
  <c r="DR103" i="21"/>
  <c r="DQ103" i="21"/>
  <c r="DP103" i="21"/>
  <c r="DO103" i="21"/>
  <c r="DN103" i="21"/>
  <c r="DM103" i="21"/>
  <c r="DL103" i="21"/>
  <c r="DK103" i="21"/>
  <c r="DJ103" i="21"/>
  <c r="DI103" i="21"/>
  <c r="DH103" i="21"/>
  <c r="DG103" i="21"/>
  <c r="DF103" i="21"/>
  <c r="DE103" i="21"/>
  <c r="DD103" i="21"/>
  <c r="DC103" i="21"/>
  <c r="DB103" i="21"/>
  <c r="DA103" i="21"/>
  <c r="CZ103" i="21"/>
  <c r="CY103" i="21"/>
  <c r="CX103" i="21"/>
  <c r="CW103" i="21"/>
  <c r="CV103" i="21"/>
  <c r="CU103" i="21"/>
  <c r="CT103" i="21"/>
  <c r="CS103" i="21"/>
  <c r="CR103" i="21"/>
  <c r="CQ103" i="21"/>
  <c r="CP103" i="21"/>
  <c r="CO103" i="21"/>
  <c r="CN103" i="21"/>
  <c r="CM103" i="21"/>
  <c r="CL103" i="21"/>
  <c r="CK103" i="21"/>
  <c r="CJ103" i="21"/>
  <c r="CI103" i="21"/>
  <c r="CH103" i="21"/>
  <c r="CG103" i="21"/>
  <c r="CF103" i="21"/>
  <c r="CE103" i="21"/>
  <c r="CD103" i="21"/>
  <c r="CC103" i="21"/>
  <c r="CB103" i="21"/>
  <c r="CA103" i="21"/>
  <c r="BZ103" i="21"/>
  <c r="BY103" i="21"/>
  <c r="BX103" i="21"/>
  <c r="BW103" i="21"/>
  <c r="BV103" i="21"/>
  <c r="BU103" i="21"/>
  <c r="BT103" i="21"/>
  <c r="BS103" i="21"/>
  <c r="BR103" i="21"/>
  <c r="BQ103" i="21"/>
  <c r="BP103" i="21"/>
  <c r="BO103" i="21"/>
  <c r="BN103" i="21"/>
  <c r="BM103" i="21"/>
  <c r="BL103" i="21"/>
  <c r="BK103" i="21"/>
  <c r="BJ103" i="21"/>
  <c r="BI103" i="21"/>
  <c r="BH103" i="21"/>
  <c r="BG103" i="21"/>
  <c r="BF103" i="21"/>
  <c r="BE103" i="21"/>
  <c r="BD103" i="21"/>
  <c r="BC103" i="21"/>
  <c r="BB103" i="21"/>
  <c r="BA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EO102" i="21"/>
  <c r="EN102" i="21"/>
  <c r="EM102" i="21"/>
  <c r="EL102" i="21"/>
  <c r="EK102" i="21"/>
  <c r="EJ102" i="21"/>
  <c r="EI102" i="21"/>
  <c r="EH102" i="21"/>
  <c r="EG102" i="21"/>
  <c r="EF102" i="21"/>
  <c r="EE102" i="21"/>
  <c r="ED102" i="21"/>
  <c r="EC102" i="21"/>
  <c r="EB102" i="21"/>
  <c r="EA102" i="21"/>
  <c r="DZ102" i="21"/>
  <c r="DY102" i="21"/>
  <c r="DX102" i="21"/>
  <c r="DW102" i="21"/>
  <c r="DV102" i="21"/>
  <c r="DU102" i="21"/>
  <c r="DT102" i="21"/>
  <c r="DS102" i="21"/>
  <c r="DR102" i="21"/>
  <c r="DQ102" i="21"/>
  <c r="DP102" i="21"/>
  <c r="DO102" i="21"/>
  <c r="DN102" i="21"/>
  <c r="DM102" i="21"/>
  <c r="DL102" i="21"/>
  <c r="DK102" i="21"/>
  <c r="DJ102" i="21"/>
  <c r="DI102" i="21"/>
  <c r="DH102" i="21"/>
  <c r="DG102" i="21"/>
  <c r="DF102" i="21"/>
  <c r="DE102" i="21"/>
  <c r="DD102" i="21"/>
  <c r="DC102" i="21"/>
  <c r="DB102" i="21"/>
  <c r="DA102" i="21"/>
  <c r="CZ102" i="21"/>
  <c r="CY102" i="21"/>
  <c r="CX102" i="21"/>
  <c r="CW102" i="21"/>
  <c r="CV102" i="21"/>
  <c r="CU102" i="21"/>
  <c r="CT102" i="21"/>
  <c r="CS102" i="21"/>
  <c r="CR102" i="21"/>
  <c r="CQ102" i="21"/>
  <c r="CP102" i="21"/>
  <c r="CO102" i="21"/>
  <c r="CN102" i="21"/>
  <c r="CM102" i="21"/>
  <c r="CL102" i="21"/>
  <c r="CK102" i="21"/>
  <c r="CJ102" i="21"/>
  <c r="CI102" i="21"/>
  <c r="CH102" i="21"/>
  <c r="CG102" i="21"/>
  <c r="CF102" i="21"/>
  <c r="CE102" i="21"/>
  <c r="CD102" i="21"/>
  <c r="CC102" i="21"/>
  <c r="CB102" i="21"/>
  <c r="CA102" i="21"/>
  <c r="BZ102" i="21"/>
  <c r="BY102" i="21"/>
  <c r="BX102" i="21"/>
  <c r="BW102" i="21"/>
  <c r="BV102" i="21"/>
  <c r="BU102" i="21"/>
  <c r="BT102" i="21"/>
  <c r="BS102" i="21"/>
  <c r="BR102" i="21"/>
  <c r="BQ102" i="21"/>
  <c r="BP102" i="21"/>
  <c r="BO102" i="21"/>
  <c r="BN102" i="21"/>
  <c r="BM102" i="21"/>
  <c r="BL102" i="21"/>
  <c r="BK102" i="21"/>
  <c r="BJ102" i="21"/>
  <c r="BI102" i="21"/>
  <c r="BH102" i="21"/>
  <c r="BG102" i="21"/>
  <c r="BF102" i="21"/>
  <c r="BE102" i="21"/>
  <c r="BD102" i="21"/>
  <c r="BC102" i="21"/>
  <c r="BB102" i="21"/>
  <c r="BA102"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EO101" i="21"/>
  <c r="EN101" i="21"/>
  <c r="EM101" i="21"/>
  <c r="EL101" i="21"/>
  <c r="EK101" i="21"/>
  <c r="EJ101" i="21"/>
  <c r="EI101" i="21"/>
  <c r="EH101" i="21"/>
  <c r="EG101" i="21"/>
  <c r="EF101" i="21"/>
  <c r="EE101" i="21"/>
  <c r="ED101" i="21"/>
  <c r="EC101" i="21"/>
  <c r="EB101" i="21"/>
  <c r="EA101" i="21"/>
  <c r="DZ101" i="21"/>
  <c r="DY101" i="21"/>
  <c r="DX101" i="21"/>
  <c r="DW101" i="21"/>
  <c r="DV101" i="21"/>
  <c r="DU101" i="21"/>
  <c r="DT101" i="21"/>
  <c r="DS101" i="21"/>
  <c r="DR101" i="21"/>
  <c r="DQ101" i="21"/>
  <c r="DP101" i="21"/>
  <c r="DO101" i="21"/>
  <c r="DN101" i="21"/>
  <c r="DM101" i="21"/>
  <c r="DL101" i="21"/>
  <c r="DK101" i="21"/>
  <c r="DJ101" i="21"/>
  <c r="DI101" i="21"/>
  <c r="DH101" i="21"/>
  <c r="DG101" i="21"/>
  <c r="DF101" i="21"/>
  <c r="DE101" i="21"/>
  <c r="DD101" i="21"/>
  <c r="DC101" i="21"/>
  <c r="DB101" i="21"/>
  <c r="DA101" i="21"/>
  <c r="CZ101" i="21"/>
  <c r="CY101" i="21"/>
  <c r="CX101" i="21"/>
  <c r="CW101" i="21"/>
  <c r="CV101" i="21"/>
  <c r="CU101" i="21"/>
  <c r="CT101" i="21"/>
  <c r="CS101" i="21"/>
  <c r="CR101" i="21"/>
  <c r="CQ101" i="21"/>
  <c r="CP101" i="21"/>
  <c r="CO101" i="21"/>
  <c r="CN101" i="21"/>
  <c r="CM101" i="21"/>
  <c r="CL101" i="21"/>
  <c r="CK101" i="21"/>
  <c r="CJ101" i="21"/>
  <c r="CI101" i="21"/>
  <c r="CH101" i="21"/>
  <c r="CG101" i="21"/>
  <c r="CF101" i="21"/>
  <c r="CE101" i="21"/>
  <c r="CD101" i="21"/>
  <c r="CC101" i="21"/>
  <c r="CB101" i="21"/>
  <c r="CA101" i="21"/>
  <c r="BZ101" i="21"/>
  <c r="BY101" i="21"/>
  <c r="BX101" i="21"/>
  <c r="BW101" i="21"/>
  <c r="BV101" i="21"/>
  <c r="BU101" i="21"/>
  <c r="BT101" i="21"/>
  <c r="BS101" i="21"/>
  <c r="BR101" i="21"/>
  <c r="BQ101" i="21"/>
  <c r="BP101" i="21"/>
  <c r="BO101" i="21"/>
  <c r="BN101" i="21"/>
  <c r="BM101" i="21"/>
  <c r="BL101" i="21"/>
  <c r="BK101" i="21"/>
  <c r="BJ101" i="21"/>
  <c r="BI101" i="21"/>
  <c r="BH101" i="21"/>
  <c r="BG101" i="21"/>
  <c r="BF101" i="21"/>
  <c r="BE101" i="21"/>
  <c r="BD101" i="21"/>
  <c r="BC101" i="21"/>
  <c r="BB101" i="21"/>
  <c r="BA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EO100" i="21"/>
  <c r="EN100" i="21"/>
  <c r="EM100" i="21"/>
  <c r="EL100" i="21"/>
  <c r="EK100" i="21"/>
  <c r="EJ100" i="21"/>
  <c r="EI100" i="21"/>
  <c r="EH100" i="21"/>
  <c r="EG100" i="21"/>
  <c r="EF100" i="21"/>
  <c r="EE100" i="21"/>
  <c r="ED100" i="21"/>
  <c r="EC100" i="21"/>
  <c r="EB100" i="21"/>
  <c r="EA100" i="21"/>
  <c r="DZ100" i="21"/>
  <c r="DY100" i="21"/>
  <c r="DX100" i="21"/>
  <c r="DW100" i="21"/>
  <c r="DV100" i="21"/>
  <c r="DU100" i="21"/>
  <c r="DT100" i="21"/>
  <c r="DS100" i="21"/>
  <c r="DR100" i="21"/>
  <c r="DQ100" i="21"/>
  <c r="DP100" i="21"/>
  <c r="DO100" i="21"/>
  <c r="DN100" i="21"/>
  <c r="DM100" i="21"/>
  <c r="DL100" i="21"/>
  <c r="DK100" i="21"/>
  <c r="DJ100" i="21"/>
  <c r="DI100" i="21"/>
  <c r="DH100" i="21"/>
  <c r="DG100" i="21"/>
  <c r="DF100" i="21"/>
  <c r="DE100" i="21"/>
  <c r="DD100" i="21"/>
  <c r="DC100" i="21"/>
  <c r="DB100" i="21"/>
  <c r="DA100" i="21"/>
  <c r="CZ100" i="21"/>
  <c r="CY100" i="21"/>
  <c r="CX100" i="21"/>
  <c r="CW100" i="21"/>
  <c r="CV100" i="21"/>
  <c r="CU100" i="21"/>
  <c r="CT100" i="21"/>
  <c r="CS100" i="21"/>
  <c r="CR100" i="21"/>
  <c r="CQ100" i="21"/>
  <c r="CP100" i="21"/>
  <c r="CO100" i="21"/>
  <c r="CN100" i="21"/>
  <c r="CM100" i="21"/>
  <c r="CL100" i="21"/>
  <c r="CK100" i="21"/>
  <c r="CJ100" i="21"/>
  <c r="CI100" i="21"/>
  <c r="CH100" i="21"/>
  <c r="CG100" i="21"/>
  <c r="CF100" i="21"/>
  <c r="CE100" i="21"/>
  <c r="CD100" i="21"/>
  <c r="CC100" i="21"/>
  <c r="CB100" i="21"/>
  <c r="CA100" i="21"/>
  <c r="BZ100" i="21"/>
  <c r="BY100" i="21"/>
  <c r="BX100" i="21"/>
  <c r="BW100" i="21"/>
  <c r="BV100" i="21"/>
  <c r="BU100" i="21"/>
  <c r="BT100" i="21"/>
  <c r="BS100" i="21"/>
  <c r="BR100" i="21"/>
  <c r="BQ100" i="21"/>
  <c r="BP100" i="21"/>
  <c r="BO100" i="21"/>
  <c r="BN100" i="21"/>
  <c r="BM100" i="21"/>
  <c r="BL100" i="21"/>
  <c r="BK100" i="21"/>
  <c r="BJ100" i="21"/>
  <c r="BI100" i="21"/>
  <c r="BH100" i="21"/>
  <c r="BG100" i="21"/>
  <c r="BF100" i="21"/>
  <c r="BE100" i="21"/>
  <c r="BD100" i="21"/>
  <c r="BC100" i="21"/>
  <c r="BB100" i="21"/>
  <c r="BA100"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EO99" i="21"/>
  <c r="EN99" i="21"/>
  <c r="EM99" i="21"/>
  <c r="EL99" i="21"/>
  <c r="EK99" i="21"/>
  <c r="EJ99" i="21"/>
  <c r="EI99" i="21"/>
  <c r="EH99" i="21"/>
  <c r="EG99" i="21"/>
  <c r="EF99" i="21"/>
  <c r="EE99" i="21"/>
  <c r="ED99" i="21"/>
  <c r="EC99" i="21"/>
  <c r="EB99" i="21"/>
  <c r="EA99" i="21"/>
  <c r="DZ99" i="21"/>
  <c r="DY99" i="21"/>
  <c r="DX99" i="21"/>
  <c r="DW99" i="21"/>
  <c r="DV99" i="21"/>
  <c r="DU99" i="21"/>
  <c r="DT99" i="21"/>
  <c r="DS99" i="21"/>
  <c r="DR99" i="21"/>
  <c r="DQ99" i="21"/>
  <c r="DP99" i="21"/>
  <c r="DO99" i="21"/>
  <c r="DN99" i="21"/>
  <c r="DM99" i="21"/>
  <c r="DL99" i="21"/>
  <c r="DK99" i="21"/>
  <c r="DJ99" i="21"/>
  <c r="DI99" i="21"/>
  <c r="DH99" i="21"/>
  <c r="DG99" i="21"/>
  <c r="DF99" i="21"/>
  <c r="DE99" i="21"/>
  <c r="DD99" i="21"/>
  <c r="DC99" i="21"/>
  <c r="DB99" i="21"/>
  <c r="DA99" i="21"/>
  <c r="CZ99" i="21"/>
  <c r="CY99" i="21"/>
  <c r="CX99" i="21"/>
  <c r="CW99" i="21"/>
  <c r="CV99" i="21"/>
  <c r="CU99" i="21"/>
  <c r="CT99" i="21"/>
  <c r="CS99" i="21"/>
  <c r="CR99" i="21"/>
  <c r="CQ99" i="21"/>
  <c r="CP99" i="21"/>
  <c r="CO99" i="21"/>
  <c r="CN99" i="21"/>
  <c r="CM99" i="21"/>
  <c r="CL99" i="21"/>
  <c r="CK99" i="21"/>
  <c r="CJ99" i="21"/>
  <c r="CI99" i="21"/>
  <c r="CH99" i="21"/>
  <c r="CG99" i="21"/>
  <c r="CF99" i="21"/>
  <c r="CE99" i="21"/>
  <c r="CD99" i="21"/>
  <c r="CC99" i="21"/>
  <c r="CB99" i="21"/>
  <c r="CA99" i="21"/>
  <c r="BZ99" i="21"/>
  <c r="BY99" i="21"/>
  <c r="BX99" i="21"/>
  <c r="BW99" i="21"/>
  <c r="BV99" i="21"/>
  <c r="BU99" i="21"/>
  <c r="BT99" i="21"/>
  <c r="BS99" i="21"/>
  <c r="BR99" i="21"/>
  <c r="BQ99" i="21"/>
  <c r="BP99" i="21"/>
  <c r="BO99" i="21"/>
  <c r="BN99" i="21"/>
  <c r="BM99" i="21"/>
  <c r="BL99" i="21"/>
  <c r="BK99" i="21"/>
  <c r="BJ99" i="21"/>
  <c r="BI99" i="21"/>
  <c r="BH99" i="21"/>
  <c r="BG99" i="21"/>
  <c r="BF99" i="21"/>
  <c r="BE99" i="21"/>
  <c r="BD99" i="21"/>
  <c r="BC99" i="21"/>
  <c r="BB99" i="21"/>
  <c r="BA99"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EO98" i="21"/>
  <c r="EN98" i="21"/>
  <c r="EM98" i="21"/>
  <c r="EL98" i="21"/>
  <c r="EK98" i="21"/>
  <c r="EJ98" i="21"/>
  <c r="EI98" i="21"/>
  <c r="EH98" i="21"/>
  <c r="EG98" i="21"/>
  <c r="EF98" i="21"/>
  <c r="EE98" i="21"/>
  <c r="ED98" i="21"/>
  <c r="EC98" i="21"/>
  <c r="EB98" i="21"/>
  <c r="EA98" i="21"/>
  <c r="DZ98" i="21"/>
  <c r="DY98" i="21"/>
  <c r="DX98" i="21"/>
  <c r="DW98" i="21"/>
  <c r="DV98" i="21"/>
  <c r="DU98" i="21"/>
  <c r="DT98" i="21"/>
  <c r="DS98" i="21"/>
  <c r="DR98" i="21"/>
  <c r="DQ98" i="21"/>
  <c r="DP98" i="21"/>
  <c r="DO98" i="21"/>
  <c r="DN98" i="21"/>
  <c r="DM98" i="21"/>
  <c r="DL98" i="21"/>
  <c r="DK98" i="21"/>
  <c r="DJ98" i="21"/>
  <c r="DI98" i="21"/>
  <c r="DH98" i="21"/>
  <c r="DG98" i="21"/>
  <c r="DF98" i="21"/>
  <c r="DE98" i="21"/>
  <c r="DD98" i="21"/>
  <c r="DC98" i="21"/>
  <c r="DB98" i="21"/>
  <c r="DA98" i="21"/>
  <c r="CZ98" i="21"/>
  <c r="CY98" i="21"/>
  <c r="CX98" i="21"/>
  <c r="CW98" i="21"/>
  <c r="CV98" i="21"/>
  <c r="CU98" i="21"/>
  <c r="CT98" i="21"/>
  <c r="CS98" i="21"/>
  <c r="CR98" i="21"/>
  <c r="CQ98" i="21"/>
  <c r="CP98" i="21"/>
  <c r="CO98" i="21"/>
  <c r="CN98" i="21"/>
  <c r="CM98" i="21"/>
  <c r="CL98" i="21"/>
  <c r="CK98" i="21"/>
  <c r="CJ98" i="21"/>
  <c r="CI98" i="21"/>
  <c r="CH98" i="21"/>
  <c r="CG98" i="21"/>
  <c r="CF98" i="21"/>
  <c r="CE98" i="21"/>
  <c r="CD98" i="21"/>
  <c r="CC98" i="21"/>
  <c r="CB98" i="21"/>
  <c r="CA98" i="21"/>
  <c r="BZ98" i="21"/>
  <c r="BY98" i="21"/>
  <c r="BX98" i="21"/>
  <c r="BW98" i="21"/>
  <c r="BV98" i="21"/>
  <c r="BU98" i="21"/>
  <c r="BT98" i="21"/>
  <c r="BS98" i="21"/>
  <c r="BR98" i="21"/>
  <c r="BQ98" i="21"/>
  <c r="BP98" i="21"/>
  <c r="BO98" i="21"/>
  <c r="BN98" i="21"/>
  <c r="BM98" i="21"/>
  <c r="BL98" i="21"/>
  <c r="BK98" i="21"/>
  <c r="BJ98" i="21"/>
  <c r="BI98" i="21"/>
  <c r="BH98" i="21"/>
  <c r="BG98" i="21"/>
  <c r="BF98" i="21"/>
  <c r="BE98" i="21"/>
  <c r="BD98" i="21"/>
  <c r="BC98" i="21"/>
  <c r="BB98" i="21"/>
  <c r="BA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EO97" i="21"/>
  <c r="EN97" i="21"/>
  <c r="EM97" i="21"/>
  <c r="EL97" i="21"/>
  <c r="EK97" i="21"/>
  <c r="EJ97" i="21"/>
  <c r="EI97" i="21"/>
  <c r="EH97" i="21"/>
  <c r="EG97" i="21"/>
  <c r="EF97" i="21"/>
  <c r="EE97" i="21"/>
  <c r="ED97" i="21"/>
  <c r="EC97" i="21"/>
  <c r="EB97" i="21"/>
  <c r="EA97" i="21"/>
  <c r="DZ97" i="21"/>
  <c r="DY97" i="21"/>
  <c r="DX97" i="21"/>
  <c r="DW97" i="21"/>
  <c r="DV97" i="21"/>
  <c r="DU97" i="21"/>
  <c r="DT97" i="21"/>
  <c r="DS97" i="21"/>
  <c r="DR97" i="21"/>
  <c r="DQ97" i="21"/>
  <c r="DP97" i="21"/>
  <c r="DO97" i="21"/>
  <c r="DN97" i="21"/>
  <c r="DM97" i="21"/>
  <c r="DL97" i="21"/>
  <c r="DK97" i="21"/>
  <c r="DJ97" i="21"/>
  <c r="DI97" i="21"/>
  <c r="DH97" i="21"/>
  <c r="DG97" i="21"/>
  <c r="DF97" i="21"/>
  <c r="DE97" i="21"/>
  <c r="DD97" i="21"/>
  <c r="DC97" i="21"/>
  <c r="DB97" i="21"/>
  <c r="DA97" i="21"/>
  <c r="CZ97" i="21"/>
  <c r="CY97" i="21"/>
  <c r="CX97" i="21"/>
  <c r="CW97" i="21"/>
  <c r="CV97" i="21"/>
  <c r="CU97" i="21"/>
  <c r="CT97" i="21"/>
  <c r="CS97" i="21"/>
  <c r="CR97" i="21"/>
  <c r="CQ97" i="21"/>
  <c r="CP97" i="21"/>
  <c r="CO97" i="21"/>
  <c r="CN97" i="21"/>
  <c r="CM97" i="21"/>
  <c r="CL97" i="21"/>
  <c r="CK97" i="21"/>
  <c r="CJ97" i="21"/>
  <c r="CI97" i="21"/>
  <c r="CH97" i="21"/>
  <c r="CG97" i="21"/>
  <c r="CF97" i="21"/>
  <c r="CE97" i="21"/>
  <c r="CD97" i="21"/>
  <c r="CC97" i="21"/>
  <c r="CB97" i="21"/>
  <c r="CA97" i="21"/>
  <c r="BZ97" i="21"/>
  <c r="BY97" i="21"/>
  <c r="BX97" i="21"/>
  <c r="BW97" i="21"/>
  <c r="BV97" i="21"/>
  <c r="BU97" i="21"/>
  <c r="BT97" i="21"/>
  <c r="BS97" i="21"/>
  <c r="BR97" i="21"/>
  <c r="BQ97" i="21"/>
  <c r="BP97" i="21"/>
  <c r="BO97" i="21"/>
  <c r="BN97" i="21"/>
  <c r="BM97" i="21"/>
  <c r="BL97" i="21"/>
  <c r="BK97" i="21"/>
  <c r="BJ97" i="21"/>
  <c r="BI97" i="21"/>
  <c r="BH97" i="21"/>
  <c r="BG97" i="21"/>
  <c r="BF97" i="21"/>
  <c r="BE97" i="21"/>
  <c r="BD97" i="21"/>
  <c r="BC97" i="21"/>
  <c r="BB97" i="21"/>
  <c r="BA97"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EO96" i="21"/>
  <c r="EN96" i="21"/>
  <c r="EM96" i="21"/>
  <c r="EL96" i="21"/>
  <c r="EK96" i="21"/>
  <c r="EJ96" i="21"/>
  <c r="EI96" i="21"/>
  <c r="EH96" i="21"/>
  <c r="EG96" i="21"/>
  <c r="EF96" i="21"/>
  <c r="EE96" i="21"/>
  <c r="ED96" i="21"/>
  <c r="EC96" i="21"/>
  <c r="EB96" i="21"/>
  <c r="EA96" i="21"/>
  <c r="DZ96" i="21"/>
  <c r="DY96" i="21"/>
  <c r="DX96" i="21"/>
  <c r="DW96" i="21"/>
  <c r="DV96" i="21"/>
  <c r="DU96" i="21"/>
  <c r="DT96" i="21"/>
  <c r="DS96" i="21"/>
  <c r="DR96" i="21"/>
  <c r="DQ96" i="21"/>
  <c r="DP96" i="21"/>
  <c r="DO96" i="21"/>
  <c r="DN96" i="21"/>
  <c r="DM96" i="21"/>
  <c r="DL96" i="21"/>
  <c r="DK96" i="21"/>
  <c r="DJ96" i="21"/>
  <c r="DI96" i="21"/>
  <c r="DH96" i="21"/>
  <c r="DG96" i="21"/>
  <c r="DF96" i="21"/>
  <c r="DE96" i="21"/>
  <c r="DD96" i="21"/>
  <c r="DC96" i="21"/>
  <c r="DB96" i="21"/>
  <c r="DA96" i="21"/>
  <c r="CZ96" i="21"/>
  <c r="CY96" i="21"/>
  <c r="CX96" i="21"/>
  <c r="CW96" i="21"/>
  <c r="CV96" i="21"/>
  <c r="CU96" i="21"/>
  <c r="CT96" i="21"/>
  <c r="CS96" i="21"/>
  <c r="CR96" i="21"/>
  <c r="CQ96" i="21"/>
  <c r="CP96" i="21"/>
  <c r="CO96" i="21"/>
  <c r="CN96" i="21"/>
  <c r="CM96" i="21"/>
  <c r="CL96" i="21"/>
  <c r="CK96" i="21"/>
  <c r="CJ96" i="21"/>
  <c r="CI96" i="21"/>
  <c r="CH96" i="21"/>
  <c r="CG96" i="21"/>
  <c r="CF96" i="21"/>
  <c r="CE96" i="21"/>
  <c r="CD96" i="21"/>
  <c r="CC96" i="21"/>
  <c r="CB96" i="21"/>
  <c r="CA96" i="21"/>
  <c r="BZ96" i="21"/>
  <c r="BY96" i="21"/>
  <c r="BX96" i="21"/>
  <c r="BW96" i="21"/>
  <c r="BV96" i="21"/>
  <c r="BU96" i="21"/>
  <c r="BT96" i="21"/>
  <c r="BS96" i="21"/>
  <c r="BR96" i="21"/>
  <c r="BQ96" i="21"/>
  <c r="BP96" i="21"/>
  <c r="BO96" i="21"/>
  <c r="BN96" i="21"/>
  <c r="BM96" i="21"/>
  <c r="BL96" i="21"/>
  <c r="BK96" i="21"/>
  <c r="BJ96" i="21"/>
  <c r="BI96" i="21"/>
  <c r="BH96" i="21"/>
  <c r="BG96" i="21"/>
  <c r="BF96" i="21"/>
  <c r="BE96" i="21"/>
  <c r="BD96" i="21"/>
  <c r="BC96" i="21"/>
  <c r="BB96" i="21"/>
  <c r="BA96"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EO95" i="21"/>
  <c r="EN95" i="21"/>
  <c r="EM95" i="21"/>
  <c r="EL95" i="21"/>
  <c r="EK95" i="21"/>
  <c r="EJ95" i="21"/>
  <c r="EI95" i="21"/>
  <c r="EH95" i="21"/>
  <c r="EG95" i="21"/>
  <c r="EF95" i="21"/>
  <c r="EE95" i="21"/>
  <c r="ED95" i="21"/>
  <c r="EC95" i="21"/>
  <c r="EB95" i="21"/>
  <c r="EA95" i="21"/>
  <c r="DZ95" i="21"/>
  <c r="DY95" i="21"/>
  <c r="DX95" i="21"/>
  <c r="DW95" i="21"/>
  <c r="DV95" i="21"/>
  <c r="DU95" i="21"/>
  <c r="DT95" i="21"/>
  <c r="DS95" i="21"/>
  <c r="DR95" i="21"/>
  <c r="DQ95" i="21"/>
  <c r="DP95" i="21"/>
  <c r="DO95" i="21"/>
  <c r="DN95" i="21"/>
  <c r="DM95" i="21"/>
  <c r="DL95" i="21"/>
  <c r="DK95" i="21"/>
  <c r="DJ95" i="21"/>
  <c r="DI95" i="21"/>
  <c r="DH95" i="21"/>
  <c r="DG95" i="21"/>
  <c r="DF95" i="21"/>
  <c r="DE95" i="21"/>
  <c r="DD95" i="21"/>
  <c r="DC95" i="21"/>
  <c r="DB95" i="21"/>
  <c r="DA95" i="21"/>
  <c r="CZ95" i="21"/>
  <c r="CY95" i="21"/>
  <c r="CX95" i="21"/>
  <c r="CW95" i="21"/>
  <c r="CV95" i="21"/>
  <c r="CU95" i="21"/>
  <c r="CT95" i="21"/>
  <c r="CS95" i="21"/>
  <c r="CR95" i="21"/>
  <c r="CQ95" i="21"/>
  <c r="CP95" i="21"/>
  <c r="CO95" i="21"/>
  <c r="CN95" i="21"/>
  <c r="CM95" i="21"/>
  <c r="CL95" i="21"/>
  <c r="CK95" i="21"/>
  <c r="CJ95" i="21"/>
  <c r="CI95" i="21"/>
  <c r="CH95" i="21"/>
  <c r="CG95" i="21"/>
  <c r="CF95" i="21"/>
  <c r="CE95" i="21"/>
  <c r="CD95" i="21"/>
  <c r="CC95" i="21"/>
  <c r="CB95" i="21"/>
  <c r="CA95" i="21"/>
  <c r="BZ95" i="21"/>
  <c r="BY95" i="21"/>
  <c r="BX95" i="21"/>
  <c r="BW95" i="21"/>
  <c r="BV95" i="21"/>
  <c r="BU95" i="21"/>
  <c r="BT95" i="21"/>
  <c r="BS95" i="21"/>
  <c r="BR95" i="21"/>
  <c r="BQ95" i="21"/>
  <c r="BP95" i="21"/>
  <c r="BO95" i="21"/>
  <c r="BN95" i="21"/>
  <c r="BM95" i="21"/>
  <c r="BL95" i="21"/>
  <c r="BK95" i="21"/>
  <c r="BJ95" i="21"/>
  <c r="BI95" i="21"/>
  <c r="BH95" i="21"/>
  <c r="BG95" i="21"/>
  <c r="BF95" i="21"/>
  <c r="BE95" i="21"/>
  <c r="BD95" i="21"/>
  <c r="BC95" i="21"/>
  <c r="BB95" i="21"/>
  <c r="BA95"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EO94" i="21"/>
  <c r="EN94" i="21"/>
  <c r="EM94" i="21"/>
  <c r="EL94" i="21"/>
  <c r="EK94" i="21"/>
  <c r="EJ94" i="21"/>
  <c r="EI94" i="21"/>
  <c r="EH94" i="21"/>
  <c r="EG94" i="21"/>
  <c r="EF94" i="21"/>
  <c r="EE94" i="21"/>
  <c r="ED94" i="21"/>
  <c r="EC94" i="21"/>
  <c r="EB94" i="21"/>
  <c r="EA94" i="21"/>
  <c r="DZ94" i="21"/>
  <c r="DY94" i="21"/>
  <c r="DX94" i="21"/>
  <c r="DW94" i="21"/>
  <c r="DV94" i="21"/>
  <c r="DU94" i="21"/>
  <c r="DT94" i="21"/>
  <c r="DS94" i="21"/>
  <c r="DR94" i="21"/>
  <c r="DQ94" i="21"/>
  <c r="DP94" i="21"/>
  <c r="DO94" i="21"/>
  <c r="DN94" i="21"/>
  <c r="DM94" i="21"/>
  <c r="DL94" i="21"/>
  <c r="DK94" i="21"/>
  <c r="DJ94" i="21"/>
  <c r="DI94" i="21"/>
  <c r="DH94" i="21"/>
  <c r="DG94" i="21"/>
  <c r="DF94" i="21"/>
  <c r="DE94" i="21"/>
  <c r="DD94" i="21"/>
  <c r="DC94" i="21"/>
  <c r="DB94" i="21"/>
  <c r="DA94" i="21"/>
  <c r="CZ94" i="21"/>
  <c r="CY94" i="21"/>
  <c r="CX94" i="21"/>
  <c r="CW94" i="21"/>
  <c r="CV94" i="21"/>
  <c r="CU94" i="21"/>
  <c r="CT94" i="21"/>
  <c r="CS94" i="21"/>
  <c r="CR94" i="21"/>
  <c r="CQ94" i="21"/>
  <c r="CP94" i="21"/>
  <c r="CO94" i="21"/>
  <c r="CN94" i="21"/>
  <c r="CM94" i="21"/>
  <c r="CL94" i="21"/>
  <c r="CK94" i="21"/>
  <c r="CJ94" i="21"/>
  <c r="CI94" i="21"/>
  <c r="CH94" i="21"/>
  <c r="CG94" i="21"/>
  <c r="CF94" i="21"/>
  <c r="CE94" i="21"/>
  <c r="CD94" i="21"/>
  <c r="CC94" i="21"/>
  <c r="CB94" i="21"/>
  <c r="CA94" i="21"/>
  <c r="BZ94" i="21"/>
  <c r="BY94" i="21"/>
  <c r="BX94" i="21"/>
  <c r="BW94" i="21"/>
  <c r="BV94" i="21"/>
  <c r="BU94" i="21"/>
  <c r="BT94" i="21"/>
  <c r="BS94" i="21"/>
  <c r="BR94" i="21"/>
  <c r="BQ94" i="21"/>
  <c r="BP94" i="21"/>
  <c r="BO94" i="21"/>
  <c r="BN94" i="21"/>
  <c r="BM94" i="21"/>
  <c r="BL94" i="21"/>
  <c r="BK94" i="21"/>
  <c r="BJ94" i="21"/>
  <c r="BI94" i="21"/>
  <c r="BH94" i="21"/>
  <c r="BG94" i="21"/>
  <c r="BF94" i="21"/>
  <c r="BE94" i="21"/>
  <c r="BD94" i="21"/>
  <c r="BC94" i="21"/>
  <c r="BB94" i="21"/>
  <c r="BA94"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EO93" i="21"/>
  <c r="EN93" i="21"/>
  <c r="EM93" i="21"/>
  <c r="EL93" i="21"/>
  <c r="EK93" i="21"/>
  <c r="EJ93" i="21"/>
  <c r="EI93" i="21"/>
  <c r="EH93" i="21"/>
  <c r="EG93" i="21"/>
  <c r="EF93" i="21"/>
  <c r="EE93" i="21"/>
  <c r="ED93" i="21"/>
  <c r="EC93" i="21"/>
  <c r="EB93" i="21"/>
  <c r="EA93" i="21"/>
  <c r="DZ93" i="21"/>
  <c r="DY93" i="21"/>
  <c r="DX93" i="21"/>
  <c r="DW93" i="21"/>
  <c r="DV93" i="21"/>
  <c r="DU93" i="21"/>
  <c r="DT93" i="21"/>
  <c r="DS93" i="21"/>
  <c r="DR93" i="21"/>
  <c r="DQ93" i="21"/>
  <c r="DP93" i="21"/>
  <c r="DO93" i="21"/>
  <c r="DN93" i="21"/>
  <c r="DM93" i="21"/>
  <c r="DL93" i="21"/>
  <c r="DK93" i="21"/>
  <c r="DJ93" i="21"/>
  <c r="DI93" i="21"/>
  <c r="DH93" i="21"/>
  <c r="DG93" i="21"/>
  <c r="DF93" i="21"/>
  <c r="DE93" i="21"/>
  <c r="DD93" i="21"/>
  <c r="DC93" i="21"/>
  <c r="DB93" i="21"/>
  <c r="DA93" i="21"/>
  <c r="CZ93" i="21"/>
  <c r="CY93" i="21"/>
  <c r="CX93" i="21"/>
  <c r="CW93" i="21"/>
  <c r="CV93" i="21"/>
  <c r="CU93" i="21"/>
  <c r="CT93" i="21"/>
  <c r="CS93" i="21"/>
  <c r="CR93" i="21"/>
  <c r="CQ93" i="21"/>
  <c r="CP93" i="21"/>
  <c r="CO93" i="21"/>
  <c r="CN93" i="21"/>
  <c r="CM93" i="21"/>
  <c r="CL93" i="21"/>
  <c r="CK93" i="21"/>
  <c r="CJ93" i="21"/>
  <c r="CI93" i="21"/>
  <c r="CH93" i="21"/>
  <c r="CG93" i="21"/>
  <c r="CF93" i="21"/>
  <c r="CE93" i="21"/>
  <c r="CD93" i="21"/>
  <c r="CC93" i="21"/>
  <c r="CB93" i="21"/>
  <c r="CA93" i="21"/>
  <c r="BZ93" i="21"/>
  <c r="BY93" i="21"/>
  <c r="BX93" i="21"/>
  <c r="BW93" i="21"/>
  <c r="BV93" i="21"/>
  <c r="BU93" i="21"/>
  <c r="BT93" i="21"/>
  <c r="BS93" i="21"/>
  <c r="BR93" i="21"/>
  <c r="BQ93" i="21"/>
  <c r="BP93" i="21"/>
  <c r="BO93" i="21"/>
  <c r="BN93" i="21"/>
  <c r="BM93" i="21"/>
  <c r="BL93" i="21"/>
  <c r="BK93" i="21"/>
  <c r="BJ93" i="21"/>
  <c r="BI93" i="21"/>
  <c r="BH93" i="21"/>
  <c r="BG93" i="21"/>
  <c r="BF93" i="21"/>
  <c r="BE93" i="21"/>
  <c r="BD93" i="21"/>
  <c r="BC93" i="21"/>
  <c r="BB93" i="21"/>
  <c r="BA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EO92" i="21"/>
  <c r="EN92" i="21"/>
  <c r="EM92" i="21"/>
  <c r="EL92" i="21"/>
  <c r="EK92" i="21"/>
  <c r="EJ92" i="21"/>
  <c r="EI92" i="21"/>
  <c r="EH92" i="21"/>
  <c r="EG92" i="21"/>
  <c r="EF92" i="21"/>
  <c r="EE92" i="21"/>
  <c r="ED92" i="21"/>
  <c r="EC92" i="21"/>
  <c r="EB92" i="21"/>
  <c r="EA92" i="21"/>
  <c r="DZ92" i="21"/>
  <c r="DY92" i="21"/>
  <c r="DX92" i="21"/>
  <c r="DW92" i="21"/>
  <c r="DV92" i="21"/>
  <c r="DU92" i="21"/>
  <c r="DT92" i="21"/>
  <c r="DS92" i="21"/>
  <c r="DR92" i="21"/>
  <c r="DQ92" i="21"/>
  <c r="DP92" i="21"/>
  <c r="DO92" i="21"/>
  <c r="DN92" i="21"/>
  <c r="DM92" i="21"/>
  <c r="DL92" i="21"/>
  <c r="DK92" i="21"/>
  <c r="DJ92" i="21"/>
  <c r="DI92" i="21"/>
  <c r="DH92" i="21"/>
  <c r="DG92" i="21"/>
  <c r="DF92" i="21"/>
  <c r="DE92" i="21"/>
  <c r="DD92" i="21"/>
  <c r="DC92" i="21"/>
  <c r="DB92" i="21"/>
  <c r="DA92" i="21"/>
  <c r="CZ92" i="21"/>
  <c r="CY92" i="21"/>
  <c r="CX92" i="21"/>
  <c r="CW92" i="21"/>
  <c r="CV92" i="21"/>
  <c r="CU92" i="21"/>
  <c r="CT92" i="21"/>
  <c r="CS92" i="21"/>
  <c r="CR92" i="21"/>
  <c r="CQ92" i="21"/>
  <c r="CP92" i="21"/>
  <c r="CO92" i="21"/>
  <c r="CN92" i="21"/>
  <c r="CM92" i="21"/>
  <c r="CL92" i="21"/>
  <c r="CK92" i="21"/>
  <c r="CJ92" i="21"/>
  <c r="CI92" i="21"/>
  <c r="CH92" i="21"/>
  <c r="CG92" i="21"/>
  <c r="CF92" i="21"/>
  <c r="CE92" i="21"/>
  <c r="CD92" i="21"/>
  <c r="CC92" i="21"/>
  <c r="CB92" i="21"/>
  <c r="CA92" i="21"/>
  <c r="BZ92" i="21"/>
  <c r="BY92" i="21"/>
  <c r="BX92" i="21"/>
  <c r="BW92" i="21"/>
  <c r="BV92" i="21"/>
  <c r="BU92" i="21"/>
  <c r="BT92" i="21"/>
  <c r="BS92" i="21"/>
  <c r="BR92" i="21"/>
  <c r="BQ92" i="21"/>
  <c r="BP92" i="21"/>
  <c r="BO92" i="21"/>
  <c r="BN92" i="21"/>
  <c r="BM92" i="21"/>
  <c r="BL92" i="21"/>
  <c r="BK92" i="21"/>
  <c r="BJ92" i="21"/>
  <c r="BI92" i="21"/>
  <c r="BH92" i="21"/>
  <c r="BG92" i="21"/>
  <c r="BF92" i="21"/>
  <c r="BE92" i="21"/>
  <c r="BD92" i="21"/>
  <c r="BC92" i="21"/>
  <c r="BB92" i="21"/>
  <c r="BA92"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EO91" i="21"/>
  <c r="EN91" i="21"/>
  <c r="EM91" i="21"/>
  <c r="EL91" i="21"/>
  <c r="EK91" i="21"/>
  <c r="EJ91" i="21"/>
  <c r="EI91" i="21"/>
  <c r="EH91" i="21"/>
  <c r="EG91" i="21"/>
  <c r="EF91" i="21"/>
  <c r="EE91" i="21"/>
  <c r="ED91" i="21"/>
  <c r="EC91" i="21"/>
  <c r="EB91" i="21"/>
  <c r="EA91" i="21"/>
  <c r="DZ91" i="21"/>
  <c r="DY91" i="21"/>
  <c r="DX91" i="21"/>
  <c r="DW91" i="21"/>
  <c r="DV91" i="21"/>
  <c r="DU91" i="21"/>
  <c r="DT91" i="21"/>
  <c r="DS91" i="21"/>
  <c r="DR91" i="21"/>
  <c r="DQ91" i="21"/>
  <c r="DP91" i="21"/>
  <c r="DO91" i="21"/>
  <c r="DN91" i="21"/>
  <c r="DM91" i="21"/>
  <c r="DL91" i="21"/>
  <c r="DK91" i="21"/>
  <c r="DJ91" i="21"/>
  <c r="DI91" i="21"/>
  <c r="DH91" i="21"/>
  <c r="DG91" i="21"/>
  <c r="DF91" i="21"/>
  <c r="DE91" i="21"/>
  <c r="DD91" i="21"/>
  <c r="DC91" i="21"/>
  <c r="DB91" i="21"/>
  <c r="DA91" i="21"/>
  <c r="CZ91" i="21"/>
  <c r="CY91" i="21"/>
  <c r="CX91" i="21"/>
  <c r="CW91" i="21"/>
  <c r="CV91" i="21"/>
  <c r="CU91" i="21"/>
  <c r="CT91" i="21"/>
  <c r="CS91" i="21"/>
  <c r="CR91" i="21"/>
  <c r="CQ91" i="21"/>
  <c r="CP91" i="21"/>
  <c r="CO91" i="21"/>
  <c r="CN91" i="21"/>
  <c r="CM91" i="21"/>
  <c r="CL91" i="21"/>
  <c r="CK91" i="21"/>
  <c r="CJ91" i="21"/>
  <c r="CI91" i="21"/>
  <c r="CH91" i="21"/>
  <c r="CG91" i="21"/>
  <c r="CF91" i="21"/>
  <c r="CE91" i="21"/>
  <c r="CD91" i="21"/>
  <c r="CC91" i="21"/>
  <c r="CB91" i="21"/>
  <c r="CA91" i="21"/>
  <c r="BZ91" i="21"/>
  <c r="BY91" i="21"/>
  <c r="BX91" i="21"/>
  <c r="BW91" i="21"/>
  <c r="BV91" i="21"/>
  <c r="BU91" i="21"/>
  <c r="BT91" i="21"/>
  <c r="BS91" i="21"/>
  <c r="BR91" i="21"/>
  <c r="BQ91" i="21"/>
  <c r="BP91" i="21"/>
  <c r="BO91" i="21"/>
  <c r="BN91" i="21"/>
  <c r="BM91" i="21"/>
  <c r="BL91" i="21"/>
  <c r="BK91" i="21"/>
  <c r="BJ91" i="21"/>
  <c r="BI91" i="21"/>
  <c r="BH91" i="21"/>
  <c r="BG91" i="21"/>
  <c r="BF91" i="21"/>
  <c r="BE91" i="21"/>
  <c r="BD91" i="21"/>
  <c r="BC91" i="21"/>
  <c r="BB91" i="21"/>
  <c r="BA91"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EO90" i="21"/>
  <c r="EN90" i="21"/>
  <c r="EM90" i="21"/>
  <c r="EL90" i="21"/>
  <c r="EK90" i="21"/>
  <c r="EJ90" i="21"/>
  <c r="EI90" i="21"/>
  <c r="EH90" i="21"/>
  <c r="EG90" i="21"/>
  <c r="EF90" i="21"/>
  <c r="EE90" i="21"/>
  <c r="ED90" i="21"/>
  <c r="EC90" i="21"/>
  <c r="EB90" i="21"/>
  <c r="EA90" i="21"/>
  <c r="DZ90" i="21"/>
  <c r="DY90" i="21"/>
  <c r="DX90" i="21"/>
  <c r="DW90" i="21"/>
  <c r="DV90" i="21"/>
  <c r="DU90" i="21"/>
  <c r="DT90" i="21"/>
  <c r="DS90" i="21"/>
  <c r="DR90" i="21"/>
  <c r="DQ90" i="21"/>
  <c r="DP90" i="21"/>
  <c r="DO90" i="21"/>
  <c r="DN90" i="21"/>
  <c r="DM90" i="21"/>
  <c r="DL90" i="21"/>
  <c r="DK90" i="21"/>
  <c r="DJ90" i="21"/>
  <c r="DI90" i="21"/>
  <c r="DH90" i="21"/>
  <c r="DG90" i="21"/>
  <c r="DF90" i="21"/>
  <c r="DE90" i="21"/>
  <c r="DD90" i="21"/>
  <c r="DC90" i="21"/>
  <c r="DB90" i="21"/>
  <c r="DA90" i="21"/>
  <c r="CZ90" i="21"/>
  <c r="CY90" i="21"/>
  <c r="CX90" i="21"/>
  <c r="CW90" i="21"/>
  <c r="CV90" i="21"/>
  <c r="CU90" i="21"/>
  <c r="CT90" i="21"/>
  <c r="CS90" i="21"/>
  <c r="CR90" i="21"/>
  <c r="CQ90" i="21"/>
  <c r="CP90" i="21"/>
  <c r="CO90" i="21"/>
  <c r="CN90" i="21"/>
  <c r="CM90" i="21"/>
  <c r="CL90" i="21"/>
  <c r="CK90" i="21"/>
  <c r="CJ90" i="21"/>
  <c r="CI90" i="21"/>
  <c r="CH90" i="21"/>
  <c r="CG90" i="21"/>
  <c r="CF90" i="21"/>
  <c r="CE90" i="21"/>
  <c r="CD90" i="21"/>
  <c r="CC90" i="21"/>
  <c r="CB90" i="21"/>
  <c r="CA90" i="21"/>
  <c r="BZ90" i="21"/>
  <c r="BY90" i="21"/>
  <c r="BX90" i="21"/>
  <c r="BW90" i="21"/>
  <c r="BV90" i="21"/>
  <c r="BU90" i="21"/>
  <c r="BT90" i="21"/>
  <c r="BS90" i="21"/>
  <c r="BR90" i="21"/>
  <c r="BQ90" i="21"/>
  <c r="BP90" i="21"/>
  <c r="BO90" i="21"/>
  <c r="BN90" i="21"/>
  <c r="BM90" i="21"/>
  <c r="BL90" i="21"/>
  <c r="BK90" i="21"/>
  <c r="BJ90" i="21"/>
  <c r="BI90" i="21"/>
  <c r="BH90" i="21"/>
  <c r="BG90" i="21"/>
  <c r="BF90" i="21"/>
  <c r="BE90" i="21"/>
  <c r="BD90" i="21"/>
  <c r="BC90" i="21"/>
  <c r="BB90" i="21"/>
  <c r="BA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EO89" i="21"/>
  <c r="EN89" i="21"/>
  <c r="EM89" i="21"/>
  <c r="EL89" i="21"/>
  <c r="EK89" i="21"/>
  <c r="EJ89" i="21"/>
  <c r="EI89" i="21"/>
  <c r="EH89" i="21"/>
  <c r="EG89" i="21"/>
  <c r="EF89" i="21"/>
  <c r="EE89" i="21"/>
  <c r="ED89" i="21"/>
  <c r="EC89" i="21"/>
  <c r="EB89" i="21"/>
  <c r="EA89" i="21"/>
  <c r="DZ89" i="21"/>
  <c r="DY89" i="21"/>
  <c r="DX89" i="21"/>
  <c r="DW89" i="21"/>
  <c r="DV89" i="21"/>
  <c r="DU89" i="21"/>
  <c r="DT89" i="21"/>
  <c r="DS89" i="21"/>
  <c r="DR89" i="21"/>
  <c r="DQ89" i="21"/>
  <c r="DP89" i="21"/>
  <c r="DO89" i="21"/>
  <c r="DN89" i="21"/>
  <c r="DM89" i="21"/>
  <c r="DL89" i="21"/>
  <c r="DK89" i="21"/>
  <c r="DJ89" i="21"/>
  <c r="DI89" i="21"/>
  <c r="DH89" i="21"/>
  <c r="DG89" i="21"/>
  <c r="DF89" i="21"/>
  <c r="DE89" i="21"/>
  <c r="DD89" i="21"/>
  <c r="DC89" i="21"/>
  <c r="DB89" i="21"/>
  <c r="DA89" i="21"/>
  <c r="CZ89" i="21"/>
  <c r="CY89" i="21"/>
  <c r="CX89" i="21"/>
  <c r="CW89" i="21"/>
  <c r="CV89" i="21"/>
  <c r="CU89" i="21"/>
  <c r="CT89" i="21"/>
  <c r="CS89" i="21"/>
  <c r="CR89" i="21"/>
  <c r="CQ89" i="21"/>
  <c r="CP89" i="21"/>
  <c r="CO89" i="21"/>
  <c r="CN89" i="21"/>
  <c r="CM89" i="21"/>
  <c r="CL89" i="21"/>
  <c r="CK89" i="21"/>
  <c r="CJ89" i="21"/>
  <c r="CI89" i="21"/>
  <c r="CH89" i="21"/>
  <c r="CG89" i="21"/>
  <c r="CF89" i="21"/>
  <c r="CE89" i="21"/>
  <c r="CD89" i="21"/>
  <c r="CC89" i="21"/>
  <c r="CB89" i="21"/>
  <c r="CA89" i="21"/>
  <c r="BZ89" i="21"/>
  <c r="BY89" i="21"/>
  <c r="BX89" i="21"/>
  <c r="BW89" i="21"/>
  <c r="BV89" i="21"/>
  <c r="BU89" i="21"/>
  <c r="BT89" i="21"/>
  <c r="BS89" i="21"/>
  <c r="BR89" i="21"/>
  <c r="BQ89" i="21"/>
  <c r="BP89" i="21"/>
  <c r="BO89" i="21"/>
  <c r="BN89" i="21"/>
  <c r="BM89" i="21"/>
  <c r="BL89" i="21"/>
  <c r="BK89" i="21"/>
  <c r="BJ89" i="21"/>
  <c r="BI89" i="21"/>
  <c r="BH89" i="21"/>
  <c r="BG89" i="21"/>
  <c r="BF89" i="21"/>
  <c r="BE89" i="21"/>
  <c r="BD89" i="21"/>
  <c r="BC89" i="21"/>
  <c r="BB89" i="21"/>
  <c r="BA89"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EO88" i="21"/>
  <c r="EN88" i="21"/>
  <c r="EM88" i="21"/>
  <c r="EL88" i="21"/>
  <c r="EK88" i="21"/>
  <c r="EJ88" i="21"/>
  <c r="EI88" i="21"/>
  <c r="EH88" i="21"/>
  <c r="EG88" i="21"/>
  <c r="EF88" i="21"/>
  <c r="EE88" i="21"/>
  <c r="ED88" i="21"/>
  <c r="EC88" i="21"/>
  <c r="EB88" i="21"/>
  <c r="EA88" i="21"/>
  <c r="DZ88" i="21"/>
  <c r="DY88" i="21"/>
  <c r="DX88" i="21"/>
  <c r="DW88" i="21"/>
  <c r="DV88" i="21"/>
  <c r="DU88" i="21"/>
  <c r="DT88" i="21"/>
  <c r="DS88" i="21"/>
  <c r="DR88" i="21"/>
  <c r="DQ88" i="21"/>
  <c r="DP88" i="21"/>
  <c r="DO88" i="21"/>
  <c r="DN88" i="21"/>
  <c r="DM88" i="21"/>
  <c r="DL88" i="21"/>
  <c r="DK88" i="21"/>
  <c r="DJ88" i="21"/>
  <c r="DI88" i="21"/>
  <c r="DH88" i="21"/>
  <c r="DG88" i="21"/>
  <c r="DF88" i="21"/>
  <c r="DE88" i="21"/>
  <c r="DD88" i="21"/>
  <c r="DC88" i="21"/>
  <c r="DB88" i="21"/>
  <c r="DA88" i="21"/>
  <c r="CZ88" i="21"/>
  <c r="CY88" i="21"/>
  <c r="CX88" i="21"/>
  <c r="CW88" i="21"/>
  <c r="CV88" i="21"/>
  <c r="CU88" i="21"/>
  <c r="CT88" i="21"/>
  <c r="CS88" i="21"/>
  <c r="CR88" i="21"/>
  <c r="CQ88" i="21"/>
  <c r="CP88" i="21"/>
  <c r="CO88" i="21"/>
  <c r="CN88" i="21"/>
  <c r="CM88" i="21"/>
  <c r="CL88" i="21"/>
  <c r="CK88" i="21"/>
  <c r="CJ88" i="21"/>
  <c r="CI88" i="21"/>
  <c r="CH88" i="21"/>
  <c r="CG88" i="21"/>
  <c r="CF88" i="21"/>
  <c r="CE88" i="21"/>
  <c r="CD88" i="21"/>
  <c r="CC88" i="21"/>
  <c r="CB88" i="21"/>
  <c r="CA88" i="21"/>
  <c r="BZ88" i="21"/>
  <c r="BY88" i="21"/>
  <c r="BX88" i="21"/>
  <c r="BW88" i="21"/>
  <c r="BV88" i="21"/>
  <c r="BU88" i="21"/>
  <c r="BT88" i="21"/>
  <c r="BS88" i="21"/>
  <c r="BR88" i="21"/>
  <c r="BQ88" i="21"/>
  <c r="BP88" i="21"/>
  <c r="BO88" i="21"/>
  <c r="BN88" i="21"/>
  <c r="BM88" i="21"/>
  <c r="BL88" i="21"/>
  <c r="BK88" i="21"/>
  <c r="BJ88" i="21"/>
  <c r="BI88" i="21"/>
  <c r="BH88" i="21"/>
  <c r="BG88" i="21"/>
  <c r="BF88" i="21"/>
  <c r="BE88" i="21"/>
  <c r="BD88" i="21"/>
  <c r="BC88" i="21"/>
  <c r="BB88" i="21"/>
  <c r="BA88"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EO87" i="21"/>
  <c r="EN87" i="21"/>
  <c r="EM87" i="21"/>
  <c r="EL87" i="21"/>
  <c r="EK87" i="21"/>
  <c r="EJ87" i="21"/>
  <c r="EI87" i="21"/>
  <c r="EH87" i="21"/>
  <c r="EG87" i="21"/>
  <c r="EF87" i="21"/>
  <c r="EE87" i="21"/>
  <c r="ED87" i="21"/>
  <c r="EC87" i="21"/>
  <c r="EB87" i="21"/>
  <c r="EA87" i="21"/>
  <c r="DZ87" i="21"/>
  <c r="DY87" i="21"/>
  <c r="DX87" i="21"/>
  <c r="DW87" i="21"/>
  <c r="DV87" i="21"/>
  <c r="DU87" i="21"/>
  <c r="DT87" i="21"/>
  <c r="DS87" i="21"/>
  <c r="DR87" i="21"/>
  <c r="DQ87" i="21"/>
  <c r="DP87" i="21"/>
  <c r="DO87" i="21"/>
  <c r="DN87" i="21"/>
  <c r="DM87" i="21"/>
  <c r="DL87" i="21"/>
  <c r="DK87" i="21"/>
  <c r="DJ87" i="21"/>
  <c r="DI87" i="21"/>
  <c r="DH87" i="21"/>
  <c r="DG87" i="21"/>
  <c r="DF87" i="21"/>
  <c r="DE87" i="21"/>
  <c r="DD87" i="21"/>
  <c r="DC87" i="21"/>
  <c r="DB87" i="21"/>
  <c r="DA87" i="21"/>
  <c r="CZ87" i="21"/>
  <c r="CY87" i="21"/>
  <c r="CX87" i="21"/>
  <c r="CW87" i="21"/>
  <c r="CV87" i="21"/>
  <c r="CU87" i="21"/>
  <c r="CT87" i="21"/>
  <c r="CS87" i="21"/>
  <c r="CR87" i="21"/>
  <c r="CQ87" i="21"/>
  <c r="CP87" i="21"/>
  <c r="CO87" i="21"/>
  <c r="CN87" i="21"/>
  <c r="CM87" i="21"/>
  <c r="CL87" i="21"/>
  <c r="CK87" i="21"/>
  <c r="CJ87" i="21"/>
  <c r="CI87" i="21"/>
  <c r="CH87" i="21"/>
  <c r="CG87" i="21"/>
  <c r="CF87" i="21"/>
  <c r="CE87" i="21"/>
  <c r="CD87" i="21"/>
  <c r="CC87" i="21"/>
  <c r="CB87" i="21"/>
  <c r="CA87" i="21"/>
  <c r="BZ87" i="21"/>
  <c r="BY87" i="21"/>
  <c r="BX87" i="21"/>
  <c r="BW87" i="21"/>
  <c r="BV87" i="21"/>
  <c r="BU87" i="21"/>
  <c r="BT87" i="21"/>
  <c r="BS87" i="21"/>
  <c r="BR87" i="21"/>
  <c r="BQ87" i="21"/>
  <c r="BP87" i="21"/>
  <c r="BO87" i="21"/>
  <c r="BN87" i="21"/>
  <c r="BM87" i="21"/>
  <c r="BL87" i="21"/>
  <c r="BK87" i="21"/>
  <c r="BJ87" i="21"/>
  <c r="BI87" i="21"/>
  <c r="BH87" i="21"/>
  <c r="BG87" i="21"/>
  <c r="BF87" i="21"/>
  <c r="BE87" i="21"/>
  <c r="BD87" i="21"/>
  <c r="BC87" i="21"/>
  <c r="BB87" i="21"/>
  <c r="BA87"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EO86" i="21"/>
  <c r="EN86" i="21"/>
  <c r="EM86" i="21"/>
  <c r="EL86" i="21"/>
  <c r="EK86" i="21"/>
  <c r="EJ86" i="21"/>
  <c r="EI86" i="21"/>
  <c r="EH86" i="21"/>
  <c r="EG86" i="21"/>
  <c r="EF86" i="21"/>
  <c r="EE86" i="21"/>
  <c r="ED86" i="21"/>
  <c r="EC86" i="21"/>
  <c r="EB86" i="21"/>
  <c r="EA86" i="21"/>
  <c r="DZ86" i="21"/>
  <c r="DY86" i="21"/>
  <c r="DX86" i="21"/>
  <c r="DW86" i="21"/>
  <c r="DV86" i="21"/>
  <c r="DU86" i="21"/>
  <c r="DT86" i="21"/>
  <c r="DS86" i="21"/>
  <c r="DR86" i="21"/>
  <c r="DQ86" i="21"/>
  <c r="DP86" i="21"/>
  <c r="DO86" i="21"/>
  <c r="DN86" i="21"/>
  <c r="DM86" i="21"/>
  <c r="DL86" i="21"/>
  <c r="DK86" i="21"/>
  <c r="DJ86" i="21"/>
  <c r="DI86" i="21"/>
  <c r="DH86" i="21"/>
  <c r="DG86" i="21"/>
  <c r="DF86" i="21"/>
  <c r="DE86" i="21"/>
  <c r="DD86" i="21"/>
  <c r="DC86" i="21"/>
  <c r="DB86" i="21"/>
  <c r="DA86" i="21"/>
  <c r="CZ86" i="21"/>
  <c r="CY86" i="21"/>
  <c r="CX86" i="21"/>
  <c r="CW86" i="21"/>
  <c r="CV86" i="21"/>
  <c r="CU86" i="21"/>
  <c r="CT86" i="21"/>
  <c r="CS86" i="21"/>
  <c r="CR86" i="21"/>
  <c r="CQ86" i="21"/>
  <c r="CP86" i="21"/>
  <c r="CO86" i="21"/>
  <c r="CN86" i="21"/>
  <c r="CM86" i="21"/>
  <c r="CL86" i="21"/>
  <c r="CK86" i="21"/>
  <c r="CJ86" i="21"/>
  <c r="CI86" i="21"/>
  <c r="CH86" i="21"/>
  <c r="CG86" i="21"/>
  <c r="CF86" i="21"/>
  <c r="CE86" i="21"/>
  <c r="CD86" i="21"/>
  <c r="CC86" i="21"/>
  <c r="CB86" i="21"/>
  <c r="CA86" i="21"/>
  <c r="BZ86" i="21"/>
  <c r="BY86" i="21"/>
  <c r="BX86" i="21"/>
  <c r="BW86" i="21"/>
  <c r="BV86" i="21"/>
  <c r="BU86" i="21"/>
  <c r="BT86" i="21"/>
  <c r="BS86" i="21"/>
  <c r="BR86" i="21"/>
  <c r="BQ86" i="21"/>
  <c r="BP86" i="21"/>
  <c r="BO86" i="21"/>
  <c r="BN86" i="21"/>
  <c r="BM86" i="21"/>
  <c r="BL86" i="21"/>
  <c r="BK86" i="21"/>
  <c r="BJ86" i="21"/>
  <c r="BI86" i="21"/>
  <c r="BH86" i="21"/>
  <c r="BG86" i="21"/>
  <c r="BF86" i="21"/>
  <c r="BE86" i="21"/>
  <c r="BD86" i="21"/>
  <c r="BC86" i="21"/>
  <c r="BB86" i="21"/>
  <c r="BA86"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EO85" i="21"/>
  <c r="EN85" i="21"/>
  <c r="EM85" i="21"/>
  <c r="EL85" i="21"/>
  <c r="EK85" i="21"/>
  <c r="EJ85" i="21"/>
  <c r="EI85" i="21"/>
  <c r="EH85" i="21"/>
  <c r="EG85" i="21"/>
  <c r="EF85" i="21"/>
  <c r="EE85" i="21"/>
  <c r="ED85" i="21"/>
  <c r="EC85" i="21"/>
  <c r="EB85" i="21"/>
  <c r="EA85" i="21"/>
  <c r="DZ85" i="21"/>
  <c r="DY85" i="21"/>
  <c r="DX85" i="21"/>
  <c r="DW85" i="21"/>
  <c r="DV85" i="21"/>
  <c r="DU85" i="21"/>
  <c r="DT85" i="21"/>
  <c r="DS85" i="21"/>
  <c r="DR85" i="21"/>
  <c r="DQ85" i="21"/>
  <c r="DP85" i="21"/>
  <c r="DO85" i="21"/>
  <c r="DN85" i="21"/>
  <c r="DM85" i="21"/>
  <c r="DL85" i="21"/>
  <c r="DK85" i="21"/>
  <c r="DJ85" i="21"/>
  <c r="DI85" i="21"/>
  <c r="DH85" i="21"/>
  <c r="DG85" i="21"/>
  <c r="DF85" i="21"/>
  <c r="DE85" i="21"/>
  <c r="DD85" i="21"/>
  <c r="DC85" i="21"/>
  <c r="DB85" i="21"/>
  <c r="DA85" i="21"/>
  <c r="CZ85" i="21"/>
  <c r="CY85" i="21"/>
  <c r="CX85" i="21"/>
  <c r="CW85" i="21"/>
  <c r="CV85" i="21"/>
  <c r="CU85" i="21"/>
  <c r="CT85" i="21"/>
  <c r="CS85" i="21"/>
  <c r="CR85" i="21"/>
  <c r="CQ85" i="21"/>
  <c r="CP85" i="21"/>
  <c r="CO85" i="21"/>
  <c r="CN85" i="21"/>
  <c r="CM85" i="21"/>
  <c r="CL85" i="21"/>
  <c r="CK85" i="21"/>
  <c r="CJ85" i="21"/>
  <c r="CI85" i="21"/>
  <c r="CH85" i="21"/>
  <c r="CG85" i="21"/>
  <c r="CF85" i="21"/>
  <c r="CE85" i="21"/>
  <c r="CD85" i="21"/>
  <c r="CC85" i="21"/>
  <c r="CB85" i="21"/>
  <c r="CA85" i="21"/>
  <c r="BZ85" i="21"/>
  <c r="BY85" i="21"/>
  <c r="BX85" i="21"/>
  <c r="BW85" i="21"/>
  <c r="BV85" i="21"/>
  <c r="BU85" i="21"/>
  <c r="BT85" i="21"/>
  <c r="BS85" i="21"/>
  <c r="BR85" i="21"/>
  <c r="BQ85" i="21"/>
  <c r="BP85" i="21"/>
  <c r="BO85" i="21"/>
  <c r="BN85" i="21"/>
  <c r="BM85" i="21"/>
  <c r="BL85" i="21"/>
  <c r="BK85" i="21"/>
  <c r="BJ85" i="21"/>
  <c r="BI85" i="21"/>
  <c r="BH85" i="21"/>
  <c r="BG85" i="21"/>
  <c r="BF85" i="21"/>
  <c r="BE85" i="21"/>
  <c r="BD85" i="21"/>
  <c r="BC85" i="21"/>
  <c r="BB85" i="21"/>
  <c r="BA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EO84" i="21"/>
  <c r="EN84" i="21"/>
  <c r="EM84" i="21"/>
  <c r="EL84" i="21"/>
  <c r="EK84" i="21"/>
  <c r="EJ84" i="21"/>
  <c r="EI84" i="21"/>
  <c r="EH84" i="21"/>
  <c r="EG84" i="21"/>
  <c r="EF84" i="21"/>
  <c r="EE84" i="21"/>
  <c r="ED84" i="21"/>
  <c r="EC84" i="21"/>
  <c r="EB84" i="21"/>
  <c r="EA84" i="21"/>
  <c r="DZ84" i="21"/>
  <c r="DY84" i="21"/>
  <c r="DX84" i="21"/>
  <c r="DW84" i="21"/>
  <c r="DV84" i="21"/>
  <c r="DU84" i="21"/>
  <c r="DT84" i="21"/>
  <c r="DS84" i="21"/>
  <c r="DR84" i="21"/>
  <c r="DQ84" i="21"/>
  <c r="DP84" i="21"/>
  <c r="DO84" i="21"/>
  <c r="DN84" i="21"/>
  <c r="DM84" i="21"/>
  <c r="DL84" i="21"/>
  <c r="DK84" i="21"/>
  <c r="DJ84" i="21"/>
  <c r="DI84" i="21"/>
  <c r="DH84" i="21"/>
  <c r="DG84" i="21"/>
  <c r="DF84" i="21"/>
  <c r="DE84" i="21"/>
  <c r="DD84" i="21"/>
  <c r="DC84" i="21"/>
  <c r="DB84" i="21"/>
  <c r="DA84" i="21"/>
  <c r="CZ84" i="21"/>
  <c r="CY84" i="21"/>
  <c r="CX84" i="21"/>
  <c r="CW84" i="21"/>
  <c r="CV84" i="21"/>
  <c r="CU84" i="21"/>
  <c r="CT84" i="21"/>
  <c r="CS84" i="21"/>
  <c r="CR84" i="21"/>
  <c r="CQ84" i="21"/>
  <c r="CP84" i="21"/>
  <c r="CO84" i="21"/>
  <c r="CN84" i="21"/>
  <c r="CM84" i="21"/>
  <c r="CL84" i="21"/>
  <c r="CK84" i="21"/>
  <c r="CJ84" i="21"/>
  <c r="CI84" i="21"/>
  <c r="CH84" i="21"/>
  <c r="CG84" i="21"/>
  <c r="CF84" i="21"/>
  <c r="CE84" i="21"/>
  <c r="CD84" i="21"/>
  <c r="CC84" i="21"/>
  <c r="CB84" i="21"/>
  <c r="CA84" i="21"/>
  <c r="BZ84" i="21"/>
  <c r="BY84" i="21"/>
  <c r="BX84" i="21"/>
  <c r="BW84" i="21"/>
  <c r="BV84" i="21"/>
  <c r="BU84" i="21"/>
  <c r="BT84" i="21"/>
  <c r="BS84" i="21"/>
  <c r="BR84" i="21"/>
  <c r="BQ84" i="21"/>
  <c r="BP84" i="21"/>
  <c r="BO84" i="21"/>
  <c r="BN84" i="21"/>
  <c r="BM84" i="21"/>
  <c r="BL84" i="21"/>
  <c r="BK84" i="21"/>
  <c r="BJ84" i="21"/>
  <c r="BI84" i="21"/>
  <c r="BH84" i="21"/>
  <c r="BG84" i="21"/>
  <c r="BF84" i="21"/>
  <c r="BE84" i="21"/>
  <c r="BD84" i="21"/>
  <c r="BC84" i="21"/>
  <c r="BB84" i="21"/>
  <c r="BA84"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EO83" i="21"/>
  <c r="EN83" i="21"/>
  <c r="EM83" i="21"/>
  <c r="EL83" i="21"/>
  <c r="EK83" i="21"/>
  <c r="EJ83" i="21"/>
  <c r="EI83" i="21"/>
  <c r="EH83" i="21"/>
  <c r="EG83" i="21"/>
  <c r="EF83" i="21"/>
  <c r="EE83" i="21"/>
  <c r="ED83" i="21"/>
  <c r="EC83" i="21"/>
  <c r="EB83" i="21"/>
  <c r="EA83" i="21"/>
  <c r="DZ83" i="21"/>
  <c r="DY83" i="21"/>
  <c r="DX83" i="21"/>
  <c r="DW83" i="21"/>
  <c r="DV83" i="21"/>
  <c r="DU83" i="21"/>
  <c r="DT83" i="21"/>
  <c r="DS83" i="21"/>
  <c r="DR83" i="21"/>
  <c r="DQ83" i="21"/>
  <c r="DP83" i="21"/>
  <c r="DO83" i="21"/>
  <c r="DN83" i="21"/>
  <c r="DM83" i="21"/>
  <c r="DL83" i="21"/>
  <c r="DK83" i="21"/>
  <c r="DJ83" i="21"/>
  <c r="DI83" i="21"/>
  <c r="DH83" i="21"/>
  <c r="DG83" i="21"/>
  <c r="DF83" i="21"/>
  <c r="DE83" i="21"/>
  <c r="DD83" i="21"/>
  <c r="DC83" i="21"/>
  <c r="DB83" i="21"/>
  <c r="DA83" i="21"/>
  <c r="CZ83" i="21"/>
  <c r="CY83" i="21"/>
  <c r="CX83" i="21"/>
  <c r="CW83" i="21"/>
  <c r="CV83" i="21"/>
  <c r="CU83" i="21"/>
  <c r="CT83" i="21"/>
  <c r="CS83" i="21"/>
  <c r="CR83" i="21"/>
  <c r="CQ83" i="21"/>
  <c r="CP83" i="21"/>
  <c r="CO83" i="21"/>
  <c r="CN83" i="21"/>
  <c r="CM83" i="21"/>
  <c r="CL83" i="21"/>
  <c r="CK83" i="21"/>
  <c r="CJ83" i="21"/>
  <c r="CI83" i="21"/>
  <c r="CH83" i="21"/>
  <c r="CG83" i="21"/>
  <c r="CF83" i="21"/>
  <c r="CE83" i="21"/>
  <c r="CD83" i="21"/>
  <c r="CC83" i="21"/>
  <c r="CB83" i="21"/>
  <c r="CA83" i="21"/>
  <c r="BZ83" i="21"/>
  <c r="BY83" i="21"/>
  <c r="BX83" i="21"/>
  <c r="BW83" i="21"/>
  <c r="BV83" i="21"/>
  <c r="BU83" i="21"/>
  <c r="BT83" i="21"/>
  <c r="BS83" i="21"/>
  <c r="BR83" i="21"/>
  <c r="BQ83" i="21"/>
  <c r="BP83" i="21"/>
  <c r="BO83" i="21"/>
  <c r="BN83" i="21"/>
  <c r="BM83" i="21"/>
  <c r="BL83" i="21"/>
  <c r="BK83" i="21"/>
  <c r="BJ83" i="21"/>
  <c r="BI83" i="21"/>
  <c r="BH83" i="21"/>
  <c r="BG83" i="21"/>
  <c r="BF83" i="21"/>
  <c r="BE83" i="21"/>
  <c r="BD83" i="21"/>
  <c r="BC83" i="21"/>
  <c r="BB83" i="21"/>
  <c r="BA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EO82" i="21"/>
  <c r="EN82" i="21"/>
  <c r="EM82" i="21"/>
  <c r="EL82" i="21"/>
  <c r="EK82" i="21"/>
  <c r="EJ82" i="21"/>
  <c r="EI82" i="21"/>
  <c r="EH82" i="21"/>
  <c r="EG82" i="21"/>
  <c r="EF82" i="21"/>
  <c r="EE82" i="21"/>
  <c r="ED82" i="21"/>
  <c r="EC82" i="21"/>
  <c r="EB82" i="21"/>
  <c r="EA82" i="21"/>
  <c r="DZ82" i="21"/>
  <c r="DY82" i="21"/>
  <c r="DX82" i="21"/>
  <c r="DW82" i="21"/>
  <c r="DV82" i="21"/>
  <c r="DU82" i="21"/>
  <c r="DT82" i="21"/>
  <c r="DS82" i="21"/>
  <c r="DR82" i="21"/>
  <c r="DQ82" i="21"/>
  <c r="DP82" i="21"/>
  <c r="DO82" i="21"/>
  <c r="DN82" i="21"/>
  <c r="DM82" i="21"/>
  <c r="DL82" i="21"/>
  <c r="DK82" i="21"/>
  <c r="DJ82" i="21"/>
  <c r="DI82" i="21"/>
  <c r="DH82" i="21"/>
  <c r="DG82" i="21"/>
  <c r="DF82" i="21"/>
  <c r="DE82" i="21"/>
  <c r="DD82" i="21"/>
  <c r="DC82" i="21"/>
  <c r="DB82" i="21"/>
  <c r="DA82" i="21"/>
  <c r="CZ82" i="21"/>
  <c r="CY82" i="21"/>
  <c r="CX82" i="21"/>
  <c r="CW82" i="21"/>
  <c r="CV82" i="21"/>
  <c r="CU82" i="21"/>
  <c r="CT82" i="21"/>
  <c r="CS82" i="21"/>
  <c r="CR82" i="21"/>
  <c r="CQ82" i="21"/>
  <c r="CP82" i="21"/>
  <c r="CO82" i="21"/>
  <c r="CN82" i="21"/>
  <c r="CM82" i="21"/>
  <c r="CL82" i="21"/>
  <c r="CK82" i="21"/>
  <c r="CJ82" i="21"/>
  <c r="CI82" i="21"/>
  <c r="CH82" i="21"/>
  <c r="CG82" i="21"/>
  <c r="CF82" i="21"/>
  <c r="CE82" i="21"/>
  <c r="CD82" i="21"/>
  <c r="CC82" i="21"/>
  <c r="CB82" i="21"/>
  <c r="CA82" i="21"/>
  <c r="BZ82" i="21"/>
  <c r="BY82" i="21"/>
  <c r="BX82" i="21"/>
  <c r="BW82" i="21"/>
  <c r="BV82" i="21"/>
  <c r="BU82" i="21"/>
  <c r="BT82" i="21"/>
  <c r="BS82" i="21"/>
  <c r="BR82" i="21"/>
  <c r="BQ82" i="21"/>
  <c r="BP82" i="21"/>
  <c r="BO82" i="21"/>
  <c r="BN82" i="21"/>
  <c r="BM82" i="21"/>
  <c r="BL82" i="21"/>
  <c r="BK82" i="21"/>
  <c r="BJ82" i="21"/>
  <c r="BI82" i="21"/>
  <c r="BH82" i="21"/>
  <c r="BG82" i="21"/>
  <c r="BF82" i="21"/>
  <c r="BE82" i="21"/>
  <c r="BD82" i="21"/>
  <c r="BC82" i="21"/>
  <c r="BB82" i="21"/>
  <c r="BA82"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EO81" i="21"/>
  <c r="EN81" i="21"/>
  <c r="EM81" i="21"/>
  <c r="EL81" i="21"/>
  <c r="EK81" i="21"/>
  <c r="EJ81" i="21"/>
  <c r="EI81" i="21"/>
  <c r="EH81" i="21"/>
  <c r="EG81" i="21"/>
  <c r="EF81" i="21"/>
  <c r="EE81" i="21"/>
  <c r="ED81" i="21"/>
  <c r="EC81" i="21"/>
  <c r="EB81" i="21"/>
  <c r="EA81" i="21"/>
  <c r="DZ81" i="21"/>
  <c r="DY81" i="21"/>
  <c r="DX81" i="21"/>
  <c r="DW81" i="21"/>
  <c r="DV81" i="21"/>
  <c r="DU81" i="21"/>
  <c r="DT81" i="21"/>
  <c r="DS81" i="21"/>
  <c r="DR81" i="21"/>
  <c r="DQ81" i="21"/>
  <c r="DP81" i="21"/>
  <c r="DO81" i="21"/>
  <c r="DN81" i="21"/>
  <c r="DM81" i="21"/>
  <c r="DL81" i="21"/>
  <c r="DK81" i="21"/>
  <c r="DJ81" i="21"/>
  <c r="DI81" i="21"/>
  <c r="DH81" i="21"/>
  <c r="DG81" i="21"/>
  <c r="DF81" i="21"/>
  <c r="DE81" i="21"/>
  <c r="DD81" i="21"/>
  <c r="DC81" i="21"/>
  <c r="DB81" i="21"/>
  <c r="DA81" i="21"/>
  <c r="CZ81" i="21"/>
  <c r="CY81" i="21"/>
  <c r="CX81" i="21"/>
  <c r="CW81" i="21"/>
  <c r="CV81" i="21"/>
  <c r="CU81" i="21"/>
  <c r="CT81" i="21"/>
  <c r="CS81" i="21"/>
  <c r="CR81" i="21"/>
  <c r="CQ81" i="21"/>
  <c r="CP81" i="21"/>
  <c r="CO81" i="21"/>
  <c r="CN81" i="21"/>
  <c r="CM81" i="21"/>
  <c r="CL81" i="21"/>
  <c r="CK81" i="21"/>
  <c r="CJ81" i="21"/>
  <c r="CI81" i="21"/>
  <c r="CH81" i="21"/>
  <c r="CG81" i="21"/>
  <c r="CF81" i="21"/>
  <c r="CE81" i="21"/>
  <c r="CD81" i="21"/>
  <c r="CC81" i="21"/>
  <c r="CB81" i="21"/>
  <c r="CA81" i="21"/>
  <c r="BZ81" i="21"/>
  <c r="BY81" i="21"/>
  <c r="BX81" i="21"/>
  <c r="BW81" i="21"/>
  <c r="BV81" i="21"/>
  <c r="BU81" i="21"/>
  <c r="BT81" i="21"/>
  <c r="BS81" i="21"/>
  <c r="BR81" i="21"/>
  <c r="BQ81" i="21"/>
  <c r="BP81" i="21"/>
  <c r="BO81" i="21"/>
  <c r="BN81" i="21"/>
  <c r="BM81" i="21"/>
  <c r="BL81" i="21"/>
  <c r="BK81" i="21"/>
  <c r="BJ81" i="21"/>
  <c r="BI81" i="21"/>
  <c r="BH81" i="21"/>
  <c r="BG81" i="21"/>
  <c r="BF81" i="21"/>
  <c r="BE81" i="21"/>
  <c r="BD81" i="21"/>
  <c r="BC81" i="21"/>
  <c r="BB81" i="21"/>
  <c r="BA81"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EO80" i="21"/>
  <c r="EN80" i="21"/>
  <c r="EM80" i="21"/>
  <c r="EL80" i="21"/>
  <c r="EK80" i="21"/>
  <c r="EJ80" i="21"/>
  <c r="EI80" i="21"/>
  <c r="EH80" i="21"/>
  <c r="EG80" i="21"/>
  <c r="EF80" i="21"/>
  <c r="EE80" i="21"/>
  <c r="ED80" i="21"/>
  <c r="EC80" i="21"/>
  <c r="EB80" i="21"/>
  <c r="EA80" i="21"/>
  <c r="DZ80" i="21"/>
  <c r="DY80" i="21"/>
  <c r="DX80" i="21"/>
  <c r="DW80" i="21"/>
  <c r="DV80" i="21"/>
  <c r="DU80" i="21"/>
  <c r="DT80" i="21"/>
  <c r="DS80" i="21"/>
  <c r="DR80" i="21"/>
  <c r="DQ80" i="21"/>
  <c r="DP80" i="21"/>
  <c r="DO80" i="21"/>
  <c r="DN80" i="21"/>
  <c r="DM80" i="21"/>
  <c r="DL80" i="21"/>
  <c r="DK80" i="21"/>
  <c r="DJ80" i="21"/>
  <c r="DI80" i="21"/>
  <c r="DH80" i="21"/>
  <c r="DG80" i="21"/>
  <c r="DF80" i="21"/>
  <c r="DE80" i="21"/>
  <c r="DD80" i="21"/>
  <c r="DC80" i="21"/>
  <c r="DB80" i="21"/>
  <c r="DA80" i="21"/>
  <c r="CZ80" i="21"/>
  <c r="CY80" i="21"/>
  <c r="CX80" i="21"/>
  <c r="CW80" i="21"/>
  <c r="CV80" i="21"/>
  <c r="CU80" i="21"/>
  <c r="CT80" i="21"/>
  <c r="CS80" i="21"/>
  <c r="CR80" i="21"/>
  <c r="CQ80" i="21"/>
  <c r="CP80" i="21"/>
  <c r="CO80" i="21"/>
  <c r="CN80" i="21"/>
  <c r="CM80" i="21"/>
  <c r="CL80" i="21"/>
  <c r="CK80" i="21"/>
  <c r="CJ80" i="21"/>
  <c r="CI80" i="21"/>
  <c r="CH80" i="21"/>
  <c r="CG80" i="21"/>
  <c r="CF80" i="21"/>
  <c r="CE80" i="21"/>
  <c r="CD80" i="21"/>
  <c r="CC80" i="21"/>
  <c r="CB80" i="21"/>
  <c r="CA80" i="21"/>
  <c r="BZ80" i="21"/>
  <c r="BY80" i="21"/>
  <c r="BX80" i="21"/>
  <c r="BW80" i="21"/>
  <c r="BV80" i="21"/>
  <c r="BU80" i="21"/>
  <c r="BT80" i="21"/>
  <c r="BS80" i="21"/>
  <c r="BR80" i="21"/>
  <c r="BQ80" i="21"/>
  <c r="BP80" i="21"/>
  <c r="BO80" i="21"/>
  <c r="BN80" i="21"/>
  <c r="BM80" i="21"/>
  <c r="BL80" i="21"/>
  <c r="BK80" i="21"/>
  <c r="BJ80" i="21"/>
  <c r="BI80" i="21"/>
  <c r="BH80" i="21"/>
  <c r="BG80" i="21"/>
  <c r="BF80" i="21"/>
  <c r="BE80" i="21"/>
  <c r="BD80" i="21"/>
  <c r="BC80" i="21"/>
  <c r="BB80" i="21"/>
  <c r="BA80"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EO79" i="21"/>
  <c r="EN79" i="21"/>
  <c r="EM79" i="21"/>
  <c r="EL79" i="21"/>
  <c r="EK79" i="21"/>
  <c r="EJ79" i="21"/>
  <c r="EI79" i="21"/>
  <c r="EH79" i="21"/>
  <c r="EG79" i="21"/>
  <c r="EF79" i="21"/>
  <c r="EE79" i="21"/>
  <c r="ED79" i="21"/>
  <c r="EC79" i="21"/>
  <c r="EB79" i="21"/>
  <c r="EA79" i="21"/>
  <c r="DZ79" i="21"/>
  <c r="DY79" i="21"/>
  <c r="DX79" i="21"/>
  <c r="DW79" i="21"/>
  <c r="DV79" i="21"/>
  <c r="DU79" i="21"/>
  <c r="DT79" i="21"/>
  <c r="DS79" i="21"/>
  <c r="DR79" i="21"/>
  <c r="DQ79" i="21"/>
  <c r="DP79" i="21"/>
  <c r="DO79" i="21"/>
  <c r="DN79" i="21"/>
  <c r="DM79" i="21"/>
  <c r="DL79" i="21"/>
  <c r="DK79" i="21"/>
  <c r="DJ79" i="21"/>
  <c r="DI79" i="21"/>
  <c r="DH79" i="21"/>
  <c r="DG79" i="21"/>
  <c r="DF79" i="21"/>
  <c r="DE79" i="21"/>
  <c r="DD79" i="21"/>
  <c r="DC79" i="21"/>
  <c r="DB79" i="21"/>
  <c r="DA79" i="21"/>
  <c r="CZ79" i="21"/>
  <c r="CY79" i="21"/>
  <c r="CX79" i="21"/>
  <c r="CW79" i="21"/>
  <c r="CV79" i="21"/>
  <c r="CU79" i="21"/>
  <c r="CT79" i="21"/>
  <c r="CS79" i="21"/>
  <c r="CR79" i="21"/>
  <c r="CQ79" i="21"/>
  <c r="CP79" i="21"/>
  <c r="CO79" i="21"/>
  <c r="CN79" i="21"/>
  <c r="CM79" i="21"/>
  <c r="CL79" i="21"/>
  <c r="CK79" i="21"/>
  <c r="CJ79" i="21"/>
  <c r="CI79" i="21"/>
  <c r="CH79" i="21"/>
  <c r="CG79" i="21"/>
  <c r="CF79" i="21"/>
  <c r="CE79" i="21"/>
  <c r="CD79" i="21"/>
  <c r="CC79" i="21"/>
  <c r="CB79" i="21"/>
  <c r="CA79" i="21"/>
  <c r="BZ79" i="21"/>
  <c r="BY79" i="21"/>
  <c r="BX79" i="21"/>
  <c r="BW79" i="21"/>
  <c r="BV79" i="21"/>
  <c r="BU79" i="21"/>
  <c r="BT79" i="21"/>
  <c r="BS79" i="21"/>
  <c r="BR79" i="21"/>
  <c r="BQ79" i="21"/>
  <c r="BP79" i="21"/>
  <c r="BO79" i="21"/>
  <c r="BN79" i="21"/>
  <c r="BM79" i="21"/>
  <c r="BL79" i="21"/>
  <c r="BK79" i="21"/>
  <c r="BJ79" i="21"/>
  <c r="BI79" i="21"/>
  <c r="BH79" i="21"/>
  <c r="BG79" i="21"/>
  <c r="BF79" i="21"/>
  <c r="BE79" i="21"/>
  <c r="BD79" i="21"/>
  <c r="BC79" i="21"/>
  <c r="BB79" i="21"/>
  <c r="BA79"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EO78" i="21"/>
  <c r="EN78" i="21"/>
  <c r="EM78" i="21"/>
  <c r="EL78" i="21"/>
  <c r="EK78" i="21"/>
  <c r="EJ78" i="21"/>
  <c r="EI78" i="21"/>
  <c r="EH78" i="21"/>
  <c r="EG78" i="21"/>
  <c r="EF78" i="21"/>
  <c r="EE78" i="21"/>
  <c r="ED78" i="21"/>
  <c r="EC78" i="21"/>
  <c r="EB78" i="21"/>
  <c r="EA78" i="21"/>
  <c r="DZ78" i="21"/>
  <c r="DY78" i="21"/>
  <c r="DX78" i="21"/>
  <c r="DW78" i="21"/>
  <c r="DV78" i="21"/>
  <c r="DU78" i="21"/>
  <c r="DT78" i="21"/>
  <c r="DS78" i="21"/>
  <c r="DR78" i="21"/>
  <c r="DQ78" i="21"/>
  <c r="DP78" i="21"/>
  <c r="DO78" i="21"/>
  <c r="DN78" i="21"/>
  <c r="DM78" i="21"/>
  <c r="DL78" i="21"/>
  <c r="DK78" i="21"/>
  <c r="DJ78" i="21"/>
  <c r="DI78" i="21"/>
  <c r="DH78" i="21"/>
  <c r="DG78" i="21"/>
  <c r="DF78" i="21"/>
  <c r="DE78" i="21"/>
  <c r="DD78" i="21"/>
  <c r="DC78" i="21"/>
  <c r="DB78" i="21"/>
  <c r="DA78" i="21"/>
  <c r="CZ78" i="21"/>
  <c r="CY78" i="21"/>
  <c r="CX78" i="21"/>
  <c r="CW78" i="21"/>
  <c r="CV78" i="21"/>
  <c r="CU78" i="21"/>
  <c r="CT78" i="21"/>
  <c r="CS78" i="21"/>
  <c r="CR78" i="21"/>
  <c r="CQ78" i="21"/>
  <c r="CP78" i="21"/>
  <c r="CO78" i="21"/>
  <c r="CN78" i="21"/>
  <c r="CM78" i="21"/>
  <c r="CL78" i="21"/>
  <c r="CK78" i="21"/>
  <c r="CJ78" i="21"/>
  <c r="CI78" i="21"/>
  <c r="CH78" i="21"/>
  <c r="CG78" i="21"/>
  <c r="CF78" i="21"/>
  <c r="CE78" i="21"/>
  <c r="CD78" i="21"/>
  <c r="CC78" i="21"/>
  <c r="CB78" i="21"/>
  <c r="CA78" i="21"/>
  <c r="BZ78" i="21"/>
  <c r="BY78" i="21"/>
  <c r="BX78" i="21"/>
  <c r="BW78" i="21"/>
  <c r="BV78" i="21"/>
  <c r="BU78" i="21"/>
  <c r="BT78" i="21"/>
  <c r="BS78" i="21"/>
  <c r="BR78" i="21"/>
  <c r="BQ78" i="21"/>
  <c r="BP78" i="21"/>
  <c r="BO78" i="21"/>
  <c r="BN78" i="21"/>
  <c r="BM78" i="21"/>
  <c r="BL78" i="21"/>
  <c r="BK78" i="21"/>
  <c r="BJ78" i="21"/>
  <c r="BI78" i="21"/>
  <c r="BH78" i="21"/>
  <c r="BG78" i="21"/>
  <c r="BF78" i="21"/>
  <c r="BE78" i="21"/>
  <c r="BD78" i="21"/>
  <c r="BC78" i="21"/>
  <c r="BB78" i="21"/>
  <c r="BA78"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EO77" i="21"/>
  <c r="EN77" i="21"/>
  <c r="EM77" i="21"/>
  <c r="EL77" i="21"/>
  <c r="EK77" i="21"/>
  <c r="EJ77" i="21"/>
  <c r="EI77" i="21"/>
  <c r="EH77" i="21"/>
  <c r="EG77" i="21"/>
  <c r="EF77" i="21"/>
  <c r="EE77" i="21"/>
  <c r="ED77" i="21"/>
  <c r="EC77" i="21"/>
  <c r="EB77" i="21"/>
  <c r="EA77" i="21"/>
  <c r="DZ77" i="21"/>
  <c r="DY77" i="21"/>
  <c r="DX77" i="21"/>
  <c r="DW77" i="21"/>
  <c r="DV77" i="21"/>
  <c r="DU77" i="21"/>
  <c r="DT77" i="21"/>
  <c r="DS77" i="21"/>
  <c r="DR77" i="21"/>
  <c r="DQ77" i="21"/>
  <c r="DP77" i="21"/>
  <c r="DO77" i="21"/>
  <c r="DN77" i="21"/>
  <c r="DM77" i="21"/>
  <c r="DL77" i="21"/>
  <c r="DK77" i="21"/>
  <c r="DJ77" i="21"/>
  <c r="DI77" i="21"/>
  <c r="DH77" i="21"/>
  <c r="DG77" i="21"/>
  <c r="DF77" i="21"/>
  <c r="DE77" i="21"/>
  <c r="DD77" i="21"/>
  <c r="DC77" i="21"/>
  <c r="DB77" i="21"/>
  <c r="DA77" i="21"/>
  <c r="CZ77" i="21"/>
  <c r="CY77" i="21"/>
  <c r="CX77" i="21"/>
  <c r="CW77" i="21"/>
  <c r="CV77" i="21"/>
  <c r="CU77" i="21"/>
  <c r="CT77" i="21"/>
  <c r="CS77" i="21"/>
  <c r="CR77" i="21"/>
  <c r="CQ77" i="21"/>
  <c r="CP77" i="21"/>
  <c r="CO77" i="21"/>
  <c r="CN77" i="21"/>
  <c r="CM77" i="21"/>
  <c r="CL77" i="21"/>
  <c r="CK77" i="21"/>
  <c r="CJ77" i="21"/>
  <c r="CI77" i="21"/>
  <c r="CH77" i="21"/>
  <c r="CG77" i="21"/>
  <c r="CF77" i="21"/>
  <c r="CE77" i="21"/>
  <c r="CD77" i="21"/>
  <c r="CC77" i="21"/>
  <c r="CB77" i="21"/>
  <c r="CA77" i="21"/>
  <c r="BZ77" i="21"/>
  <c r="BY77" i="21"/>
  <c r="BX77" i="21"/>
  <c r="BW77" i="21"/>
  <c r="BV77" i="21"/>
  <c r="BU77" i="21"/>
  <c r="BT77" i="21"/>
  <c r="BS77" i="21"/>
  <c r="BR77" i="21"/>
  <c r="BQ77" i="21"/>
  <c r="BP77" i="21"/>
  <c r="BO77" i="21"/>
  <c r="BN77" i="21"/>
  <c r="BM77" i="21"/>
  <c r="BL77" i="21"/>
  <c r="BK77" i="21"/>
  <c r="BJ77" i="21"/>
  <c r="BI77" i="21"/>
  <c r="BH77" i="21"/>
  <c r="BG77" i="21"/>
  <c r="BF77" i="21"/>
  <c r="BE77" i="21"/>
  <c r="BD77" i="21"/>
  <c r="BC77" i="21"/>
  <c r="BB77" i="21"/>
  <c r="BA77"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EO76" i="21"/>
  <c r="EN76" i="21"/>
  <c r="EM76" i="21"/>
  <c r="EL76" i="21"/>
  <c r="EK76" i="21"/>
  <c r="EJ76" i="21"/>
  <c r="EI76" i="21"/>
  <c r="EH76" i="21"/>
  <c r="EG76" i="21"/>
  <c r="EF76" i="21"/>
  <c r="EE76" i="21"/>
  <c r="ED76" i="21"/>
  <c r="EC76" i="21"/>
  <c r="EB76" i="21"/>
  <c r="EA76" i="21"/>
  <c r="DZ76" i="21"/>
  <c r="DY76" i="21"/>
  <c r="DX76" i="21"/>
  <c r="DW76" i="21"/>
  <c r="DV76" i="21"/>
  <c r="DU76" i="21"/>
  <c r="DT76" i="21"/>
  <c r="DS76" i="21"/>
  <c r="DR76" i="21"/>
  <c r="DQ76" i="21"/>
  <c r="DP76" i="21"/>
  <c r="DO76" i="21"/>
  <c r="DN76" i="21"/>
  <c r="DM76" i="21"/>
  <c r="DL76" i="21"/>
  <c r="DK76" i="21"/>
  <c r="DJ76" i="21"/>
  <c r="DI76" i="21"/>
  <c r="DH76" i="21"/>
  <c r="DG76" i="21"/>
  <c r="DF76" i="21"/>
  <c r="DE76" i="21"/>
  <c r="DD76" i="21"/>
  <c r="DC76" i="21"/>
  <c r="DB76" i="21"/>
  <c r="DA76" i="21"/>
  <c r="CZ76" i="21"/>
  <c r="CY76" i="21"/>
  <c r="CX76" i="21"/>
  <c r="CW76" i="21"/>
  <c r="CV76" i="21"/>
  <c r="CU76" i="21"/>
  <c r="CT76" i="21"/>
  <c r="CS76" i="21"/>
  <c r="CR76" i="21"/>
  <c r="CQ76" i="21"/>
  <c r="CP76" i="21"/>
  <c r="CO76" i="21"/>
  <c r="CN76" i="21"/>
  <c r="CM76" i="21"/>
  <c r="CL76" i="21"/>
  <c r="CK76" i="21"/>
  <c r="CJ76" i="21"/>
  <c r="CI76" i="21"/>
  <c r="CH76" i="21"/>
  <c r="CG76" i="21"/>
  <c r="CF76" i="21"/>
  <c r="CE76" i="21"/>
  <c r="CD76" i="21"/>
  <c r="CC76" i="21"/>
  <c r="CB76" i="21"/>
  <c r="CA76" i="21"/>
  <c r="BZ76" i="21"/>
  <c r="BY76" i="21"/>
  <c r="BX76" i="21"/>
  <c r="BW76" i="21"/>
  <c r="BV76" i="21"/>
  <c r="BU76" i="21"/>
  <c r="BT76" i="21"/>
  <c r="BS76" i="21"/>
  <c r="BR76" i="21"/>
  <c r="BQ76" i="21"/>
  <c r="BP76" i="21"/>
  <c r="BO76" i="21"/>
  <c r="BN76" i="21"/>
  <c r="BM76" i="21"/>
  <c r="BL76" i="21"/>
  <c r="BK76" i="21"/>
  <c r="BJ76" i="21"/>
  <c r="BI76" i="21"/>
  <c r="BH76" i="21"/>
  <c r="BG76" i="21"/>
  <c r="BF76" i="21"/>
  <c r="BE76" i="21"/>
  <c r="BD76" i="21"/>
  <c r="BC76" i="21"/>
  <c r="BB76" i="21"/>
  <c r="BA76"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EO75" i="21"/>
  <c r="EN75" i="21"/>
  <c r="EM75" i="21"/>
  <c r="EL75" i="21"/>
  <c r="EK75" i="21"/>
  <c r="EJ75" i="21"/>
  <c r="EI75" i="21"/>
  <c r="EH75" i="21"/>
  <c r="EG75" i="21"/>
  <c r="EF75" i="21"/>
  <c r="EE75" i="21"/>
  <c r="ED75" i="21"/>
  <c r="EC75" i="21"/>
  <c r="EB75" i="21"/>
  <c r="EA75" i="21"/>
  <c r="DZ75" i="21"/>
  <c r="DY75" i="21"/>
  <c r="DX75" i="21"/>
  <c r="DW75" i="21"/>
  <c r="DV75" i="21"/>
  <c r="DU75" i="21"/>
  <c r="DT75" i="21"/>
  <c r="DS75" i="21"/>
  <c r="DR75" i="21"/>
  <c r="DQ75" i="21"/>
  <c r="DP75" i="21"/>
  <c r="DO75" i="21"/>
  <c r="DN75" i="21"/>
  <c r="DM75" i="21"/>
  <c r="DL75" i="21"/>
  <c r="DK75" i="21"/>
  <c r="DJ75" i="21"/>
  <c r="DI75" i="21"/>
  <c r="DH75" i="21"/>
  <c r="DG75" i="21"/>
  <c r="DF75" i="21"/>
  <c r="DE75" i="21"/>
  <c r="DD75" i="21"/>
  <c r="DC75" i="21"/>
  <c r="DB75" i="21"/>
  <c r="DA75" i="21"/>
  <c r="CZ75" i="21"/>
  <c r="CY75" i="21"/>
  <c r="CX75" i="21"/>
  <c r="CW75" i="21"/>
  <c r="CV75" i="21"/>
  <c r="CU75" i="21"/>
  <c r="CT75" i="21"/>
  <c r="CS75" i="21"/>
  <c r="CR75" i="21"/>
  <c r="CQ75" i="21"/>
  <c r="CP75" i="21"/>
  <c r="CO75" i="21"/>
  <c r="CN75" i="21"/>
  <c r="CM75" i="21"/>
  <c r="CL75" i="21"/>
  <c r="CK75" i="21"/>
  <c r="CJ75" i="21"/>
  <c r="CI75" i="21"/>
  <c r="CH75" i="21"/>
  <c r="CG75" i="21"/>
  <c r="CF75" i="21"/>
  <c r="CE75" i="21"/>
  <c r="CD75" i="21"/>
  <c r="CC75" i="21"/>
  <c r="CB75" i="21"/>
  <c r="CA75" i="21"/>
  <c r="BZ75" i="21"/>
  <c r="BY75" i="21"/>
  <c r="BX75" i="21"/>
  <c r="BW75" i="21"/>
  <c r="BV75" i="21"/>
  <c r="BU75" i="21"/>
  <c r="BT75" i="21"/>
  <c r="BS75" i="21"/>
  <c r="BR75" i="21"/>
  <c r="BQ75" i="21"/>
  <c r="BP75" i="21"/>
  <c r="BO75" i="21"/>
  <c r="BN75" i="21"/>
  <c r="BM75" i="21"/>
  <c r="BL75" i="21"/>
  <c r="BK75" i="21"/>
  <c r="BJ75" i="21"/>
  <c r="BI75" i="21"/>
  <c r="BH75" i="21"/>
  <c r="BG75" i="21"/>
  <c r="BF75" i="21"/>
  <c r="BE75" i="21"/>
  <c r="BD75" i="21"/>
  <c r="BC75" i="21"/>
  <c r="BB75" i="21"/>
  <c r="BA75"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EO74" i="21"/>
  <c r="EN74" i="21"/>
  <c r="EM74" i="21"/>
  <c r="EL74" i="21"/>
  <c r="EK74" i="21"/>
  <c r="EJ74" i="21"/>
  <c r="EI74" i="21"/>
  <c r="EH74" i="21"/>
  <c r="EG74" i="21"/>
  <c r="EF74" i="21"/>
  <c r="EE74" i="21"/>
  <c r="ED74" i="21"/>
  <c r="EC74" i="21"/>
  <c r="EB74" i="21"/>
  <c r="EA74" i="21"/>
  <c r="DZ74" i="21"/>
  <c r="DY74" i="21"/>
  <c r="DX74" i="21"/>
  <c r="DW74" i="21"/>
  <c r="DV74" i="21"/>
  <c r="DU74" i="21"/>
  <c r="DT74" i="21"/>
  <c r="DS74" i="21"/>
  <c r="DR74" i="21"/>
  <c r="DQ74" i="21"/>
  <c r="DP74" i="21"/>
  <c r="DO74" i="21"/>
  <c r="DN74" i="21"/>
  <c r="DM74" i="21"/>
  <c r="DL74" i="21"/>
  <c r="DK74" i="21"/>
  <c r="DJ74" i="21"/>
  <c r="DI74" i="21"/>
  <c r="DH74" i="21"/>
  <c r="DG74" i="21"/>
  <c r="DF74" i="21"/>
  <c r="DE74" i="21"/>
  <c r="DD74" i="21"/>
  <c r="DC74" i="21"/>
  <c r="DB74" i="21"/>
  <c r="DA74" i="21"/>
  <c r="CZ74" i="21"/>
  <c r="CY74" i="21"/>
  <c r="CX74" i="21"/>
  <c r="CW74" i="21"/>
  <c r="CV74" i="21"/>
  <c r="CU74" i="21"/>
  <c r="CT74" i="21"/>
  <c r="CS74" i="21"/>
  <c r="CR74" i="21"/>
  <c r="CQ74" i="21"/>
  <c r="CP74" i="21"/>
  <c r="CO74" i="21"/>
  <c r="CN74" i="21"/>
  <c r="CM74" i="21"/>
  <c r="CL74" i="21"/>
  <c r="CK74" i="21"/>
  <c r="CJ74" i="21"/>
  <c r="CI74" i="21"/>
  <c r="CH74" i="21"/>
  <c r="CG74" i="21"/>
  <c r="CF74" i="21"/>
  <c r="CE74" i="21"/>
  <c r="CD74" i="21"/>
  <c r="CC74" i="21"/>
  <c r="CB74" i="21"/>
  <c r="CA74" i="21"/>
  <c r="BZ74" i="21"/>
  <c r="BY74" i="21"/>
  <c r="BX74" i="21"/>
  <c r="BW74" i="21"/>
  <c r="BV74" i="21"/>
  <c r="BU74" i="21"/>
  <c r="BT74" i="21"/>
  <c r="BS74" i="21"/>
  <c r="BR74" i="21"/>
  <c r="BQ74" i="21"/>
  <c r="BP74" i="21"/>
  <c r="BO74" i="21"/>
  <c r="BN74" i="21"/>
  <c r="BM74" i="21"/>
  <c r="BL74" i="21"/>
  <c r="BK74" i="21"/>
  <c r="BJ74" i="21"/>
  <c r="BI74" i="21"/>
  <c r="BH74" i="21"/>
  <c r="BG74" i="21"/>
  <c r="BF74" i="21"/>
  <c r="BE74" i="21"/>
  <c r="BD74" i="21"/>
  <c r="BC74" i="21"/>
  <c r="BB74" i="21"/>
  <c r="BA74"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EO73" i="21"/>
  <c r="EN73" i="21"/>
  <c r="EM73" i="21"/>
  <c r="EL73" i="21"/>
  <c r="EK73" i="21"/>
  <c r="EJ73" i="21"/>
  <c r="EI73" i="21"/>
  <c r="EH73" i="21"/>
  <c r="EG73" i="21"/>
  <c r="EF73" i="21"/>
  <c r="EE73" i="21"/>
  <c r="ED73" i="21"/>
  <c r="EC73" i="21"/>
  <c r="EB73" i="21"/>
  <c r="EA73" i="21"/>
  <c r="DZ73" i="21"/>
  <c r="DY73" i="21"/>
  <c r="DX73" i="21"/>
  <c r="DW73" i="21"/>
  <c r="DV73" i="21"/>
  <c r="DU73" i="21"/>
  <c r="DT73" i="21"/>
  <c r="DS73" i="21"/>
  <c r="DR73" i="21"/>
  <c r="DQ73" i="21"/>
  <c r="DP73" i="21"/>
  <c r="DO73" i="21"/>
  <c r="DN73" i="21"/>
  <c r="DM73" i="21"/>
  <c r="DL73" i="21"/>
  <c r="DK73" i="21"/>
  <c r="DJ73" i="21"/>
  <c r="DI73" i="21"/>
  <c r="DH73" i="21"/>
  <c r="DG73" i="21"/>
  <c r="DF73" i="21"/>
  <c r="DE73" i="21"/>
  <c r="DD73" i="21"/>
  <c r="DC73" i="21"/>
  <c r="DB73" i="21"/>
  <c r="DA73" i="21"/>
  <c r="CZ73" i="21"/>
  <c r="CY73" i="21"/>
  <c r="CX73" i="21"/>
  <c r="CW73" i="21"/>
  <c r="CV73" i="21"/>
  <c r="CU73" i="21"/>
  <c r="CT73" i="21"/>
  <c r="CS73" i="21"/>
  <c r="CR73" i="21"/>
  <c r="CQ73" i="21"/>
  <c r="CP73" i="21"/>
  <c r="CO73" i="21"/>
  <c r="CN73" i="21"/>
  <c r="CM73" i="21"/>
  <c r="CL73" i="21"/>
  <c r="CK73" i="21"/>
  <c r="CJ73" i="21"/>
  <c r="CI73" i="21"/>
  <c r="CH73" i="21"/>
  <c r="CG73" i="21"/>
  <c r="CF73" i="21"/>
  <c r="CE73" i="21"/>
  <c r="CD73" i="21"/>
  <c r="CC73" i="21"/>
  <c r="CB73" i="21"/>
  <c r="CA73" i="21"/>
  <c r="BZ73" i="21"/>
  <c r="BY73" i="21"/>
  <c r="BX73" i="21"/>
  <c r="BW73" i="21"/>
  <c r="BV73" i="21"/>
  <c r="BU73" i="21"/>
  <c r="BT73" i="21"/>
  <c r="BS73" i="21"/>
  <c r="BR73" i="21"/>
  <c r="BQ73" i="21"/>
  <c r="BP73" i="21"/>
  <c r="BO73" i="21"/>
  <c r="BN73" i="21"/>
  <c r="BM73" i="21"/>
  <c r="BL73" i="21"/>
  <c r="BK73" i="21"/>
  <c r="BJ73" i="21"/>
  <c r="BI73" i="21"/>
  <c r="BH73" i="21"/>
  <c r="BG73" i="21"/>
  <c r="BF73" i="21"/>
  <c r="BE73" i="21"/>
  <c r="BD73" i="21"/>
  <c r="BC73" i="21"/>
  <c r="BB73" i="21"/>
  <c r="BA73"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EO72" i="21"/>
  <c r="EN72" i="21"/>
  <c r="EM72" i="21"/>
  <c r="EL72" i="21"/>
  <c r="EK72" i="21"/>
  <c r="EJ72" i="21"/>
  <c r="EI72" i="21"/>
  <c r="EH72" i="21"/>
  <c r="EG72" i="21"/>
  <c r="EF72" i="21"/>
  <c r="EE72" i="21"/>
  <c r="ED72" i="21"/>
  <c r="EC72" i="21"/>
  <c r="EB72" i="21"/>
  <c r="EA72" i="21"/>
  <c r="DZ72" i="21"/>
  <c r="DY72" i="21"/>
  <c r="DX72" i="21"/>
  <c r="DW72" i="21"/>
  <c r="DV72" i="21"/>
  <c r="DU72" i="21"/>
  <c r="DT72" i="21"/>
  <c r="DS72" i="21"/>
  <c r="DR72" i="21"/>
  <c r="DQ72" i="21"/>
  <c r="DP72" i="21"/>
  <c r="DO72" i="21"/>
  <c r="DN72" i="21"/>
  <c r="DM72" i="21"/>
  <c r="DL72" i="21"/>
  <c r="DK72" i="21"/>
  <c r="DJ72" i="21"/>
  <c r="DI72" i="21"/>
  <c r="DH72" i="21"/>
  <c r="DG72" i="21"/>
  <c r="DF72" i="21"/>
  <c r="DE72" i="21"/>
  <c r="DD72" i="21"/>
  <c r="DC72" i="21"/>
  <c r="DB72" i="21"/>
  <c r="DA72" i="21"/>
  <c r="CZ72" i="21"/>
  <c r="CY72" i="21"/>
  <c r="CX72" i="21"/>
  <c r="CW72" i="21"/>
  <c r="CV72" i="21"/>
  <c r="CU72" i="21"/>
  <c r="CT72" i="21"/>
  <c r="CS72" i="21"/>
  <c r="CR72" i="21"/>
  <c r="CQ72" i="21"/>
  <c r="CP72" i="21"/>
  <c r="CO72" i="21"/>
  <c r="CN72" i="21"/>
  <c r="CM72" i="21"/>
  <c r="CL72" i="21"/>
  <c r="CK72" i="21"/>
  <c r="CJ72" i="21"/>
  <c r="CI72" i="21"/>
  <c r="CH72" i="21"/>
  <c r="CG72" i="21"/>
  <c r="CF72" i="21"/>
  <c r="CE72" i="21"/>
  <c r="CD72" i="21"/>
  <c r="CC72" i="21"/>
  <c r="CB72" i="21"/>
  <c r="CA72" i="21"/>
  <c r="BZ72" i="21"/>
  <c r="BY72" i="21"/>
  <c r="BX72" i="21"/>
  <c r="BW72" i="21"/>
  <c r="BV72" i="21"/>
  <c r="BU72" i="21"/>
  <c r="BT72" i="21"/>
  <c r="BS72" i="21"/>
  <c r="BR72" i="21"/>
  <c r="BQ72" i="21"/>
  <c r="BP72" i="21"/>
  <c r="BO72" i="21"/>
  <c r="BN72" i="21"/>
  <c r="BM72" i="21"/>
  <c r="BL72" i="21"/>
  <c r="BK72" i="21"/>
  <c r="BJ72" i="21"/>
  <c r="BI72" i="21"/>
  <c r="BH72" i="21"/>
  <c r="BG72" i="21"/>
  <c r="BF72" i="21"/>
  <c r="BE72" i="21"/>
  <c r="BD72" i="21"/>
  <c r="BC72" i="21"/>
  <c r="BB72" i="21"/>
  <c r="BA72"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EO71" i="21"/>
  <c r="EN71" i="21"/>
  <c r="EM71" i="21"/>
  <c r="EL71" i="21"/>
  <c r="EK71" i="21"/>
  <c r="EJ71" i="21"/>
  <c r="EI71" i="21"/>
  <c r="EH71" i="21"/>
  <c r="EG71" i="21"/>
  <c r="EF71" i="21"/>
  <c r="EE71" i="21"/>
  <c r="ED71" i="21"/>
  <c r="EC71" i="21"/>
  <c r="EB71" i="21"/>
  <c r="EA71" i="21"/>
  <c r="DZ71" i="21"/>
  <c r="DY71" i="21"/>
  <c r="DX71" i="21"/>
  <c r="DW71" i="21"/>
  <c r="DV71" i="21"/>
  <c r="DU71" i="21"/>
  <c r="DT71" i="21"/>
  <c r="DS71" i="21"/>
  <c r="DR71" i="21"/>
  <c r="DQ71" i="21"/>
  <c r="DP71" i="21"/>
  <c r="DO71" i="21"/>
  <c r="DN71" i="21"/>
  <c r="DM71" i="21"/>
  <c r="DL71" i="21"/>
  <c r="DK71" i="21"/>
  <c r="DJ71" i="21"/>
  <c r="DI71" i="21"/>
  <c r="DH71" i="21"/>
  <c r="DG71" i="21"/>
  <c r="DF71" i="21"/>
  <c r="DE71" i="21"/>
  <c r="DD71" i="21"/>
  <c r="DC71" i="21"/>
  <c r="DB71" i="21"/>
  <c r="DA71" i="21"/>
  <c r="CZ71" i="21"/>
  <c r="CY71" i="21"/>
  <c r="CX71" i="21"/>
  <c r="CW71" i="21"/>
  <c r="CV71" i="21"/>
  <c r="CU71" i="21"/>
  <c r="CT71" i="21"/>
  <c r="CS71" i="21"/>
  <c r="CR71" i="21"/>
  <c r="CQ71" i="21"/>
  <c r="CP71" i="21"/>
  <c r="CO71" i="21"/>
  <c r="CN71" i="21"/>
  <c r="CM71" i="21"/>
  <c r="CL71" i="21"/>
  <c r="CK71" i="21"/>
  <c r="CJ71" i="21"/>
  <c r="CI71" i="21"/>
  <c r="CH71" i="21"/>
  <c r="CG71" i="21"/>
  <c r="CF71" i="21"/>
  <c r="CE71" i="21"/>
  <c r="CD71" i="21"/>
  <c r="CC71" i="21"/>
  <c r="CB71" i="21"/>
  <c r="CA71" i="21"/>
  <c r="BZ71" i="21"/>
  <c r="BY71" i="21"/>
  <c r="BX71" i="21"/>
  <c r="BW71" i="21"/>
  <c r="BV71" i="21"/>
  <c r="BU71" i="21"/>
  <c r="BT71" i="21"/>
  <c r="BS71" i="21"/>
  <c r="BR71" i="21"/>
  <c r="BQ71" i="21"/>
  <c r="BP71" i="21"/>
  <c r="BO71" i="21"/>
  <c r="BN71" i="21"/>
  <c r="BM71" i="21"/>
  <c r="BL71" i="21"/>
  <c r="BK71" i="21"/>
  <c r="BJ71" i="21"/>
  <c r="BI71" i="21"/>
  <c r="BH71" i="21"/>
  <c r="BG71" i="21"/>
  <c r="BF71" i="21"/>
  <c r="BE71" i="21"/>
  <c r="BD71" i="21"/>
  <c r="BC71" i="21"/>
  <c r="BB71" i="21"/>
  <c r="BA71"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EO70" i="21"/>
  <c r="EN70" i="21"/>
  <c r="EM70" i="21"/>
  <c r="EL70" i="21"/>
  <c r="EK70" i="21"/>
  <c r="EJ70" i="21"/>
  <c r="EI70" i="21"/>
  <c r="EH70" i="21"/>
  <c r="EG70" i="21"/>
  <c r="EF70" i="21"/>
  <c r="EE70" i="21"/>
  <c r="ED70" i="21"/>
  <c r="EC70" i="21"/>
  <c r="EB70" i="21"/>
  <c r="EA70" i="21"/>
  <c r="DZ70" i="21"/>
  <c r="DY70" i="21"/>
  <c r="DX70" i="21"/>
  <c r="DW70" i="21"/>
  <c r="DV70" i="21"/>
  <c r="DU70" i="21"/>
  <c r="DT70" i="21"/>
  <c r="DS70" i="21"/>
  <c r="DR70" i="21"/>
  <c r="DQ70" i="21"/>
  <c r="DP70" i="21"/>
  <c r="DO70" i="21"/>
  <c r="DN70" i="21"/>
  <c r="DM70" i="21"/>
  <c r="DL70" i="21"/>
  <c r="DK70" i="21"/>
  <c r="DJ70" i="21"/>
  <c r="DI70" i="21"/>
  <c r="DH70" i="21"/>
  <c r="DG70" i="21"/>
  <c r="DF70" i="21"/>
  <c r="DE70" i="21"/>
  <c r="DD70" i="21"/>
  <c r="DC70" i="21"/>
  <c r="DB70" i="21"/>
  <c r="DA70" i="21"/>
  <c r="CZ70" i="21"/>
  <c r="CY70" i="21"/>
  <c r="CX70" i="21"/>
  <c r="CW70" i="21"/>
  <c r="CV70" i="21"/>
  <c r="CU70" i="21"/>
  <c r="CT70" i="21"/>
  <c r="CS70" i="21"/>
  <c r="CR70" i="21"/>
  <c r="CQ70" i="21"/>
  <c r="CP70" i="21"/>
  <c r="CO70" i="21"/>
  <c r="CN70" i="21"/>
  <c r="CM70" i="21"/>
  <c r="CL70" i="21"/>
  <c r="CK70" i="21"/>
  <c r="CJ70" i="21"/>
  <c r="CI70" i="21"/>
  <c r="CH70" i="21"/>
  <c r="CG70" i="21"/>
  <c r="CF70" i="21"/>
  <c r="CE70" i="21"/>
  <c r="CD70" i="21"/>
  <c r="CC70" i="21"/>
  <c r="CB70" i="21"/>
  <c r="CA70" i="21"/>
  <c r="BZ70" i="21"/>
  <c r="BY70" i="21"/>
  <c r="BX70" i="21"/>
  <c r="BW70" i="21"/>
  <c r="BV70" i="21"/>
  <c r="BU70" i="21"/>
  <c r="BT70" i="21"/>
  <c r="BS70" i="21"/>
  <c r="BR70" i="21"/>
  <c r="BQ70" i="21"/>
  <c r="BP70" i="21"/>
  <c r="BO70" i="21"/>
  <c r="BN70" i="21"/>
  <c r="BM70" i="21"/>
  <c r="BL70" i="21"/>
  <c r="BK70" i="21"/>
  <c r="BJ70" i="21"/>
  <c r="BI70" i="21"/>
  <c r="BH70" i="21"/>
  <c r="BG70" i="21"/>
  <c r="BF70" i="21"/>
  <c r="BE70" i="21"/>
  <c r="BD70" i="21"/>
  <c r="BC70" i="21"/>
  <c r="BB70" i="21"/>
  <c r="BA70"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EO69" i="21"/>
  <c r="EN69" i="21"/>
  <c r="EM69" i="21"/>
  <c r="EL69" i="21"/>
  <c r="EK69" i="21"/>
  <c r="EJ69" i="21"/>
  <c r="EI69" i="21"/>
  <c r="EH69" i="21"/>
  <c r="EG69" i="21"/>
  <c r="EF69" i="21"/>
  <c r="EE69" i="21"/>
  <c r="ED69" i="21"/>
  <c r="EC69" i="21"/>
  <c r="EB69" i="21"/>
  <c r="EA69" i="21"/>
  <c r="DZ69" i="21"/>
  <c r="DY69" i="21"/>
  <c r="DX69" i="21"/>
  <c r="DW69" i="21"/>
  <c r="DV69" i="21"/>
  <c r="DU69" i="21"/>
  <c r="DT69" i="21"/>
  <c r="DS69" i="21"/>
  <c r="DR69" i="21"/>
  <c r="DQ69" i="21"/>
  <c r="DP69" i="21"/>
  <c r="DO69" i="21"/>
  <c r="DN69" i="21"/>
  <c r="DM69" i="21"/>
  <c r="DL69" i="21"/>
  <c r="DK69" i="21"/>
  <c r="DJ69" i="21"/>
  <c r="DI69" i="21"/>
  <c r="DH69" i="21"/>
  <c r="DG69" i="21"/>
  <c r="DF69" i="21"/>
  <c r="DE69" i="21"/>
  <c r="DD69" i="21"/>
  <c r="DC69" i="21"/>
  <c r="DB69" i="21"/>
  <c r="DA69" i="21"/>
  <c r="CZ69" i="21"/>
  <c r="CY69" i="21"/>
  <c r="CX69" i="21"/>
  <c r="CW69" i="21"/>
  <c r="CV69" i="21"/>
  <c r="CU69" i="21"/>
  <c r="CT69" i="21"/>
  <c r="CS69" i="21"/>
  <c r="CR69" i="21"/>
  <c r="CQ69" i="21"/>
  <c r="CP69" i="21"/>
  <c r="CO69" i="21"/>
  <c r="CN69" i="21"/>
  <c r="CM69" i="21"/>
  <c r="CL69" i="21"/>
  <c r="CK69" i="21"/>
  <c r="CJ69" i="21"/>
  <c r="CI69" i="21"/>
  <c r="CH69" i="21"/>
  <c r="CG69" i="21"/>
  <c r="CF69" i="21"/>
  <c r="CE69" i="21"/>
  <c r="CD69" i="21"/>
  <c r="CC69" i="21"/>
  <c r="CB69" i="21"/>
  <c r="CA69" i="21"/>
  <c r="BZ69" i="21"/>
  <c r="BY69" i="21"/>
  <c r="BX69" i="21"/>
  <c r="BW69" i="21"/>
  <c r="BV69" i="21"/>
  <c r="BU69" i="21"/>
  <c r="BT69" i="21"/>
  <c r="BS69" i="21"/>
  <c r="BR69" i="21"/>
  <c r="BQ69" i="21"/>
  <c r="BP69" i="21"/>
  <c r="BO69" i="21"/>
  <c r="BN69" i="21"/>
  <c r="BM69" i="21"/>
  <c r="BL69" i="21"/>
  <c r="BK69" i="21"/>
  <c r="BJ69" i="21"/>
  <c r="BI69" i="21"/>
  <c r="BH69" i="21"/>
  <c r="BG69" i="21"/>
  <c r="BF69" i="21"/>
  <c r="BE69" i="21"/>
  <c r="BD69" i="21"/>
  <c r="BC69" i="21"/>
  <c r="BB69" i="21"/>
  <c r="BA69"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EO68" i="21"/>
  <c r="EN68" i="21"/>
  <c r="EM68" i="21"/>
  <c r="EL68" i="21"/>
  <c r="EK68" i="21"/>
  <c r="EJ68" i="21"/>
  <c r="EI68" i="21"/>
  <c r="EH68" i="21"/>
  <c r="EG68" i="21"/>
  <c r="EF68" i="21"/>
  <c r="EE68" i="21"/>
  <c r="ED68" i="21"/>
  <c r="EC68" i="21"/>
  <c r="EB68" i="21"/>
  <c r="EA68" i="21"/>
  <c r="DZ68" i="21"/>
  <c r="DY68" i="21"/>
  <c r="DX68" i="21"/>
  <c r="DW68" i="21"/>
  <c r="DV68" i="21"/>
  <c r="DU68" i="21"/>
  <c r="DT68" i="21"/>
  <c r="DS68" i="21"/>
  <c r="DR68" i="21"/>
  <c r="DQ68" i="21"/>
  <c r="DP68" i="21"/>
  <c r="DO68" i="21"/>
  <c r="DN68" i="21"/>
  <c r="DM68" i="21"/>
  <c r="DL68" i="21"/>
  <c r="DK68" i="21"/>
  <c r="DJ68" i="21"/>
  <c r="DI68" i="21"/>
  <c r="DH68" i="21"/>
  <c r="DG68" i="21"/>
  <c r="DF68" i="21"/>
  <c r="DE68" i="21"/>
  <c r="DD68" i="21"/>
  <c r="DC68" i="21"/>
  <c r="DB68" i="21"/>
  <c r="DA68" i="21"/>
  <c r="CZ68" i="21"/>
  <c r="CY68" i="21"/>
  <c r="CX68" i="21"/>
  <c r="CW68" i="21"/>
  <c r="CV68" i="21"/>
  <c r="CU68" i="21"/>
  <c r="CT68" i="21"/>
  <c r="CS68" i="21"/>
  <c r="CR68" i="21"/>
  <c r="CQ68" i="21"/>
  <c r="CP68" i="21"/>
  <c r="CO68" i="21"/>
  <c r="CN68" i="21"/>
  <c r="CM68" i="21"/>
  <c r="CL68" i="21"/>
  <c r="CK68" i="21"/>
  <c r="CJ68" i="21"/>
  <c r="CI68" i="21"/>
  <c r="CH68" i="21"/>
  <c r="CG68" i="21"/>
  <c r="CF68" i="21"/>
  <c r="CE68" i="21"/>
  <c r="CD68" i="21"/>
  <c r="CC68" i="21"/>
  <c r="CB68" i="21"/>
  <c r="CA68" i="21"/>
  <c r="BZ68" i="21"/>
  <c r="BY68" i="21"/>
  <c r="BX68" i="21"/>
  <c r="BW68" i="21"/>
  <c r="BV68" i="21"/>
  <c r="BU68" i="21"/>
  <c r="BT68" i="21"/>
  <c r="BS68" i="21"/>
  <c r="BR68" i="21"/>
  <c r="BQ68" i="21"/>
  <c r="BP68" i="21"/>
  <c r="BO68" i="21"/>
  <c r="BN68" i="21"/>
  <c r="BM68" i="21"/>
  <c r="BL68" i="21"/>
  <c r="BK68" i="21"/>
  <c r="BJ68" i="21"/>
  <c r="BI68" i="21"/>
  <c r="BH68" i="21"/>
  <c r="BG68" i="21"/>
  <c r="BF68" i="21"/>
  <c r="BE68" i="21"/>
  <c r="BD68" i="21"/>
  <c r="BC68" i="21"/>
  <c r="BB68" i="21"/>
  <c r="BA68"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EO67" i="21"/>
  <c r="EN67" i="21"/>
  <c r="EM67" i="21"/>
  <c r="EL67" i="21"/>
  <c r="EK67" i="21"/>
  <c r="EJ67" i="21"/>
  <c r="EI67" i="21"/>
  <c r="EH67" i="21"/>
  <c r="EG67" i="21"/>
  <c r="EF67" i="21"/>
  <c r="EE67" i="21"/>
  <c r="ED67" i="21"/>
  <c r="EC67" i="21"/>
  <c r="EB67" i="21"/>
  <c r="EA67" i="21"/>
  <c r="DZ67" i="21"/>
  <c r="DY67" i="21"/>
  <c r="DX67" i="21"/>
  <c r="DW67" i="21"/>
  <c r="DV67" i="21"/>
  <c r="DU67" i="21"/>
  <c r="DT67" i="21"/>
  <c r="DS67" i="21"/>
  <c r="DR67" i="21"/>
  <c r="DQ67" i="21"/>
  <c r="DP67" i="21"/>
  <c r="DO67" i="21"/>
  <c r="DN67" i="21"/>
  <c r="DM67" i="21"/>
  <c r="DL67" i="21"/>
  <c r="DK67" i="21"/>
  <c r="DJ67" i="21"/>
  <c r="DI67" i="21"/>
  <c r="DH67" i="21"/>
  <c r="DG67" i="21"/>
  <c r="DF67" i="21"/>
  <c r="DE67" i="21"/>
  <c r="DD67" i="21"/>
  <c r="DC67" i="21"/>
  <c r="DB67" i="21"/>
  <c r="DA67" i="21"/>
  <c r="CZ67" i="21"/>
  <c r="CY67" i="21"/>
  <c r="CX67" i="21"/>
  <c r="CW67" i="21"/>
  <c r="CV67" i="21"/>
  <c r="CU67" i="21"/>
  <c r="CT67" i="21"/>
  <c r="CS67" i="21"/>
  <c r="CR67" i="21"/>
  <c r="CQ67" i="21"/>
  <c r="CP67" i="21"/>
  <c r="CO67" i="21"/>
  <c r="CN67" i="21"/>
  <c r="CM67" i="21"/>
  <c r="CL67" i="21"/>
  <c r="CK67" i="21"/>
  <c r="CJ67" i="21"/>
  <c r="CI67" i="21"/>
  <c r="CH67" i="21"/>
  <c r="CG67" i="21"/>
  <c r="CF67" i="21"/>
  <c r="CE67" i="21"/>
  <c r="CD67" i="21"/>
  <c r="CC67" i="21"/>
  <c r="CB67" i="21"/>
  <c r="CA67" i="21"/>
  <c r="BZ67" i="21"/>
  <c r="BY67" i="21"/>
  <c r="BX67" i="21"/>
  <c r="BW67" i="21"/>
  <c r="BV67" i="21"/>
  <c r="BU67" i="21"/>
  <c r="BT67" i="21"/>
  <c r="BS67" i="21"/>
  <c r="BR67" i="21"/>
  <c r="BQ67" i="21"/>
  <c r="BP67" i="21"/>
  <c r="BO67" i="21"/>
  <c r="BN67" i="21"/>
  <c r="BM67" i="21"/>
  <c r="BL67" i="21"/>
  <c r="BK67" i="21"/>
  <c r="BJ67" i="21"/>
  <c r="BI67" i="21"/>
  <c r="BH67" i="21"/>
  <c r="BG67" i="21"/>
  <c r="BF67" i="21"/>
  <c r="BE67" i="21"/>
  <c r="BD67" i="21"/>
  <c r="BC67" i="21"/>
  <c r="BB67" i="21"/>
  <c r="BA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EO66" i="21"/>
  <c r="EN66" i="21"/>
  <c r="EM66" i="21"/>
  <c r="EL66" i="21"/>
  <c r="EK66" i="21"/>
  <c r="EJ66" i="21"/>
  <c r="EI66" i="21"/>
  <c r="EH66" i="21"/>
  <c r="EG66" i="21"/>
  <c r="EF66" i="21"/>
  <c r="EE66" i="21"/>
  <c r="ED66" i="21"/>
  <c r="EC66" i="21"/>
  <c r="EB66" i="21"/>
  <c r="EA66" i="21"/>
  <c r="DZ66" i="21"/>
  <c r="DY66" i="21"/>
  <c r="DX66" i="21"/>
  <c r="DW66" i="21"/>
  <c r="DV66" i="21"/>
  <c r="DU66" i="21"/>
  <c r="DT66" i="21"/>
  <c r="DS66" i="21"/>
  <c r="DR66" i="21"/>
  <c r="DQ66" i="21"/>
  <c r="DP66" i="21"/>
  <c r="DO66" i="21"/>
  <c r="DN66" i="21"/>
  <c r="DM66" i="21"/>
  <c r="DL66" i="21"/>
  <c r="DK66" i="21"/>
  <c r="DJ66" i="21"/>
  <c r="DI66" i="21"/>
  <c r="DH66" i="21"/>
  <c r="DG66" i="21"/>
  <c r="DF66" i="21"/>
  <c r="DE66" i="21"/>
  <c r="DD66" i="21"/>
  <c r="DC66" i="21"/>
  <c r="DB66" i="21"/>
  <c r="DA66" i="21"/>
  <c r="CZ66" i="21"/>
  <c r="CY66" i="21"/>
  <c r="CX66" i="21"/>
  <c r="CW66" i="21"/>
  <c r="CV66" i="21"/>
  <c r="CU66" i="21"/>
  <c r="CT66" i="21"/>
  <c r="CS66" i="21"/>
  <c r="CR66" i="21"/>
  <c r="CQ66" i="21"/>
  <c r="CP66" i="21"/>
  <c r="CO66" i="21"/>
  <c r="CN66" i="21"/>
  <c r="CM66" i="21"/>
  <c r="CL66" i="21"/>
  <c r="CK66" i="21"/>
  <c r="CJ66" i="21"/>
  <c r="CI66" i="21"/>
  <c r="CH66" i="21"/>
  <c r="CG66" i="21"/>
  <c r="CF66" i="21"/>
  <c r="CE66" i="21"/>
  <c r="CD66" i="21"/>
  <c r="CC66" i="21"/>
  <c r="CB66" i="21"/>
  <c r="CA66" i="21"/>
  <c r="BZ66" i="21"/>
  <c r="BY66" i="21"/>
  <c r="BX66" i="21"/>
  <c r="BW66" i="21"/>
  <c r="BV66" i="21"/>
  <c r="BU66" i="21"/>
  <c r="BT66" i="21"/>
  <c r="BS66" i="21"/>
  <c r="BR66" i="21"/>
  <c r="BQ66" i="21"/>
  <c r="BP66" i="21"/>
  <c r="BO66" i="21"/>
  <c r="BN66" i="21"/>
  <c r="BM66" i="21"/>
  <c r="BL66" i="21"/>
  <c r="BK66" i="21"/>
  <c r="BJ66" i="21"/>
  <c r="BI66" i="21"/>
  <c r="BH66" i="21"/>
  <c r="BG66" i="21"/>
  <c r="BF66" i="21"/>
  <c r="BE66" i="21"/>
  <c r="BD66" i="21"/>
  <c r="BC66" i="21"/>
  <c r="BB66" i="21"/>
  <c r="BA66"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EO65" i="21"/>
  <c r="EO126" i="21" s="1"/>
  <c r="EN65" i="21"/>
  <c r="EN126" i="21" s="1"/>
  <c r="EM65" i="21"/>
  <c r="EM126" i="21" s="1"/>
  <c r="EL65" i="21"/>
  <c r="EL126" i="21" s="1"/>
  <c r="EK65" i="21"/>
  <c r="EK126" i="21" s="1"/>
  <c r="EJ65" i="21"/>
  <c r="EJ126" i="21" s="1"/>
  <c r="EI65" i="21"/>
  <c r="EI126" i="21" s="1"/>
  <c r="EH65" i="21"/>
  <c r="EH126" i="21" s="1"/>
  <c r="EG65" i="21"/>
  <c r="EG126" i="21" s="1"/>
  <c r="EF65" i="21"/>
  <c r="EF126" i="21" s="1"/>
  <c r="EE65" i="21"/>
  <c r="EE126" i="21" s="1"/>
  <c r="ED65" i="21"/>
  <c r="ED126" i="21" s="1"/>
  <c r="EC65" i="21"/>
  <c r="EC126" i="21" s="1"/>
  <c r="EB65" i="21"/>
  <c r="EB126" i="21" s="1"/>
  <c r="EA65" i="21"/>
  <c r="EA126" i="21" s="1"/>
  <c r="DZ65" i="21"/>
  <c r="DZ126" i="21" s="1"/>
  <c r="DY65" i="21"/>
  <c r="DY126" i="21" s="1"/>
  <c r="DX65" i="21"/>
  <c r="DX126" i="21" s="1"/>
  <c r="DW65" i="21"/>
  <c r="DW126" i="21" s="1"/>
  <c r="DV65" i="21"/>
  <c r="DV126" i="21" s="1"/>
  <c r="DU65" i="21"/>
  <c r="DU126" i="21" s="1"/>
  <c r="DT65" i="21"/>
  <c r="DT126" i="21" s="1"/>
  <c r="DS65" i="21"/>
  <c r="DS126" i="21" s="1"/>
  <c r="DR65" i="21"/>
  <c r="DR126" i="21" s="1"/>
  <c r="DQ65" i="21"/>
  <c r="DQ126" i="21" s="1"/>
  <c r="DP65" i="21"/>
  <c r="DP126" i="21" s="1"/>
  <c r="DO65" i="21"/>
  <c r="DO126" i="21" s="1"/>
  <c r="DN65" i="21"/>
  <c r="DN126" i="21" s="1"/>
  <c r="DM65" i="21"/>
  <c r="DM126" i="21" s="1"/>
  <c r="DL65" i="21"/>
  <c r="DL126" i="21" s="1"/>
  <c r="DK65" i="21"/>
  <c r="DK126" i="21" s="1"/>
  <c r="DJ65" i="21"/>
  <c r="DJ126" i="21" s="1"/>
  <c r="DI65" i="21"/>
  <c r="DI126" i="21" s="1"/>
  <c r="DH65" i="21"/>
  <c r="DH126" i="21" s="1"/>
  <c r="DG65" i="21"/>
  <c r="DG126" i="21" s="1"/>
  <c r="DF65" i="21"/>
  <c r="DF126" i="21" s="1"/>
  <c r="DE65" i="21"/>
  <c r="DE126" i="21" s="1"/>
  <c r="DD65" i="21"/>
  <c r="DD126" i="21" s="1"/>
  <c r="DC65" i="21"/>
  <c r="DC126" i="21" s="1"/>
  <c r="DB65" i="21"/>
  <c r="DB126" i="21" s="1"/>
  <c r="DA65" i="21"/>
  <c r="DA126" i="21" s="1"/>
  <c r="CZ65" i="21"/>
  <c r="CZ126" i="21" s="1"/>
  <c r="CY65" i="21"/>
  <c r="CY126" i="21" s="1"/>
  <c r="CX65" i="21"/>
  <c r="CX126" i="21" s="1"/>
  <c r="CW65" i="21"/>
  <c r="CW126" i="21" s="1"/>
  <c r="CV65" i="21"/>
  <c r="CV126" i="21" s="1"/>
  <c r="CU65" i="21"/>
  <c r="CU126" i="21" s="1"/>
  <c r="CT65" i="21"/>
  <c r="CT126" i="21" s="1"/>
  <c r="CS65" i="21"/>
  <c r="CS126" i="21" s="1"/>
  <c r="CR65" i="21"/>
  <c r="CR126" i="21" s="1"/>
  <c r="CQ65" i="21"/>
  <c r="CQ126" i="21" s="1"/>
  <c r="CP65" i="21"/>
  <c r="CP126" i="21" s="1"/>
  <c r="CO65" i="21"/>
  <c r="CO126" i="21" s="1"/>
  <c r="CN65" i="21"/>
  <c r="CN126" i="21" s="1"/>
  <c r="CM65" i="21"/>
  <c r="CM126" i="21" s="1"/>
  <c r="CL65" i="21"/>
  <c r="CL126" i="21" s="1"/>
  <c r="CK65" i="21"/>
  <c r="CK126" i="21" s="1"/>
  <c r="CJ65" i="21"/>
  <c r="CJ126" i="21" s="1"/>
  <c r="CI65" i="21"/>
  <c r="CI126" i="21" s="1"/>
  <c r="CH65" i="21"/>
  <c r="CH126" i="21" s="1"/>
  <c r="CG65" i="21"/>
  <c r="CG126" i="21" s="1"/>
  <c r="CF65" i="21"/>
  <c r="CF126" i="21" s="1"/>
  <c r="CE65" i="21"/>
  <c r="CE126" i="21" s="1"/>
  <c r="CD65" i="21"/>
  <c r="CD126" i="21" s="1"/>
  <c r="CC65" i="21"/>
  <c r="CC126" i="21" s="1"/>
  <c r="CB65" i="21"/>
  <c r="CB126" i="21" s="1"/>
  <c r="CA65" i="21"/>
  <c r="CA126" i="21" s="1"/>
  <c r="BZ65" i="21"/>
  <c r="BZ126" i="21" s="1"/>
  <c r="BY65" i="21"/>
  <c r="BY126" i="21" s="1"/>
  <c r="BX65" i="21"/>
  <c r="BX126" i="21" s="1"/>
  <c r="BW65" i="21"/>
  <c r="BW126" i="21" s="1"/>
  <c r="BV65" i="21"/>
  <c r="BV126" i="21" s="1"/>
  <c r="BU65" i="21"/>
  <c r="BU126" i="21" s="1"/>
  <c r="BT65" i="21"/>
  <c r="BT126" i="21" s="1"/>
  <c r="BS65" i="21"/>
  <c r="BS126" i="21" s="1"/>
  <c r="BR65" i="21"/>
  <c r="BR126" i="21" s="1"/>
  <c r="BQ65" i="21"/>
  <c r="BQ126" i="21" s="1"/>
  <c r="BP65" i="21"/>
  <c r="BP126" i="21" s="1"/>
  <c r="BO65" i="21"/>
  <c r="BO126" i="21" s="1"/>
  <c r="BN65" i="21"/>
  <c r="BN126" i="21" s="1"/>
  <c r="BM65" i="21"/>
  <c r="BM126" i="21" s="1"/>
  <c r="BL65" i="21"/>
  <c r="BL126" i="21" s="1"/>
  <c r="BK65" i="21"/>
  <c r="BK126" i="21" s="1"/>
  <c r="BJ65" i="21"/>
  <c r="BJ126" i="21" s="1"/>
  <c r="BI65" i="21"/>
  <c r="BI126" i="21" s="1"/>
  <c r="BH65" i="21"/>
  <c r="BH126" i="21" s="1"/>
  <c r="BG65" i="21"/>
  <c r="BG126" i="21" s="1"/>
  <c r="BF65" i="21"/>
  <c r="BF126" i="21" s="1"/>
  <c r="BE65" i="21"/>
  <c r="BE126" i="21" s="1"/>
  <c r="BD65" i="21"/>
  <c r="BD126" i="21" s="1"/>
  <c r="BC65" i="21"/>
  <c r="BC126" i="21" s="1"/>
  <c r="BB65" i="21"/>
  <c r="BB126" i="21" s="1"/>
  <c r="BA65" i="21"/>
  <c r="BA126" i="21" s="1"/>
  <c r="AZ65" i="21"/>
  <c r="AZ126" i="21" s="1"/>
  <c r="AY65" i="21"/>
  <c r="AY126" i="21" s="1"/>
  <c r="AX65" i="21"/>
  <c r="AX126" i="21" s="1"/>
  <c r="AW65" i="21"/>
  <c r="AW126" i="21" s="1"/>
  <c r="AV65" i="21"/>
  <c r="AV126" i="21" s="1"/>
  <c r="AU65" i="21"/>
  <c r="AU126" i="21" s="1"/>
  <c r="AT65" i="21"/>
  <c r="AT126" i="21" s="1"/>
  <c r="AS65" i="21"/>
  <c r="AS126" i="21" s="1"/>
  <c r="AR65" i="21"/>
  <c r="AR126" i="21" s="1"/>
  <c r="AQ65" i="21"/>
  <c r="AQ126" i="21" s="1"/>
  <c r="AP65" i="21"/>
  <c r="AP126" i="21" s="1"/>
  <c r="AO65" i="21"/>
  <c r="AO126" i="21" s="1"/>
  <c r="AN65" i="21"/>
  <c r="AN126" i="21" s="1"/>
  <c r="AM65" i="21"/>
  <c r="AM126" i="21" s="1"/>
  <c r="AL65" i="21"/>
  <c r="AK65" i="21"/>
  <c r="AK126" i="21" s="1"/>
  <c r="AJ65" i="21"/>
  <c r="AJ126" i="21" s="1"/>
  <c r="AI65" i="21"/>
  <c r="AI126" i="21" s="1"/>
  <c r="AH65" i="21"/>
  <c r="AH126" i="21" s="1"/>
  <c r="AG65" i="21"/>
  <c r="AG126" i="21" s="1"/>
  <c r="AF65" i="21"/>
  <c r="AF126" i="21" s="1"/>
  <c r="AE65" i="21"/>
  <c r="AE126" i="21" s="1"/>
  <c r="AD65" i="21"/>
  <c r="AD126" i="21" s="1"/>
  <c r="AC65" i="21"/>
  <c r="AC126" i="21" s="1"/>
  <c r="AB65" i="21"/>
  <c r="AB126" i="21" s="1"/>
  <c r="AA65" i="21"/>
  <c r="AA126" i="21" s="1"/>
  <c r="Z65" i="21"/>
  <c r="Y65" i="21"/>
  <c r="Y126" i="21" s="1"/>
  <c r="X65" i="21"/>
  <c r="X126" i="21" s="1"/>
  <c r="W65" i="21"/>
  <c r="W126" i="21" s="1"/>
  <c r="V65" i="21"/>
  <c r="V126" i="21" s="1"/>
  <c r="U65" i="21"/>
  <c r="U126" i="21" s="1"/>
  <c r="T65" i="21"/>
  <c r="T126" i="21" s="1"/>
  <c r="S65" i="21"/>
  <c r="S126" i="21" s="1"/>
  <c r="R65" i="21"/>
  <c r="R126" i="21" s="1"/>
  <c r="Q65" i="21"/>
  <c r="Q126" i="21" s="1"/>
  <c r="P65" i="21"/>
  <c r="P126" i="21" s="1"/>
  <c r="O65" i="21"/>
  <c r="O126" i="21" s="1"/>
  <c r="N65" i="21"/>
  <c r="M65" i="21"/>
  <c r="M126" i="21" s="1"/>
  <c r="L65" i="21"/>
  <c r="L126" i="21" s="1"/>
  <c r="K65" i="21"/>
  <c r="K126" i="21" s="1"/>
  <c r="J65" i="21"/>
  <c r="J126" i="21" s="1"/>
  <c r="I65" i="21"/>
  <c r="I126" i="21" s="1"/>
  <c r="H65" i="21"/>
  <c r="H126" i="21" s="1"/>
  <c r="G65" i="21"/>
  <c r="G126" i="21" s="1"/>
  <c r="F65" i="21"/>
  <c r="F126" i="21" s="1"/>
  <c r="E65" i="21"/>
  <c r="E126" i="21" s="1"/>
  <c r="D65" i="21"/>
  <c r="D126" i="21" s="1"/>
  <c r="C65" i="21"/>
  <c r="C126" i="21" s="1"/>
  <c r="G10" i="10" a="1"/>
  <c r="P3" i="9" a="1"/>
  <c r="G11" i="10" a="1"/>
  <c r="G13" i="10" a="1"/>
  <c r="G14" i="10" a="1"/>
  <c r="G9" i="10" a="1"/>
  <c r="B23" i="10" a="1"/>
  <c r="I11" i="9" l="1"/>
  <c r="D24" i="9"/>
  <c r="C37" i="9"/>
  <c r="D37" i="9"/>
  <c r="G11" i="10"/>
  <c r="F10" i="11"/>
  <c r="G10" i="11"/>
  <c r="H13" i="11"/>
  <c r="F13" i="11"/>
  <c r="I27" i="11"/>
  <c r="H19" i="11"/>
  <c r="I19" i="11"/>
  <c r="G32" i="11"/>
  <c r="H16" i="11"/>
  <c r="F16" i="11"/>
  <c r="I30" i="11"/>
  <c r="I21" i="11"/>
  <c r="I32" i="11" s="1"/>
  <c r="G13" i="11"/>
  <c r="H27" i="11"/>
  <c r="G27" i="11"/>
  <c r="G19" i="11"/>
  <c r="G30" i="11"/>
  <c r="H30" i="11"/>
  <c r="H21" i="11"/>
  <c r="H32" i="11" s="1"/>
  <c r="I13" i="11"/>
  <c r="G16" i="11"/>
  <c r="I16" i="11"/>
  <c r="I24" i="11"/>
  <c r="I10" i="11"/>
  <c r="J23" i="11"/>
  <c r="J12" i="11"/>
  <c r="J29" i="11"/>
  <c r="J15" i="11"/>
  <c r="K12" i="11"/>
  <c r="K29" i="11"/>
  <c r="L29" i="11"/>
  <c r="L15" i="11"/>
  <c r="L12" i="11"/>
  <c r="K23" i="11"/>
  <c r="K15" i="11"/>
  <c r="B23" i="10"/>
  <c r="B35" i="10" s="1"/>
  <c r="P3" i="9"/>
  <c r="B21" i="10" s="1"/>
  <c r="G10" i="10"/>
  <c r="G9" i="10"/>
  <c r="G14" i="10"/>
  <c r="G13" i="10"/>
  <c r="B8" i="10"/>
  <c r="C8" i="10" s="1"/>
  <c r="A8" i="10"/>
  <c r="J41" i="9"/>
  <c r="I41" i="9"/>
  <c r="G51" i="11" s="1"/>
  <c r="J39" i="9"/>
  <c r="I39" i="9"/>
  <c r="J36" i="9"/>
  <c r="I36" i="9"/>
  <c r="I30" i="9"/>
  <c r="B40" i="9"/>
  <c r="A40" i="9"/>
  <c r="B39" i="9"/>
  <c r="A39" i="9"/>
  <c r="B38" i="9"/>
  <c r="A38" i="9"/>
  <c r="B36" i="9"/>
  <c r="A36" i="9"/>
  <c r="B35" i="9"/>
  <c r="A35" i="9"/>
  <c r="B34" i="9"/>
  <c r="A34" i="9"/>
  <c r="B33" i="9"/>
  <c r="A33" i="9"/>
  <c r="C26" i="9"/>
  <c r="B27" i="9"/>
  <c r="A27" i="9"/>
  <c r="D27" i="9" s="1"/>
  <c r="B26" i="9"/>
  <c r="A26" i="9"/>
  <c r="D26" i="9" s="1"/>
  <c r="B25" i="9"/>
  <c r="A25" i="9"/>
  <c r="D25" i="9" s="1"/>
  <c r="B23" i="9"/>
  <c r="A23" i="9"/>
  <c r="D23" i="9" s="1"/>
  <c r="B22" i="9"/>
  <c r="A22" i="9"/>
  <c r="D22" i="9" s="1"/>
  <c r="B21" i="9"/>
  <c r="A21" i="9"/>
  <c r="D21" i="9" s="1"/>
  <c r="B20" i="9"/>
  <c r="A20" i="9"/>
  <c r="E20" i="9" s="1"/>
  <c r="E33" i="9" s="1"/>
  <c r="G14" i="9"/>
  <c r="G13" i="9"/>
  <c r="G12" i="9"/>
  <c r="G10" i="9"/>
  <c r="G9" i="9"/>
  <c r="G8" i="9"/>
  <c r="G7" i="9"/>
  <c r="F14" i="9"/>
  <c r="F13" i="9"/>
  <c r="F12" i="9"/>
  <c r="H12" i="9" s="1"/>
  <c r="D13" i="10" s="1"/>
  <c r="F10" i="9"/>
  <c r="F9" i="9"/>
  <c r="F8" i="9"/>
  <c r="F7" i="9"/>
  <c r="G36" i="11"/>
  <c r="H36" i="11" s="1"/>
  <c r="I36" i="11" s="1"/>
  <c r="J36" i="11" s="1"/>
  <c r="K36" i="11" s="1"/>
  <c r="I12" i="7"/>
  <c r="I11" i="7"/>
  <c r="I10" i="7"/>
  <c r="I9" i="7"/>
  <c r="I7" i="7"/>
  <c r="I6" i="7"/>
  <c r="I5" i="7"/>
  <c r="I4" i="7"/>
  <c r="N12" i="1"/>
  <c r="N11" i="1"/>
  <c r="N10" i="1"/>
  <c r="N9" i="1"/>
  <c r="N7" i="1"/>
  <c r="N6" i="1"/>
  <c r="N5" i="1"/>
  <c r="N4" i="1"/>
  <c r="H12" i="1"/>
  <c r="H11" i="1"/>
  <c r="H10" i="1"/>
  <c r="H9" i="1"/>
  <c r="H7" i="1"/>
  <c r="H6" i="1"/>
  <c r="H5" i="1"/>
  <c r="H4" i="1"/>
  <c r="B12" i="7"/>
  <c r="B11" i="7"/>
  <c r="B10" i="7"/>
  <c r="B9" i="7"/>
  <c r="B7" i="7"/>
  <c r="B6" i="7"/>
  <c r="B5" i="7"/>
  <c r="B4" i="7"/>
  <c r="D12" i="7"/>
  <c r="C12" i="7"/>
  <c r="D11" i="7"/>
  <c r="C11" i="7"/>
  <c r="F11" i="7" s="1"/>
  <c r="D10" i="7"/>
  <c r="C10" i="7"/>
  <c r="D9" i="7"/>
  <c r="C9" i="7"/>
  <c r="F9" i="7" s="1"/>
  <c r="D7" i="7"/>
  <c r="C7" i="7"/>
  <c r="D6" i="7"/>
  <c r="C6" i="7"/>
  <c r="D5" i="7"/>
  <c r="C5" i="7"/>
  <c r="D4" i="7"/>
  <c r="C4" i="7"/>
  <c r="O12" i="1"/>
  <c r="O11" i="1"/>
  <c r="O9" i="1"/>
  <c r="O10" i="1"/>
  <c r="O7" i="1"/>
  <c r="O6" i="1"/>
  <c r="O5" i="1"/>
  <c r="O4" i="1"/>
  <c r="D10" i="9" a="1"/>
  <c r="D12" i="9" a="1"/>
  <c r="D13" i="9" a="1"/>
  <c r="D8" i="9" a="1"/>
  <c r="G8" i="10" a="1"/>
  <c r="D9" i="9" a="1"/>
  <c r="D7" i="9" a="1"/>
  <c r="H13" i="9" l="1"/>
  <c r="D14" i="10" s="1"/>
  <c r="E26" i="9"/>
  <c r="E39" i="9" s="1"/>
  <c r="H7" i="9"/>
  <c r="D8" i="10" s="1"/>
  <c r="H8" i="9"/>
  <c r="D9" i="10" s="1"/>
  <c r="H9" i="9"/>
  <c r="D10" i="10" s="1"/>
  <c r="H10" i="9"/>
  <c r="C20" i="9"/>
  <c r="D20" i="9"/>
  <c r="E23" i="9"/>
  <c r="E36" i="9" s="1"/>
  <c r="E25" i="9"/>
  <c r="E38" i="9" s="1"/>
  <c r="G8" i="10"/>
  <c r="E21" i="9"/>
  <c r="E34" i="9" s="1"/>
  <c r="C21" i="9"/>
  <c r="E22" i="9"/>
  <c r="E35" i="9" s="1"/>
  <c r="C23" i="9"/>
  <c r="E27" i="9"/>
  <c r="E40" i="9" s="1"/>
  <c r="B39" i="10"/>
  <c r="B20" i="10"/>
  <c r="B22" i="10" s="1"/>
  <c r="H14" i="9"/>
  <c r="D15" i="10" s="1"/>
  <c r="C25" i="9"/>
  <c r="C22" i="9"/>
  <c r="C27" i="9"/>
  <c r="H33" i="11"/>
  <c r="I33" i="11"/>
  <c r="K21" i="11"/>
  <c r="K19" i="11"/>
  <c r="J21" i="11"/>
  <c r="J19" i="11"/>
  <c r="L21" i="11"/>
  <c r="L19" i="11"/>
  <c r="J26" i="11"/>
  <c r="L26" i="11"/>
  <c r="L27" i="11" s="1"/>
  <c r="K26" i="11"/>
  <c r="K27" i="11" s="1"/>
  <c r="B40" i="10"/>
  <c r="D12" i="9"/>
  <c r="E12" i="9" s="1"/>
  <c r="D13" i="9"/>
  <c r="E13" i="9" s="1"/>
  <c r="D8" i="9"/>
  <c r="E8" i="9" s="1"/>
  <c r="D9" i="9"/>
  <c r="E9" i="9" s="1"/>
  <c r="D10" i="9"/>
  <c r="E10" i="9" s="1"/>
  <c r="E11" i="10" s="1"/>
  <c r="E14" i="9"/>
  <c r="D7" i="9"/>
  <c r="E7" i="9" s="1"/>
  <c r="F6" i="7"/>
  <c r="F7" i="7"/>
  <c r="G7" i="7" s="1"/>
  <c r="F4" i="7"/>
  <c r="G4" i="7" s="1"/>
  <c r="E10" i="7"/>
  <c r="F5" i="7"/>
  <c r="G5" i="7" s="1"/>
  <c r="E7" i="7"/>
  <c r="F10" i="7"/>
  <c r="G10" i="7" s="1"/>
  <c r="E12" i="7"/>
  <c r="E9" i="7"/>
  <c r="G6" i="7"/>
  <c r="G11" i="7"/>
  <c r="E6" i="7"/>
  <c r="E4" i="7"/>
  <c r="E5" i="7"/>
  <c r="E11" i="7"/>
  <c r="G9" i="7"/>
  <c r="F12" i="7"/>
  <c r="O21" i="5"/>
  <c r="O20" i="5"/>
  <c r="O19" i="5"/>
  <c r="O17" i="5"/>
  <c r="O16" i="5"/>
  <c r="O15" i="5"/>
  <c r="O14" i="5"/>
  <c r="O12" i="5"/>
  <c r="O11" i="5"/>
  <c r="O10" i="5"/>
  <c r="O9" i="5"/>
  <c r="O7" i="5"/>
  <c r="D12" i="1"/>
  <c r="P12" i="1"/>
  <c r="G12" i="1"/>
  <c r="E12" i="1"/>
  <c r="G9" i="1"/>
  <c r="G11" i="1"/>
  <c r="G10" i="1"/>
  <c r="G4" i="1"/>
  <c r="G7" i="1"/>
  <c r="G6" i="1"/>
  <c r="G5" i="1"/>
  <c r="E9" i="1"/>
  <c r="E11" i="1"/>
  <c r="E10" i="1"/>
  <c r="E4" i="1"/>
  <c r="E7" i="1"/>
  <c r="E6" i="1"/>
  <c r="E5" i="1"/>
  <c r="D9" i="1"/>
  <c r="D11" i="1"/>
  <c r="D10" i="1"/>
  <c r="D4" i="1"/>
  <c r="D7" i="1"/>
  <c r="D6" i="1"/>
  <c r="D5" i="1"/>
  <c r="J21" i="5"/>
  <c r="I21" i="5"/>
  <c r="J17" i="5"/>
  <c r="I17" i="5"/>
  <c r="J14" i="5"/>
  <c r="I14" i="5"/>
  <c r="J16" i="5"/>
  <c r="I16" i="5"/>
  <c r="J10" i="5"/>
  <c r="I10" i="5"/>
  <c r="J19" i="5"/>
  <c r="I19" i="5"/>
  <c r="J11" i="5"/>
  <c r="I11" i="5"/>
  <c r="J7" i="5"/>
  <c r="I7" i="5"/>
  <c r="J12" i="5"/>
  <c r="I12" i="5"/>
  <c r="J15" i="5"/>
  <c r="I15" i="5"/>
  <c r="J9" i="5"/>
  <c r="I9" i="5"/>
  <c r="J20" i="5"/>
  <c r="I20" i="5"/>
  <c r="P9" i="1"/>
  <c r="P11" i="1"/>
  <c r="P10" i="1"/>
  <c r="P4" i="1"/>
  <c r="P7" i="1"/>
  <c r="P6" i="1"/>
  <c r="P5" i="1"/>
  <c r="D11" i="10" l="1"/>
  <c r="F11" i="10" s="1"/>
  <c r="H11" i="10" s="1"/>
  <c r="E42" i="9"/>
  <c r="I31" i="9" s="1"/>
  <c r="I32" i="9" s="1"/>
  <c r="B10" i="8" s="1"/>
  <c r="J32" i="11"/>
  <c r="J33" i="11" s="1"/>
  <c r="J27" i="11"/>
  <c r="L32" i="11"/>
  <c r="K32" i="11"/>
  <c r="B41" i="10"/>
  <c r="B43" i="10" s="1"/>
  <c r="I13" i="9"/>
  <c r="D39" i="9" s="1"/>
  <c r="E14" i="10"/>
  <c r="F14" i="10" s="1"/>
  <c r="H14" i="10" s="1"/>
  <c r="I14" i="9"/>
  <c r="C40" i="9" s="1"/>
  <c r="E15" i="10"/>
  <c r="F15" i="10" s="1"/>
  <c r="H15" i="10" s="1"/>
  <c r="I10" i="9"/>
  <c r="C36" i="9" s="1"/>
  <c r="I9" i="9"/>
  <c r="D35" i="9" s="1"/>
  <c r="E10" i="10"/>
  <c r="F10" i="10" s="1"/>
  <c r="H10" i="10" s="1"/>
  <c r="I8" i="9"/>
  <c r="D34" i="9" s="1"/>
  <c r="E9" i="10"/>
  <c r="F9" i="10" s="1"/>
  <c r="H9" i="10" s="1"/>
  <c r="I12" i="9"/>
  <c r="D38" i="9" s="1"/>
  <c r="E13" i="10"/>
  <c r="F13" i="10" s="1"/>
  <c r="H13" i="10" s="1"/>
  <c r="I7" i="9"/>
  <c r="C33" i="9" s="1"/>
  <c r="E8" i="10"/>
  <c r="F8" i="10" s="1"/>
  <c r="H8" i="10" s="1"/>
  <c r="H7" i="7"/>
  <c r="H10" i="7"/>
  <c r="H9" i="7"/>
  <c r="H6" i="7"/>
  <c r="H4" i="7"/>
  <c r="H5" i="7"/>
  <c r="H12" i="7"/>
  <c r="G12" i="7"/>
  <c r="H11" i="7"/>
  <c r="F12" i="1"/>
  <c r="M12" i="1" s="1"/>
  <c r="F6" i="1"/>
  <c r="M6" i="1" s="1"/>
  <c r="F4" i="1"/>
  <c r="M4" i="1" s="1"/>
  <c r="F5" i="1"/>
  <c r="M5" i="1" s="1"/>
  <c r="F11" i="1"/>
  <c r="M11" i="1" s="1"/>
  <c r="F10" i="1"/>
  <c r="M10" i="1" s="1"/>
  <c r="F7" i="1"/>
  <c r="M7" i="1" s="1"/>
  <c r="F9" i="1"/>
  <c r="M9" i="1" s="1"/>
  <c r="AD39" i="2"/>
  <c r="AD37" i="2"/>
  <c r="AD43" i="2"/>
  <c r="AD42" i="2"/>
  <c r="AD41" i="2"/>
  <c r="AD40" i="2"/>
  <c r="T38" i="2"/>
  <c r="F38" i="2"/>
  <c r="F4" i="2"/>
  <c r="F12" i="10" l="1"/>
  <c r="H12" i="10" s="1"/>
  <c r="B19" i="10" s="1"/>
  <c r="B24" i="10" s="1"/>
  <c r="B30" i="10" s="1"/>
  <c r="B37" i="10" s="1"/>
  <c r="K33" i="11"/>
  <c r="L33" i="11"/>
  <c r="G4" i="11" s="1"/>
  <c r="B44" i="10"/>
  <c r="D40" i="9"/>
  <c r="C39" i="9"/>
  <c r="C38" i="9"/>
  <c r="C34" i="9"/>
  <c r="C35" i="9"/>
  <c r="D36" i="9"/>
  <c r="D33" i="9"/>
  <c r="H16" i="10" l="1"/>
  <c r="B46" i="10"/>
  <c r="G5" i="11" s="1"/>
  <c r="D42" i="9"/>
  <c r="J37" i="9" s="1"/>
  <c r="J38" i="9" s="1"/>
  <c r="J40" i="9" s="1"/>
  <c r="J42" i="9" s="1"/>
  <c r="B9" i="8" s="1"/>
  <c r="C42" i="9"/>
  <c r="I37" i="9" s="1"/>
  <c r="I38" i="9" s="1"/>
  <c r="I40" i="9" s="1"/>
  <c r="I42" i="9" s="1"/>
  <c r="B8" i="8" s="1"/>
  <c r="G37" i="11" l="1"/>
  <c r="G43" i="11"/>
  <c r="B14" i="8"/>
  <c r="B13" i="8"/>
  <c r="B15" i="8"/>
  <c r="B12" i="8"/>
  <c r="G39" i="11" l="1"/>
  <c r="H37" i="11"/>
  <c r="H39" i="11" s="1"/>
  <c r="I37" i="11"/>
  <c r="I39" i="11" s="1"/>
  <c r="J37" i="11"/>
  <c r="J39" i="11" s="1"/>
  <c r="K37" i="11"/>
  <c r="K39" i="11" s="1"/>
  <c r="G44" i="11" l="1"/>
  <c r="G41" i="11"/>
  <c r="G46" i="11" l="1"/>
  <c r="G48" i="11" l="1"/>
  <c r="G50" i="11" s="1"/>
  <c r="G52" i="11" s="1"/>
  <c r="O48" i="11" s="1"/>
  <c r="E8" i="8" l="1"/>
  <c r="E17" i="8" s="1"/>
  <c r="E14" i="8" l="1"/>
  <c r="E16" i="8"/>
  <c r="E1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tc={CCA33E17-7DA5-435D-805B-C9E310445348}</author>
    <author>tc={8DD83298-2620-426B-8637-5AD21A5251AE}</author>
  </authors>
  <commentList>
    <comment ref="A19" authorId="0" shapeId="0" xr:uid="{CCA33E17-7DA5-435D-805B-C9E310445348}">
      <text>
        <t>[Threaded comment]
Your version of Excel allows you to read this threaded comment; however, any edits to it will get removed if the file is opened in a newer version of Excel. Learn more: https://go.microsoft.com/fwlink/?linkid=870924
Comment:
    Note that these will be larger than the actual taxes paid.  Why?  Because these taxes are not incorporating the deduction of interest expense.  We will reflect that deduction in our WACC.</t>
      </text>
    </comment>
    <comment ref="A35" authorId="1" shapeId="0" xr:uid="{8DD83298-2620-426B-8637-5AD21A5251AE}">
      <text>
        <t>[Threaded comment]
Your version of Excel allows you to read this threaded comment; however, any edits to it will get removed if the file is opened in a newer version of Excel. Learn more: https://go.microsoft.com/fwlink/?linkid=870924
Comment:
    We're only getting a portion of the 2025 numbers, since we are at 3/31/2025 (not 1/1/2025)</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<sst xmlns="http://schemas.openxmlformats.org/spreadsheetml/2006/main" count="2147" uniqueCount="1008">
  <si>
    <t>Company</t>
  </si>
  <si>
    <t>Net Debt / Equity</t>
  </si>
  <si>
    <t>Merck &amp; Co., Inc. (NYSE:MRK)</t>
  </si>
  <si>
    <t>Pfizer Inc. (NYSE:PFE)</t>
  </si>
  <si>
    <t>Bristol-Myers Squibb Company (NYSE:BMY)</t>
  </si>
  <si>
    <t>Net Debt ($m)</t>
  </si>
  <si>
    <t>Johnson &amp; Johnson (NYSE:JNJ)</t>
  </si>
  <si>
    <t>Viatris Inc. (NasdaqGS:VTRS)</t>
  </si>
  <si>
    <t>Organon &amp; Co. (NYSE:OGN)</t>
  </si>
  <si>
    <t>Zoetis Inc. (NYSE:ZTS)</t>
  </si>
  <si>
    <t>Year</t>
  </si>
  <si>
    <t>North America</t>
  </si>
  <si>
    <t>Europe</t>
  </si>
  <si>
    <t>APAC</t>
  </si>
  <si>
    <t>Latin America</t>
  </si>
  <si>
    <t>2025E</t>
  </si>
  <si>
    <t>2026E</t>
  </si>
  <si>
    <t>Size ($m)</t>
  </si>
  <si>
    <t>OM</t>
  </si>
  <si>
    <t>Size ($bn)</t>
  </si>
  <si>
    <t>2033E</t>
  </si>
  <si>
    <t>EPS ($)</t>
  </si>
  <si>
    <t>Oncology</t>
  </si>
  <si>
    <t>Immunology</t>
  </si>
  <si>
    <t>Neuroscience</t>
  </si>
  <si>
    <t>Other</t>
  </si>
  <si>
    <t>Mounjaro</t>
  </si>
  <si>
    <t>Zepbound</t>
  </si>
  <si>
    <t>Other Cardiometabolic</t>
  </si>
  <si>
    <t>Capital IQ Company Screening Report &gt; 340 Project 2</t>
  </si>
  <si>
    <t>Company Name</t>
  </si>
  <si>
    <t>Exchange:Ticker</t>
  </si>
  <si>
    <t>Total Revenue [LTM] ($USDmm, Historical rate)</t>
  </si>
  <si>
    <t>EBITDA [LTM] ($USDmm, Historical rate)</t>
  </si>
  <si>
    <t>EBIT [LTM] ($USDmm, Historical rate)</t>
  </si>
  <si>
    <t>Net Income [LTM] ($USDmm, Historical rate)</t>
  </si>
  <si>
    <t>Basic EPS Excl. Extra Items [LTM] ($USD, Historical rate)</t>
  </si>
  <si>
    <t>Revenue - Capital IQ [NTM] ($USDmm, Historical rate)</t>
  </si>
  <si>
    <t>EBITDA - Capital IQ [NTM] ($USDmm, Historical rate)</t>
  </si>
  <si>
    <t>EBIT - Capital IQ [NTM] ($USDmm, Historical rate)</t>
  </si>
  <si>
    <t>Net Income (Excl. Excep) - Capital IQ [NTM] ($USDmm, Historical rate)</t>
  </si>
  <si>
    <t>EPS - Capital IQ [NTM] ($USD, Historical rate)</t>
  </si>
  <si>
    <t>Total Cash &amp; ST Investments [Latest Annual] ($USDmm, Historical rate)</t>
  </si>
  <si>
    <t>Total Debt [Latest Annual] ($USDmm, Historical rate)</t>
  </si>
  <si>
    <t>Market Capitalization [My Setting] [Latest] ($USDmm, Historical rate)</t>
  </si>
  <si>
    <t>Day Close Price [Latest] ($USD, Historical rate)</t>
  </si>
  <si>
    <t>S&amp;P Entity Credit Rating - Issuer Credit Rating - Local Currency LT [Latest] (Rating)</t>
  </si>
  <si>
    <t>Business Description</t>
  </si>
  <si>
    <t>NYSE:JNJ</t>
  </si>
  <si>
    <t>AAA</t>
  </si>
  <si>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</si>
  <si>
    <t>NYSE:MRK</t>
  </si>
  <si>
    <t>A+</t>
  </si>
  <si>
    <t>Merck &amp; Co., Inc. operates as a healthcare company worldwide. It operates through two segments, Pharmaceutical and Animal Health. The company offers human health pharmaceutical for various areas, including oncology, vaccines, hospital acute care, cardiovascular, virology, neuroscience, and diabetes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for animal identification, monitoring and traceability;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Merck &amp; Co., Inc. was founded in 1891 and is headquartered in Rahway, New Jersey.</t>
  </si>
  <si>
    <t>NYSE:PFE</t>
  </si>
  <si>
    <t>A</t>
  </si>
  <si>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</si>
  <si>
    <t>NYSE:BMY</t>
  </si>
  <si>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</si>
  <si>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Eli Lilly and Company (NYSE:LLY)</t>
  </si>
  <si>
    <t>NYSE:LLY</t>
  </si>
  <si>
    <t>Eli Lilly and Company discovers, develops, and markets human pharmaceuticals in the United States, Europe, China, Japan, and internationally.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Eli Lilly and Company was founded in 1876 and is headquartered in Indianapolis, Indiana.</t>
  </si>
  <si>
    <t>NasdaqGS:VTRS</t>
  </si>
  <si>
    <t>BB+</t>
  </si>
  <si>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</si>
  <si>
    <t>NYSE:ZTS</t>
  </si>
  <si>
    <t>BBB</t>
  </si>
  <si>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</si>
  <si>
    <t>NYSE:OGN</t>
  </si>
  <si>
    <t>BB</t>
  </si>
  <si>
    <t>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t>
  </si>
  <si>
    <t>Elanco Animal Health Incorporated (NYSE:ELAN)</t>
  </si>
  <si>
    <t>NYSE:ELAN</t>
  </si>
  <si>
    <t>BB-</t>
  </si>
  <si>
    <t>Elanco Animal Health Incorporated, an animal health company, innovates, develops, manufactures, and markets products for pets and farm animals worldwide. It offers pet health products, such as parasiticides, vaccines, and therapeutics that protect pets from fleas, ticks, and internal parasites under the Seresto, K-9 Advantage, Advantix, and Advocate trademarks; prescription parasiticide products, an over-the-counter treatments for the prevention and elimination of fleas and ticks under the Credelio, Credelio Cat, Credelio Plus, Interceptor Plus, Doncit, Drontal, Drontal Plus, and Trifexis trademarks; vaccines portfolio that provides differentiated prevention coverage for a number of important pet health risks; and therapeutics portfolio for the treatment of pain, otitis, cardiovascular, and dermatology indications, as well as osteoarthritis for dogs and cats under the Galliprant trademark. The company also provides farm animal products that help farmers improve animal health and wellbeing, and raise livestock, such as cattle, swine, and poultry. In addition, it offers medicated feed additives, injectable antibiotics, vaccines, insecticides and enzymes, and others under the Rumensin, Baytril, and Experior trademarks for cattle; and under the Maxiban and Monteban trademarks for the control and prevention of intestinal disease in poultry. Further, the company offers other pet health products for cats and dogs under the Atopica, Milbemax, Onsior, and TruCan trademarks; and other farm animal products for poultry, cattle, and swine under the AviPro, Catosal, Denagard, Hemicell, Pulmotil, and Surmax tradmarks. It sells its products to third-party distributors and independent retailers; and directly to farm animal producers and veterinarians. Elanco Animal Health Incorporated was founded in 1954 and is headquartered in Greenfield, Indiana.</t>
  </si>
  <si>
    <t>Perrigo Company plc (NYSE:PRGO)</t>
  </si>
  <si>
    <t>NYSE:PRGO</t>
  </si>
  <si>
    <t>Perrigo Company plc provides over-the-counter health and wellness solutions in the United States, Europe, and internationally. It operates through Consumer Self-Care Americas and Consumer Self-Care International segments. The company offers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and Compeed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</si>
  <si>
    <t>Jazz Pharmaceuticals plc (NasdaqGS:JAZZ)</t>
  </si>
  <si>
    <t>NasdaqGS:JAZZ</t>
  </si>
  <si>
    <t>Jazz Pharmaceuticals plc identifies, develops, and commercializes pharmaceutical products in the United States, Europe, and internationally. The company offers Xywav to treat cataplexy or excessive daytime sleepiness (EDS) with narcolepsy and idiopathic hypersomnia (IH); Xyrem for the treatment of cataplexy or EDS with narcolepsy; Epidiolex for seizures associated with Lennox-Gastaut syndrome (LGS), Dravet syndrome (DS), or tuberous sclerosis complex (TSC); Rylaze for the treatment of acute lymphoblastic leukemia or lymphoblastic lymphoma; Enrylaze to treat acute lymphoblastic leukemia and lymphoblastic lymphoma; Zepzelca for the treatment of metastatic small cell lung cancer with disease progression on or after platinum-based chemotherapy; Ziihera to treat HER2-positive biliary tract cancers; Defitelio to treat severe veno-occlusive disease; and Vyxeos for the treatment of newly-diagnosed therapy-related acute myeloid leukemia. It also develops Zanidatamab in Phase 3 trial to treat HER2-expressing gastroesophageal adenocarcinoma (GEA), and patients with HER2-expressing metastatic GEA; Epidiolex in Phase 3 trial to treat LGS, DS, and TSC; Suvecaltamide in Phase 2 trial to treat Parkinson's disease tremor; JZP815, a pan-RAF kinase inhibitor in Phase 1 trial that targets components of the mitogen-activated protein kinase; JZP898, a conditionally activated interferon alpha molecule in Phase 1 trial; JZP441 in Phase 1 trial to treat narcolepsy, IH, and other sleep disorders; JZP324, an extended-release low sodium oxybate formulation in Phase 1 trial for patients with sleep disorders; and JZP150 to treat post-traumatic stress disorder. The company has licensing and collaboration agreements with Redx Pharma plc, Autifony Therapeutics Limited, Zymeworks Inc., Sumitomo Pharma Co., Ltd., and Werewolf Therapeutics, Inc. Jazz Pharmaceuticals plc was founded in 2003 and is headquartered in Dublin, Ireland.</t>
  </si>
  <si>
    <t>Amneal Pharmaceuticals, Inc. (NasdaqGS:AMRX)</t>
  </si>
  <si>
    <t>NasdaqGS:AMRX</t>
  </si>
  <si>
    <t>B+</t>
  </si>
  <si>
    <t>Amneal Pharmaceuticals, Inc., a global biopharmaceutical company, develops, manufactures, markets, and distributes generics, injectables, biosimilars, and specialty branded pharmaceutical products worldwide. The company operates through three segments: Affordable Medicines, Specialty, and AvKARE. The Affordable Medicines segment offers dosage forms and delivery systems, which include immediate and extended-release oral solids, powders, liquids, sterile injectables, nasal sprays, inhalation and respiratory products, biosimilar products, ophthalmics, films, transdermal patches, and topicals. The Specialty segment develops, promotes, sells, and distributes pharmaceutical products with focus on central nervous system disorders, including Parkinson’s disease, and endocrine disorders. This segment provides Rytary, an oral capsule formulation of carbidopa-levodopa to treat Parkinson’s disease, post-encephalitic parkinsonism, and parkinsonism; Unithroid and ONGENTYS for the treatment of hypothyroidism; and CREXONT which is use for the treatment of Parkinson’s disease. The AvKARE segment offers pharmaceuticals, medical and surgical products, and services primarily to governmental agencies, the Department of Defense, and the Department of Veterans Affairs. This segment also distributes bottle and unit dose pharmaceuticals under the AvKARE and AvPAK names; and packages and distributes pharmaceuticals and vitamins to its retail and institutional customers. It sells its products through wholesalers, distributors, retail pharmacies, managed care organizations, purchasing co-ops, hospitals, government agencies, institutions, and pharmaceutical companies. The company was formerly known as Atlas Holdings, Inc. and changed its name to Amneal Pharmaceuticals, Inc. in 2018. Amneal Pharmaceuticals, Inc. was founded in 2002 and is headquartered in Bridgewater, New Jersey.</t>
  </si>
  <si>
    <t>Prestige Consumer Healthcare Inc. (NYSE:PBH)</t>
  </si>
  <si>
    <t>NYSE:PBH</t>
  </si>
  <si>
    <t>Prestige Consumer Healthcare Inc., together with its subsidiaries, develops, manufactures, markets, distributes, and sells over the counter (OTC) health and personal care products in North America, Australia, and internationally. The company operates in two segments, North American OTC Healthcare and International OTC Healthcare. It offers analgesic powders under the BC and Goody's brand; diaper rash treatments and skin protectants for babies under the Boudreaux's Butt Paste brand name; sprays and lozenges to relieve sore throats and mouth pain under the Chloraseptic brand; eye care products that provide relief from redness and itchiness under the Clear Eyes brand name; at-home removal of common and plantar warts under the Compound W brand; and Debrox for ear wax removal. The company also provides dental guards, floss picks, interdental brushes, dental repair and kits, and tongue cleaners under the DenTek brand; Dramamine for motion sickness relief; enemas and other laxative products under the Fleet brand name; Gaviscon for upset stomach; cough drops under the Luden's brand; Monistat for yeast infections in women; Nix for lice and parasite treatments; feminine care products, including washes, cloths, and sprays under the Summer's Eve brand; TheraTears for dry eyes; nasal saline sprays and washes under the Fess brand name; and Hydralyte for oral rehydration. It sells its products through mass merchandisers; and drug, food, dollar, convenience, and club stores, as well as e-commerce channels. The company was formerly known as Prestige Brands Holdings, Inc. and changed its name to Prestige Consumer Healthcare Inc. in August 2018. Prestige Consumer Healthcare Inc. was founded in 1996 and is headquartered in Tarrytown, New York.</t>
  </si>
  <si>
    <t>Phibro Animal Health Corporation (NasdaqGM:PAHC)</t>
  </si>
  <si>
    <t>NasdaqGM:PAHC</t>
  </si>
  <si>
    <t>NR</t>
  </si>
  <si>
    <t>Phibro Animal Health Corporation operates as an animal health and mineral nutrition company in the United States, Israel, Brazil, Ireland, and internationally.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development,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manganese, copper, iron, and other compounds to fortify the daily feed requirements of their livestock’s diets and maintain optimal balance of trace elements in animals. Additionally, the company offers specialty ingredients for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founded in 1946 and is headquartered in Teaneck, New Jersey.</t>
  </si>
  <si>
    <t>Tilray Brands, Inc. (NasdaqGS:TLRY)</t>
  </si>
  <si>
    <t>NasdaqGS:TLRY</t>
  </si>
  <si>
    <t>-</t>
  </si>
  <si>
    <t>Tilray Brands, Inc., a lifestyle consumer products company, engages in the research, cultivation, processing, and distribution of medical cannabis products in Canada, the United States, Europe, Australia, New Zealand, Latin America, and internationally. The company operates through four segments: Beverage Alcohol, Cannabis, Distribution, and Wellness. It also offers medical and adult-use cannabis products; purchases and resells pharmaceutical and wellness products; and produces, markets, sells, and distributes beverage alcohol products, and hemp-based food and other wellness products. The company offers its products under the Tilray, Aphria, Broken Coast, Symbios, Navcora, Charlotte's Web, Montauk Brewing, Shock Top, 10 Barrell, Breckenridge Brewery, SweetWater Brewing, Breckenridge Distillery, Blue Point Brewing, Broken Coast, Redecan, XMG, Manitoba Harvest, CC Pharma, Good Supply, Solei, Mollo, Chowie Wowie, Original Stash, Canaca, RIFF, Bake Sale, The Batch, HEXO, Alpine Beer Company, Green Flash, Hiball Energy, Redhook Brewery, Square Mile Cider, Widmer Brothers Brewing, Runner’s High Brewing Company, Happy Flower, and Fresh Hemp Foods brands. It sells its products to retailers, wholesalers, patients, physicians, hospitals, pharmacies, researchers, and governments, as well as direct to consumers. The company was formerly known as Tilray, Inc. and changed its name to Tilray Brands, Inc. in January 2022. Tilray Brands, Inc. is headquartered in Leamington, Canada.</t>
  </si>
  <si>
    <t>Amphastar Pharmaceuticals, Inc. (NasdaqGS:AMPH)</t>
  </si>
  <si>
    <t>NasdaqGS:AMPH</t>
  </si>
  <si>
    <t>Amphastar Pharmaceuticals, Inc., a bio-pharmaceutical company, develops, manufactures, markets, and sells generic and proprietary injectable, inhalation, and intranasal products in the United States, China, and France. It offers BAQSIMI, a nasal spray for the treatment of severe hypoglycemia; Primatene Mist, an over-the-counter epinephrine inhalation product for the temporary relief of mild symptoms of intermittent asthma; Enoxaparin to prevent and treat deep vein thrombosis; REXTOVY and Naloxone for opioid overdose; Glucagon for injection emergency kit; and Cortrosyn, for use as a diagnostic agent in the screening of patients with adrenocortical insufficiency. The company also provides Amphadase, a bovine-sourced hyaluronidase injection; Epinephrine injection for allergic reactions; Lidocaine jelly, an anesthetic product for urological procedures; Lidocaine topical solution for various procedures; Phytonadione injection, a vitamin K1 injection for newborn babies; emergency syringe products; morphine injection for use with patient-controlled analgesia pumps; and Lorazepam injection for surgery and medical procedures. In addition, it offers Neostigmine methylsulfate injection to treat myasthenia gravis and to reverse the effects of muscle relaxants; Isoproterenol hydrochloride injection for mild or transient episodes of heart block; Ganirelix Acetate injection for the inhibition of premature luteinizing hormone surges; Vasopressin to increase blood pressure; and Regadenoson, a stress agent for radionuclide myocardial perfusion imaging, as well as Albuterol Sulfate inhalation aerosol. Further, the company distributes recombinant human insulin APIs and porcine insulin API. Additionally, it develops generic product candidates, such as injectable, inhalation, and analytical technologies; biosimial product candidates; and intranasal epinephrine for the treatment of allergic reactions. The company was founded in 1996 and is headquartered in Rancho Cucamonga, California.</t>
  </si>
  <si>
    <t>Harmony Biosciences Holdings, Inc. (NasdaqGM:HRMY)</t>
  </si>
  <si>
    <t>NasdaqGM:HRMY</t>
  </si>
  <si>
    <t>Harmony Biosciences Holdings, Inc., a commercial-stage pharmaceutical company, focuses on developing and commercializing therapies for patients with rare and other neurological diseases in the United States. The company offers WAKIX (pitolisant), a molecule with a novel mechanism of action for the treatment of excessive daytime sleepiness in adult patients with narcolepsy. It also develops Pitolisant that is in Phase 3 clinical trial for the treatment of Prader-Willi Syndrome (PWS); in Phase 2 clinical trial to treat Myotonic Dystrophy (DM1); and is in Phase 1 clinical trials for the treatment of Pitolisant Gastro-Resistant (GR) and High-Dose (HD). In addition, the company’s products under development include BP1.15205, an orexin 2 receptor agonist for the treatment of narcolepsy and other potential indications; and HBS-102, a melanin-concentrating hormone receptor type 1 (MCHR1) antagonist. Further, it develops ZYN-002 that is in a Phase 3 registrational trial for the treatment of Fragile X Syndrome (FXS), rare genetic disorder that causes inherited intellectual disability and autism spectrum disorder; and 22q Deletion Syndrome, a disorder caused by a small missing piece on the long arm of the 22nd chromosome. Additionally, the company is developing EPX-100 (clemizole hydrochloride), a serotonin (5HT-2) receptor agonist to treat dravet syndrome and lenox-gastaut syndrome; and EPX-200 (liquid formulation of lorcaserin), a selective 5HT-2C agonist to treat developmental and epileptic encephalopathies (DEE). The company was formerly known as Harmony Biosciences II, Inc. and changed its name to Harmony Biosciences Holdings, Inc. in February 2020. Harmony Biosciences Holdings, Inc. was incorporated in 2017 and is headquartered in Plymouth Meeting, Pennsylvania.</t>
  </si>
  <si>
    <t>Pacira BioSciences, Inc. (NasdaqGS:PCRX)</t>
  </si>
  <si>
    <t>NasdaqGS:PCRX</t>
  </si>
  <si>
    <t>Pacira BioSciences, Inc. engages in the development, manufacture, marketing, distribution, and sale of non-opioid pain management and regenerative health solutions to healthcare practitioners in the United States. The company offers EXPAREL, a bupivacaine liposome injectable suspension for postsurgical pain management; ZILRETTA, a triamcinolone acetonide extended-release injectable suspension indicated for the management of osteoarthritis and knee pain; and iovera system, a non-opioid handheld cryoanalgesia device used to deliver controlled doses of cold temperature to targeted nerves to produce neurolytic block that interrupts the pain-transmitting signals of a peripheral nerve. It also develops PCRX-201, a novel gene therapy vector platform enabling local administration of genetic medicines with the potential to treat large prevalent diseases like osteoarthritis. The company has a development and commercialization, and supply agreement with Aratana Therapeutics, Inc. for NOCITA, a bupivacaine liposome injectable suspension product for use in animals. The company was formerly known as Pacira Pharmaceuticals, Inc. and changed its name to Pacira BioSciences, Inc. in April 2019. Pacira BioSciences, Inc. was incorporated in 2006 and is headquartered in Tampa, Florida.</t>
  </si>
  <si>
    <t>Intra-Cellular Therapies, Inc. (NasdaqGS:ITCI)</t>
  </si>
  <si>
    <t>NasdaqGS:ITCI</t>
  </si>
  <si>
    <t>Intra-Cellular Therapies, Inc., a biopharmaceutical company, focuses on the discovery, clinical development, and commercialization of small molecule drugs that address medical needs primarily in psychiatric and neurological disorders in the United States. The company offers CAPLYTA for the treatment of schizophrenia and bipolar depression in adults. It is also involved in developing lumateperone, which is in Phase 3 clinical trial for the treatment of major depressive disorder, as well as schizophrenia in pediatric patients, bipolar disorder, and irritability associated with autism spectrum disorder. In addition, the company develops lenrispodun (ITI-214) in Phase 2 clinical trial for the treatment of Parkinson’s disease; ITI-1284-ODT-SL in Phase 2 trial for the treatment of generalized anxiety disorder, and psychosis and agitation in patients with Alzheimer’s disease; ITI-1020 in Phase 1 trial for cancer immunotherapy; and ITI-1549 in preclinical studies for mood and anxiety disorders. It distributes its products through third-party wholesale drug distributors. Intra-Cellular Therapies, Inc. was founded in 2002 and is headquartered in Bedminster, New Jersey.</t>
  </si>
  <si>
    <t>Corcept Therapeutics Incorporated (NasdaqCM:CORT)</t>
  </si>
  <si>
    <t>NasdaqCM:CORT</t>
  </si>
  <si>
    <t>Corcept Therapeutics Incorporated engages in discovery and development of medication for the treatment of severe endocrinologic, oncologic, metabolic, and neurologic disorders in the United States. It offers Korlym tablets medication for the treatment of hyperglycemia secondary to hypercortisolism in adult patients with endogenous cushing’s syndrome; and who have type 2 diabetes mellitus or glucose intolerance and have failed surgery or are not candidates for surgery. The company is also developing relacorilant, which is in phase III clinical trial for the treatment of hypercortisolism; relacorilant combined with nab-paclitaxel which is in phase III clinical trial to treat platinum-resistant ovarian tumors; treatment for adrenal cancer and cortisol excess which is in phase 1b clinical trial; and for treatment for prostate cancer which is in phase II clinical trial. In addition, it develops dazucorilant, which is in phase II clinical trial for the treatment of amyotrophic lateral sclerosis; and miricorilant, which is in phase IIb trial for the treatment of metabolic dysfunction-associated steatohepatitis. The company was incorporated in 1998 and is headquartered in Redwood City, California.</t>
  </si>
  <si>
    <t>Supernus Pharmaceuticals, Inc. (NasdaqGM:SUPN)</t>
  </si>
  <si>
    <t>NasdaqGM:SUPN</t>
  </si>
  <si>
    <t>Supernus Pharmaceuticals, Inc., a biopharmaceutical company, develops and commercializes products for the treatment of central nervous system (CNS) diseases in the United States. The company offers Qelbree, a non-stimulant indicated for the treatment of attention-deficit hyperactivity disorder (ADHD); GOCOVRI for the treatment of dyskinesia and levodopa/carbidopa in patients with Parkinson's Disease (PD); Oxtellar XR, an extended-release oxcarbazepine product indicated for the monotherapy treatment of partial onset epilepsy seizures; and APOKYN for the acute and intermittent treatment of hypomobility or off episodes in patients with advanced PD. It also provides Trokendi XR, an extended release topiramate product indicated for the treatment of epilepsy, as well as for the prophylaxis of migraine headache; XADAGO for the treatment of levodopa/carbidopa in patients with PD experiencing off episodes; and MYOBLOC, a Type B toxin product indicated for the treatment of cervical dystonia and chronic sialorrhea. In addition, the company develops ONAPGO, which received FDA approval, for the treatment of motor fluctuations in adults with advanced PD; SPN-817, a first-in-class selective acetylcholinesterase inhibitor, which is in Phase 2 clinical trial, for the treatment of epilepsy, partial seizures, Dravet syndrome, and Lennox-Gaustaut syndrome; SPN-820, a small molecule in Phase 2 clinical trial for treating resistant depression; SPN-443, a stimulant in Phase 1 trial for the treatment of ADHD/CNS; and SPN-446, a preclinical product for CNS. It markets and sells its products through pharmaceutical wholesalers, specialty pharmacies, and distributors. It has a development agreement with Navitor Inc. for the conduct of Phase 2 clinical program of SPN-820. Supernus Pharmaceuticals, Inc. was incorporated in 2005 and is based in Rockville, Maryland.</t>
  </si>
  <si>
    <t>Collegium Pharmaceutical, Inc. (NasdaqGS:COLL)</t>
  </si>
  <si>
    <t>NasdaqGS:COLL</t>
  </si>
  <si>
    <t>Collegium Pharmaceutical, Inc., a specialty pharmaceutical company, engages in the development and commercialization of medicines for pain management. The company’s portfolio includes Jornay PM, a central nervous system stimulant prescription medicine that contains methylphenidate HCl for the treatment of attention deficit hyperactivity disorder; Belbuca, a buccal film that contains buprenorphine for severe and persistent pain that requires an extended treatment period; Xtampza ER, an abuse-deterrent, extended-release, oral formulation of oxycodone for the management of pain severe enough to require daily; Nucynta ER and Nucynta IR, which are extended-release and immediate-release oral formulations of tapentadol, indicated for the management of acute, severe, and persistent pain; and Symproic, an oral formulation of naldemedine for the treatment of opioid-induced constipation in adult patients with chronic non-cancer pain. The company was formerly known as Collegium Pharmaceuticals, Inc. and changed its name to Collegium Pharmaceutical, Inc. in October 2003. Collegium Pharmaceutical, Inc. was incorporated in 2002 and is headquartered in Stoughton, Massachusetts.</t>
  </si>
  <si>
    <t>ANI Pharmaceuticals, Inc. (NasdaqGM:ANIP)</t>
  </si>
  <si>
    <t>NasdaqGM:ANIP</t>
  </si>
  <si>
    <t>ANI Pharmaceuticals, Inc., a biopharmaceutical company, develops, manufactures, and markets branded and generic pharmaceutical products in the United States and internationally. The company provides injectables, softgel capsules, and Cortrophin gel, as well as ILUVIEN and YUTIQ products. It also manufactures oral solid dose products, semi-solids, liquids, topicals, controlled substances, and potent products. It markets, sells, and distributes its products through wholesalers, retail market chains, distributors and specialty pharmacies, group purchasing organizations, specialty pharmacies, hospitals, clinics, and physicians. ANI Pharmaceuticals, Inc. was incorporated in 2001 and is headquartered in Baudette, Minnesota.</t>
  </si>
  <si>
    <t>Axsome Therapeutics, Inc. (NasdaqGM:AXSM)</t>
  </si>
  <si>
    <t>NasdaqGM:AXSM</t>
  </si>
  <si>
    <t>Axsome Therapeutics, Inc., a biopharmaceutical company, engages in developing and delivering novel therapies for the management of central nervous system (CNS) disorders in the United States. The company’s commercial product portfolio includes Auvelity (dextromethorphan-bupropion), a N-methyl-D-aspartate receptor antagonist, sigma-1 receptor agonist, aminoketone, and CYP2D6 inhibitor indicated for the treatment of major depressive disorder; Sunosi (solriamfetol), a dopamine and norepinephrine reuptake inhibitor, trace amine-associated receptor 1 agonist, and 5-HT1A agonist indicated for the treatment of excessive daytime sleepiness in patients with narcolepsy or obstructive sleep apnea; and Symbravo (MoSEIC meloxicam rizatriptan), or AXS-07, a rapidly absorbed, multi-mechanistic, selective COX-2 inhibitor, and 5-HT1B/1D agonist indicated for the acute treatment of migraine with or without aura. It is also developing AXS-05 (dextromethorphan-bupropion), an investigational N-methyl-D-aspartate receptor antagonist, which has completed Phase III clinical trial to treat Alzheimer's disease agitation, as well as that has completed phase II clinical trial for the treatment of smoking cessation; AXS-12 (reboxetine), a highly selective and potent norepinephrine reuptake inhibitor, which has completed Phase III trial to treat narcolepsy; AXS-14 (esreboxetine), a selective and potent norepinephrine reuptake inhibitor that has completed Phase III trial for the treatment of fibromyalgia and other conditions; and Solriamfetol, a dopamine and norepinephrine reuptake inhibitor, which is in Phase III trial for treating attention deficit hyperactivity, major depressive, binge eating, and excessive sleepiness associated with shift work disorder. The company has a research collaboration agreement with Duke University for evaluating AXS-05 in a Phase 2 clinical trial in smoking cessation. Axsome Therapeutics, Inc. was incorporated in 2012 and is based in New York, New York.</t>
  </si>
  <si>
    <t>Innoviva, Inc. (NasdaqGS:INVA)</t>
  </si>
  <si>
    <t>NasdaqGS:INVA</t>
  </si>
  <si>
    <t>Innoviva, Inc. engages in the development and commercialization of pharmaceutical products in the United States and internationally. The company’s products include RELVAR/BREO ELLIPTA, a once-daily combination medicine consisting of a LABA, vilanterol (VI), an inhaled corticosteroid (ICS), and fluticasone furoate; ANORO ELLIPTA, a once-daily medicine combining a long-acting muscarinic antagonist (LAMA) and umeclidinium bromide (UMEC) with a LABA, VI; GIAPREZA (angiotensin II), a vasoconstrictor to increase blood pressure in adults with septic or other distributive shock; XERAVA (eravacycline), a tetracycline class antibacterial for the treatment of complicated intra-abdominal infections in adults; XACDURO, a beta lactamase inhibitor for the treatment of hospital-acquired bacterial pneumonia and ventilator-associated bacterial pneumonia; and ZEVTERA, a cephalosporin antibacterial for the treatment of adult patients with staphylococcus aureus bloodstream infections, adult patients with acute bacterial skin and skin structure infections, and adult and pediatric patients with community-acquired bacterial pneumonia. Its development pipeline includes Zoliflodacin, a late-stage product candidate, a potential single oral dose cure for the treatment of uncomplicated gonorrhea. Innoviva, Inc. has a strategic partnership with Sarissa Capital Management LP. It has long-acting beta2 agonist (LABA) collaboration agreement with Glaxo Group Limited to develop and commercialize once-daily products for the treatment of chronic obstructive pulmonary disease and asthma. The company was formerly known as Theravance, Inc. and changed its name to Innoviva, Inc. in January 2016. Innoviva, Inc. was incorporated in 1996 and is headquartered in Burlingame, California.</t>
  </si>
  <si>
    <t>Esperion Therapeutics, Inc. (NasdaqGM:ESPR)</t>
  </si>
  <si>
    <t>NasdaqGM:ESPR</t>
  </si>
  <si>
    <t>Esperion Therapeutics, Inc., a pharmaceutical company, develops and commercializes medicines for the treatment of patients with elevated low density lipoprotein cholesterol (LDL-C) in the United States. The company’s marketed products include NEXLETOL (bempedoic acid) and NEXLIZET (bempedoic acid and ezetimibe) tablets that are oral, once-daily, non-statin medicines for the treatment of primary hyperlipidemia in adults with heterozygous familial hypercholesterolemia or atherosclerotic cardiovascular disease who require additional lowering of LDL-C. Its products also include NILEMDO, an ATP Citrate Lyase (ACL) inhibitor that lowers LDL-C and cardiovascular risk by reducing cholesterol biosynthesis and up-regulating the LDL receptors; and NUSTENDI, a bempedoic acid and ezetimibe tablet to treat elevated LDL-C. It has license and collaboration agreements with Daiichi Sankyo Co. Ltd to; Otsuka Pharmaceutical Co., Ltd; and Daiichi Sankyo Europe GmbH. Esperion Therapeutics, Inc. was incorporated in 2008 and is headquartered in Ann Arbor, Michigan.</t>
  </si>
  <si>
    <t>Evolus, Inc. (NasdaqGM:EOLS)</t>
  </si>
  <si>
    <t>NasdaqGM:EOLS</t>
  </si>
  <si>
    <t>Evolus, Inc., a performance beauty company, delivers products in the cash-pay aesthetic market in the United States, Canada, Europe, and Australia. It offers Jeuveau, a proprietary 900 kilodalton purified botulinum toxin type A formulation for the temporary improvement in the appearance of moderate to severe glabellar lines in adults; and Evolysse, a collection of injectable hyaluronic acid gels. The company was incorporated in 2012 and is headquartered in Newport Beach, California.</t>
  </si>
  <si>
    <t>Arvinas, Inc. (NasdaqGS:ARVN)</t>
  </si>
  <si>
    <t>NasdaqGS:ARVN</t>
  </si>
  <si>
    <t>Arvinas, Inc., a clinical-stage biotechnology company, engages in the discovery, development, and commercialization of therapies to degrade disease-causing proteins. The company engineers proteolysis targeting chimeras (PROTAC) targeted protein degraders that are designed to harness the body’s own natural protein disposal system to degrade and remove disease-causing proteins. Its product pipeline includes Bavdegalutamide and ARV-766, investigational orally bioavailable PROTAC protein degraders for the treatment of men with metastatic castration-resistant prostate cancer, which are in Phase 3 clinical trials; and ARV-471, an orally bioavailable estrogen receptor degrading PROTAC targeted protein degrader for the treatment of patients with locally advanced or metastatic estrogen receptor+/human epidermal growth factor receptor 2-breast cancer, which is Phase 3 clinical trial. The company’s products also consists ARV 393, orally bioavailable PROTAC designed to degrade BCL6, a transcriptional repressor and a key regulator of normal B-cell maturation and differentiation processes which is in Phase 1 first-in-human clinical trial; ARV 102 for the treatment of neurodegenerative diseases, which is in Phase 1 clinical trial; and KRAS G12D program is in preclinical development for pancreatic and colorectal cancers. Arvinas, Inc. has collaborations with Pfizer Inc., Genentech, Inc., F. Hoffman-La Roche Ltd., Carrick Therapeutics Limited, and Bayer AG. The company was founded in 2013 and is based in New Haven, Connecticut.</t>
  </si>
  <si>
    <t>Xeris Biopharma Holdings, Inc. (NasdaqGS:XERS)</t>
  </si>
  <si>
    <t>NasdaqGS:XERS</t>
  </si>
  <si>
    <t>Xeris Biopharma Holdings, Inc., a commercial-stage biopharmaceutical company, engages in developing and commercializing therapies for chronic endocrine and neurological diseases in Illinois. The company offers Gvoke, a ready-to-use liquid-stable glucagon for the treatment of severe hypoglycemia in pediatric and adult patients; Keveyis, a therapy for the treatment of hyperkalemic, hypokalemic, and related variants of primary periodic paralysis; and Recorlev, a cortisol synthesis inhibitor for the treatment of endogenous hypercortisolemia in adult patients with Cushing’s syndrome. It is also developing XP-8121, a once-weekly subcutaneous injection of levothyroxine that is in phase 3 clinical trial for the treatment of hypothyroidism. The company was incorporated in 2005 and is headquartered in Chicago, Illinois.</t>
  </si>
  <si>
    <t>biote Corp. (NasdaqGM:BTMD)</t>
  </si>
  <si>
    <t>NasdaqGM:BTMD</t>
  </si>
  <si>
    <t>biote Corp. operates in practice-building business within the hormone optimization space. It trains physicians and nurse practitioners in hormone optimization using bioidentical hormone replacement pellet therapy in men and women experiencing hormonal imbalance. The company offers Biote Method, a comprehensive end-to-end practice building platform that provides Biote-certified practitioners with the components developed for practitioners in the hormone optimization space comprising Biote Method education, training, and certification; practice management software that allows Biote-certified practitioners to order, track, and manage hormone optimization product inventory and meet other administrative requirements; inventory management software to monitor pellet inventory; and information regarding available hormone replacement therapy products, as well as digital and point-of-care marketing support. It also sells dietary supplements under the Biote brand; and sterile pellet insertion kits that is used with hormone optimization therapies for male and female. The company was founded in 2012 and is headquartered in Irving, Texas.</t>
  </si>
  <si>
    <t>Tarsus Pharmaceuticals, Inc. (NasdaqGS:TARS)</t>
  </si>
  <si>
    <t>NasdaqGS:TARS</t>
  </si>
  <si>
    <t>Tarsus Pharmaceuticals, Inc., a commercial stage biopharmaceutical company, focuses on the development and commercialization of therapeutic candidates for eye care in the United States. The company’s lead product candidate is XDEMVY, a novel therapeutic for the treatment of blepharitis caused by the infestation of Demodex mites, as well as to treat meibomian gland disease. It is also developing TP-04 for the treatment of Ocular Rosacea; TP-05 for potential Lyme disease prophylaxis; and community malaria reduction. In addition, the company develops lotilaner active pharmaceutical ingredient (API) to address diseases in human medicine, including eye care and infectious disease prevention. Tarsus Pharmaceuticals, Inc. was incorporated in 2016 and is headquartered in Irvine, California.</t>
  </si>
  <si>
    <t>Harrow, Inc. (NasdaqGM:HROW)</t>
  </si>
  <si>
    <t>NasdaqGM:HROW</t>
  </si>
  <si>
    <t>Harrow, Inc., an eyecare pharmaceutical company, engages in the discovery, development, and commercialization of ophthalmic pharmaceutical products. The company offers ImprimisRx, an ophthalmology-focused compounded medications. It also provides IHEEZO, a chloroprocaine hydrochloride ophthalmic gel; ophthalmic solutions, including IOPIDINE, VEVYE, and ZERVIATE; MAXITROL eye drops; ILEVRO and NEVANAC, a non-steroidal and anti-inflammatory eye drop for pain and inflammation associated with cataract surgery; VIGAMOX, a fluoroquinolone antibiotic eye drop for the treatment of bacterial conjunctivitis; MAXIDEX and FLAREX, a steroid eye drop for steroid-responsive inflammatory conditions of the palpebral and bulbar conjunctiva, cornea, and anterior segment of the globe and the eye; TRIESENCE, a steroid injection for the treatment of ophthalmic diseases and for visualization during vitrectomy; and NATACYN, a sterile, antifungal drug for the treatment of fungal blepharitis, conjunctivitis, and keratitis. In addition, it offers TOBRADEX ST, a tobramycin and dexamethasone ophthalmic suspension; VERKAZIA cyclosporine ophthalmic emulsion; NEVANAC, a non-steroidal, anti-inflammatory eye drop; and FRESHKOTE preservative free (PF) is a lubricant eye drop. Further, the company has collaboration with Asembia to enhance provider and patient experience through nationwide digital services and hub support for harrow’s branded eyecare products. The company was formerly known as Harrow Health, Inc. and changed its name to Harrow, Inc. in September 2023. Harrow, Inc. was founded in 1998 and is headquartered in Nashville, Tennessee.</t>
  </si>
  <si>
    <t>Avadel Pharmaceuticals plc (NasdaqGM:AVDL)</t>
  </si>
  <si>
    <t>NasdaqGM:AVDL</t>
  </si>
  <si>
    <t>Avadel Pharmaceuticals plc operates as a biopharmaceutical company in the United States. Its lead product candidate is the LUMRYZ, a formulation of sodium oxybate, which is in a Phase 3 clinical trial for the treatment of cataplexy or excessive daytime sleepiness in patients seven years of age and older with narcolepsy. The company was formerly known as Flamel Technologies SA and changed its name to Avadel Pharmaceuticals plc in January 2017. Avadel Pharmaceuticals plc was incorporated in 2015 and is headquartered in Dublin 2, Ireland.</t>
  </si>
  <si>
    <t>Maze Therapeutics, Inc. (NasdaqGM:MAZE)</t>
  </si>
  <si>
    <t>NasdaqGM:MAZE</t>
  </si>
  <si>
    <t>Maze Therapeutics, Inc., a clinical stage biopharmaceutical company, develops small molecule precision medicines for the treatment of renal, cardiovascular, related metabolic diseases, and obesity in the United States. Its lead programs includes MZE829, an oral small molecule inhibitor of apolipoprotein L1, which is in phase II clinical trial for the treatment of patients with APOL1 kidney disease; and MZE782, an oral small molecule inhibitor of the solute transporter SLC6A19, which is in phase I clinical trial for the treatment of chronic kidney disease. Maze Therapeutics, Inc. was formerly known as Modulus Therapeutics, Inc. and changed its name to Maze Therapeutics, Inc. in September 2018. The company was incorporated in 2017 and is based in South San Francisco, California.</t>
  </si>
  <si>
    <t>Ligand Pharmaceuticals Incorporated (NasdaqGM:LGND)</t>
  </si>
  <si>
    <t>NasdaqGM:LGND</t>
  </si>
  <si>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a dual endothelin and angiotensin II receptor antagonist for immunoglobulin A nephropathy; Ohtuvayre for respiratory disease;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LYTENAVA to treat Opthamology; MEKINIST for cardiology; MINNEBRO for metabolic disease; Nexterone, a captisol-enabled formulation of amiodarone; VEKLURY, an antiviral treatment for COVID-19; and Viviant for osteoporosis. Further, the company develops ACLX-002, Ciforadenant, UGN-301, Viright, JZP341, MB07133, BOT/BAL, and Lasofoxifene for oncology; Ensifentrine for respiratory disease; QTORIN for rare disease; Sparsentan for kidney disease; VK2809 for hepatology; ANEB-001 for acute cannabinoid intoxication; CE-furosemide for cardiology; CE-Meloxicam for neurology; V117, CX2101A, and Sitavig for infectious disease; REV-0100, OPT-302, and Reproxalap for opthamology; Vilazodone and Topiramate Injection for CNS; VK0214 for Rare Disease; and VK5211 for musculoskeletal disorder. The company was incorporated in 1987 and is based in Jupiter, Florida.</t>
  </si>
  <si>
    <t>SIGA Technologies, Inc. (NasdaqGM:SIGA)</t>
  </si>
  <si>
    <t>NasdaqGM:SIGA</t>
  </si>
  <si>
    <t>SIGA Technologies, Inc., a commercial-stage pharmaceutical company, focuses on the health security related markets in the United States. The company’s lead product is TPOXX, an oral formulation antiviral drug for the treatment of human smallpox disease caused by variola virus. The company was incorporated in 1995 and is headquartered in New York, New York.</t>
  </si>
  <si>
    <t>Assertio Holdings, Inc. (NasdaqCM:ASRT)</t>
  </si>
  <si>
    <t>NasdaqCM:ASRT</t>
  </si>
  <si>
    <t>Assertio Holdings, Inc., a commercial pharmaceutical company, provides various products to patients in the United States. Its pharmaceutical products include INDOCIN, an oral and suppository solution for the treatment of moderate to severe rheumatoid arthritis, including acute flares of chronic disease; ankylosing spondylitis and osteoarthritis; and acute painful shoulder and gouty arthritis. It also provides Sympazan, a benzodiazepine for the adjunctive treatment of seizures related with lennox-gastaut syndrome in patients aged two years of age or older; CAMBIA, a non steroidal anti inflammatory drug (NSAID) for the treatment of migraine pain, nausea, photophobia, and phonophobia; Zipsor, a NSAID for relief of mild to moderate pain in adults; SPRIX, a NSAID for the short term management of moderate to moderately severe pain that requires analgesia at the opioid level; Otrexup, a single-dose auto-injector containing a prescription medicine and methotrexate that is used to treat patients with severe, active rheumatoid arthritis, and active polyarticular juvenile idiopathic arthritis, as well as treat adult with severe, recalcitrant, and disabling psoriasis; and ROLVEDON, a long-acting granulocyte colony-stimulating factor that is indicated to decrease the incidence of infection caused by febrile neutropenia. The company was formerly known as Assertio Therapeutics, Inc. and changed its name to Assertio Holdings, Inc. in May 2020. Assertio Holdings, Inc. was incorporated in 2020 and is headquartered in Lake Forest, Illinois.</t>
  </si>
  <si>
    <t>Nektar Therapeutics (NasdaqCM:NKTR)</t>
  </si>
  <si>
    <t>NasdaqCM:NKTR</t>
  </si>
  <si>
    <t>Nektar Therapeutics, a biopharmaceutical company, focuses on discovering and developing therapies that selectively modulate the immune system to treat autoimmune disorders in the United States and internationally. It develops NKTR-358, a regulatory T (Treg) cell stimulator designed to address the imbalance in the immune system underlying autoimmune disorders and chronic inflammatory conditions; PEG-CSF1, a polyethylene glycol (PEG) modified hematopoietic colony stimulating factor protein that is engineered to selectively modulate resolution processes of inflammation and has applications in a number of therapeutic indications, including acute and chronic inflammation; Tumor necrosis factor (TNF) receptor type II (TNFR2) agonist asset is a bivalent antibody molecule used to selectively stimulate TNFR2 receptor activity, without modulation of the TNFR1 signaling; and NKTR-255, an IL-15 receptor agonist designed to boost the immune system’s natural ability to fight cancer. It has collaboration agreements with Takeda Pharmaceutical Company Ltd.; AstraZeneca AB; UCB Pharma; F. Hoffmann-La Roche Ltd; Bausch Health Companies Inc.; Pfizer Inc.; UCB Pharma (Biogen); Bristol-Myers Squibb Company; Merck KGaA; and SFJ Pharmaceuticals, Inc. The company was incorporated in 1990 and is headquartered in San Francisco, California.</t>
  </si>
  <si>
    <t>Amylyx Pharmaceuticals, Inc. (NasdaqGS:AMLX)</t>
  </si>
  <si>
    <t>NasdaqGS:AMLX</t>
  </si>
  <si>
    <t>Amylyx Pharmaceuticals, Inc a clinical-stage pharmaceutical company, engages in the discovery and development of treatment options for neurodegenerative diseases and endocrine conditions in the United States. Its lead products candidate includes avexitide, an investigational, first-in-class glucagon-like peptide-1, or GLP-1 receptor antagonist, which is in phase 3 clinical trial to treat post-bariatric hypoglycemia and congenital hyperinsulinism. The company also develops AMX0035, an oral, fixed-dose combination of sodium phenylbutyrate and taurursodiol which is phase 2 clinical trial for the treatment of wolfram syndrome, as well as in phase 2b/3 clinical trial to treat progressive supranuclear palsy; AMX0114, which is in phase 1 clinical trial for the treatment of amyotrophic lateral sclerosis; and long-acting GLP-1 receptor antagonist to treat post-bariatric hypoglycemia and other rare diseases. Amylyx Pharmaceuticals, Inc. was founded in 2013 and is headquartered in Cambridge, Massachusetts.</t>
  </si>
  <si>
    <t>Fulcrum Therapeutics, Inc. (NasdaqGM:FULC)</t>
  </si>
  <si>
    <t>NasdaqGM:FULC</t>
  </si>
  <si>
    <t>Fulcrum Therapeutics, Inc., a clinical-stage biopharmaceutical company, develops small molecules to improve the lives of patients with genetically defined diseases in the areas of high unmet medical need in the United States. Its clinical-stage product candidate is pociredir, a fetal hemoglobin inducer, which is in phase 1b clinical trial for the treatment of sickle cell disease and beta-thalassemia. The company also discovers drug targets for potential treatment inherited aplastic anemias, such as of diamond-blackfan anemia, shwachman-diamond syndrome, and fanconi anemia, as well as novel fetal hemoglobin inducers, fibrotic disorders, and cardiomyopathies which is in preclinical trial. It has collaboration and license agreement with MyoKardia, Inc. to identify biological targets that are capable of modulating genes of interest with relevance to cardiomyopathies; and licensce agreement with CAMP4 which includes certain small molecule compounds, composition of matter and method of use patent rights, and know-how to research, develop, manufacture, use, and commercialize; and Sanofi for the development and commercialization of losmapimod, an oral small molecule being investigated for the treatment of facioscapulohumeral muscular dystrophy. Fulcrum Therapeutics, Inc. was Incorporated in 2015 and is headquartered in Cambridge, Massachusetts.</t>
  </si>
  <si>
    <t>OptiNose, Inc. (NasdaqGS:OPTN)</t>
  </si>
  <si>
    <t>NasdaqGS:OPTN</t>
  </si>
  <si>
    <t>OptiNose, Inc., a specialty pharmaceutical company, focuses on the development and commercialization of products for patients treated by ear, nose, throat, and allergy specialists in the United States. The company offers XHANCE, a therapeutic product utilizing its proprietary exhalation delivery system (EDS) that delivers a topically acting corticosteroid for the treatment of chronic rhinosinusitis with nasal polyps, as well as is in Phase IIIb clinical trial for treatment of chronic sinusitis; and Onzetra Xsail, a powder EDS device. It has a license agreement with Currax Pharmaceuticals LLC for the commercialization of Onzetra Xsail. The company was founded in 2000 and is headquartered in Yardley, Pennsylvania.</t>
  </si>
  <si>
    <t>Aytu BioPharma, Inc. (NasdaqCM:AYTU)</t>
  </si>
  <si>
    <t>NasdaqCM:AYTU</t>
  </si>
  <si>
    <t>Aytu BioPharma, Inc., a pharmaceutical company, focuses on commercializing novel therapeutics drugs in the United States and internationally. The company offers prescription products for the treatment of attention deficit hyperactivity disorder (ADHD), including Adzenys XR-ODT for patients from six years of age and above, and Cotempla XR-ODT for patients from six to seventeen years old. It also provides pediatric prescription product portfolio comprising Karbinal ER, an extended-release carbinoxamine (antihistamine) suspension indicated to treat numerous allergic conditions for patients two years and above; and Poly-Vi-Flor and Tri-Vi-Flor complementary prescription fluoride-based multi-vitamin products containing combinations of fluoride and vitamins in liquid and chewable tablet form for infants and children with fluoride deficiency. The company was formerly known as Aytu BioScience, Inc. and changed its name to Aytu BioPharma, Inc. in March 2021. Aytu BioPharma, Inc. is headquartered in Denver, Colorado.</t>
  </si>
  <si>
    <t>Ocular Therapeutix, Inc. (NasdaqGM:OCUL)</t>
  </si>
  <si>
    <t>NasdaqGM:OCUL</t>
  </si>
  <si>
    <t>Ocular Therapeutix, Inc., a biopharmaceutical company, engages in the development and commercialization of therapies for retinal diseases and other eye conditions using its bioresorbable hydrogel-based formulation technology in the United States. The company markets DEXTENZA, a dexamethasone ophthalmic insert to treat post-surgical ocular inflammation and pain following ophthalmic surgery, as well as allergic conjunctivitis. It is also developing AXPAXLI, an axitinib intravitreal hydrogel that is in phase 3 clinical trials for the treatment of wet age-related macular degeneration and in Phase 1 clinical trials for the treatment of non-proliferative diabetic retinopathy; PAXTRAVA, a travoprost intracameral hydrogel, which is in phase 2 clinical trials for the treatment of open-angle glaucoma or ocular hypertension. The company has a license agreement and collaboration with AffaMed Therapeutics Limited for the development and commercialization of DEXTENZA and PAXTRAVA. Ocular Therapeutix, Inc. was incorporated in 2006 and is headquartered in Bedford, Massachusetts.</t>
  </si>
  <si>
    <t>Aquestive Therapeutics, Inc. (NasdaqGM:AQST)</t>
  </si>
  <si>
    <t>NasdaqGM:AQST</t>
  </si>
  <si>
    <t>Aquestive Therapeutics, Inc. operates as a pharmaceutical company in the United States and internationally. The company markets Sympazan, an oral soluble film formulation of clobazam for the treatment of lennox-gastaut syndrome; Suboxone, a sublingual film formulation of buprenorphine and naloxone for the treatment of opioid dependence; and Azstarys, a once-daily product for the treatment of attention deficit hyperactivity disorder; and Libervant, a buccal soluble film formulation of diazepam for the treatment of seizures. The company’s proprietary pipeline of complex molecule products includes AQST-108, which is in phase 2, a sublingual film formulation delivering systemic epinephrine for the treatment of conditions other than anaphylaxis; and Anaphylm, which is in phase 3, an epinephrine sublingual film for the emergency treatment of allergic reactions, including anaphylaxis. In addition, it develops PharmFilm technology for patients suffering from certain central nervous system disorders and Adrenaverse, an epinephrine prodrug platform. The company was incorporated in 2004 and is headquartered in Warren, New Jersey.</t>
  </si>
  <si>
    <t>Journey Medical Corporation (NasdaqCM:DERM)</t>
  </si>
  <si>
    <t>NasdaqCM:DERM</t>
  </si>
  <si>
    <t>Journey Medical Corporation focuses on the development and commercialization of pharmaceutical products for the treatment of dermatological conditions in the United States. The company’s marketed products include Qbrexza, a medicated cloth towelette for the treatment of primary axillary hyperhidrosis; Accutane, an oral isotretinoin drug to treat severe recalcitrant nodular acne; and Amzeeq, a topical formulation of minocycline for the treatment of inflammatory lesions of non-nodular moderate to severe acne vulgaris. It also offers Zilxi, a topical minocycline treatment for inflammatory lesions of rosacea; Exelderm cream and solution an antifungal intended for topical use; Targadox, an oral doxycycline drug for adjunctive therapy for severe acne; and Luxamend, a water-based emulsion formulated to provide a moist healing environment for superficial wounds; minor cuts or scrapes; dermal ulcers; donor sites; first- and second-degree burns, including sunburns; and radiation dermatitis. In addition, the company sells sulconazole nitrate cream and solution indicated for the treatment of tinea cruris, tinea corporis, and tinea versicolor; and doxycycline hyclate tablets, as an adjunctive therapy for severe acne. The company was formerly known as Coronado Dermatology, Inc. and changed its name to Journey Medical Corporation. Journey Medical Corporation was incorporated in 2014 and is headquartered in Scottsdale, Arizona. Journey Medical Corporation is a subsidiary of Fortress Biotech, Inc.</t>
  </si>
  <si>
    <t>Phathom Pharmaceuticals, Inc. (NasdaqGS:PHAT)</t>
  </si>
  <si>
    <t>NasdaqGS:PHAT</t>
  </si>
  <si>
    <t>Phathom Pharmaceuticals, Inc., a biopharmaceutical company, develops and commercializes treatments for gastrointestinal diseases. The company develops its products based on vonozopran, an investigational potassium-competitive acid blocker (P-CAB) that blocks acid secretion in the stomach. Its products under development include VOQUEZNA, which has completed its Phase III clinical trials for the treatment of erosive gastroesophageal reflux disease (GERD) and its Phase II clinical trials for the as-needed dosing for active heartburn episodes; and VOQUEZNA TRIPLE PAK and VOQUEZNA DUAL PAK, which have completed the Phase III clinical trials for the eradication of Helicobacter pylori infection. The company has the rights in the United States, Europe, and Canada for P-CAB. The company was incorporated in 2018 and is headquartered in Florham Park, New Jersey.</t>
  </si>
  <si>
    <t>Scilex Holding Company (NasdaqCM:SCLX)</t>
  </si>
  <si>
    <t>NasdaqCM:SCLX</t>
  </si>
  <si>
    <t>Scilex Holding Company focuses on acquiring, developing, and commercializing non-opioid pain management products for the treatment of acute and chronic pain. Its commercial products include ZTlido (lidocaine topical system) 1.8% (ZTlido), a prescription lidocaine topical product for the relief of neuropathic pain associated with postherpetic neuralgia (PHN), which is a form of post-shingles nerve pain; ELYXYB, a ready-to-use oral solution for the acute treatment of migraine with or without aura in adults; and GLOPERBA, a liquid oral version of the anti-gout medicine colchicine indicated for the prophylaxis of painful gout flares in adults. The company is also developing three product candidates, including SP-102 (10 mg dexamethasone sodium phosphate viscous gel) (SEMDEXA), a novel viscous gel formulation of a used corticosteroid for epidural injections, which has completed a Phase 3 study to treat lumbosacral radicular pain or sciatica; SP-103 (lidocaine topical system) 5.4% (SP-103), a formulation of ZTlido for the treatment of chronic neck pain and low back pain (LBP) that has completed a Phase 2 trial; and SP-104 (4.5 mg low-dose naltrexone hydrochloride delayed-release capsules) (SP-104), a novel low-dose delayed-release naltrexone hydrochloride, which has completed Phase 1 trials for the treatment of fibromyalgia. The company has a collaboration with ACEA Therapeutics to Support the Expansion of ZTlido program. Scilex Holding Company is headquartered in Palo Alto, California.</t>
  </si>
  <si>
    <t>CorMedix Inc. (NasdaqGM:CRMD)</t>
  </si>
  <si>
    <t>NasdaqGM:CRMD</t>
  </si>
  <si>
    <t>CorMedix Inc., a biopharmaceutical company, focuses on developing and commercializing therapeutic products for life-threatening diseases and conditions in the United States. Its lead product candidate is DefenCath, an antimicrobial catheter lock solution to reduce the incidence of catheter-related bloodstream infections in adult patients with kidney failure. The company was formerly known as Picton Holding Company, Inc. and changed its name to CorMedix, Inc. in January 2007. CorMedix Inc. was incorporated in 2006 and is based in Berkeley Heights, New Jersey.</t>
  </si>
  <si>
    <t>EyePoint Pharmaceuticals, Inc. (NasdaqGM:EYPT)</t>
  </si>
  <si>
    <t>NasdaqGM:EYPT</t>
  </si>
  <si>
    <t>EyePoint Pharmaceuticals, Inc. engages in developing and commercializing therapeutics to improve the lives of patients with serious retinal diseases. The company's pipeline leverages its proprietary bioerodible Durasert E technology for sustained intraocular drug delivery. Its lead product candidate is DURAVYU, an investigational sustained delivery treatment for VEGF-mediated retinal diseases combining vorolanib, a selective and patent-protected tyrosine kinase inhibitor with Durasert E which is in Phase 3 clinical trials for wet age-related macular degeneration (wet AMD), non-proliferative diabetic retinopathy (NPDR), and diabetic macular edema (DME). The company’s pipeline programs also include EYP-2301, a promising TIE-2 agonist formulated in Durasert E that is in pre-clinical development phase for potentially improve outcomes in serious retinal diseases. The company was formerly known as pSivida Corp. and changed its name to EyePoint Pharmaceuticals, Inc. in March 2018. EyePoint Pharmaceuticals, Inc. was incorporated in 1987 and is headquartered in Watertown, Massachusetts.</t>
  </si>
  <si>
    <t>Eton Pharmaceuticals, Inc. (NasdaqGM:ETON)</t>
  </si>
  <si>
    <t>NasdaqGM:ETON</t>
  </si>
  <si>
    <t>Eton Pharmaceuticals, Inc., a specialty pharmaceutical company, focuses on developing, acquiring, and commercializing pharmaceutical products for rare diseases. The company offers ALKINDI SPRINKLE, a replacement therapy for adrenocortical insufficiency in children under 17 years of age; Carglumic Acid for the treatment of acute and chronic hyperammonemia due to N-acetylglutamate Synthase deficiency; Betaine Anhydrous for the treatment of homocystinuria; and Nitisinone for the treatment of tyrosinemia type 1. It also provides Zeneo hydrocortisone autoinjector for the treatment of adrenal crisis. Eton Pharmaceuticals, Inc. was incorporated in 2017 and is based in Deer Park, Illinois.</t>
  </si>
  <si>
    <t>Cumberland Pharmaceuticals Inc. (NasdaqGS:CPIX)</t>
  </si>
  <si>
    <t>NasdaqGS:CPIX</t>
  </si>
  <si>
    <t>Cumberland Pharmaceuticals Inc., a specialty pharmaceutical company, focuses on the acquisition, development, and commercialization of prescription products for hospital acute care, gastroenterology, and oncology in the United States and internationally. The company offers Acetadote, an injection for the treatment of acetaminophen poisoning; Caldolor, an injection for the treatment of pain and fever; Kristalose, a prescription laxative oral solution for the treatment of constipation; Omeclamox-Pak for the treatment of Helicobacter pylori infection and duodenal ulcer disease; Vaprisol, an injection for treating euvolemic and hypervolemic hyponatremia; Sancuso, an injection for the treatment of chemotherapy treatment; and Vibativ, an injection for the treatment of certain serious bacterial infections, including hospital-acquired and ventilator-associated bacterial pneumonia, as well as complicated skin and skin structure infections. It develops RediTrex injection for the treatment of active rheumatoid, juvenile idiopathic, and severe psoriatic arthritis, as well as disabling psoriasis. In addition, the company is developing ifetroban, a product candidate that is in phase II clinical trial for the treatment of aspirin-exacerbated respiratory disease, systemic sclerosis, and duchenne muscular dystrophy; and has completed phase II clinical trial for the treatment of hepatorenal syndrome and portal hypertension. Further, it develops a clinical program for the use of ifetroban to treat progressive fibrosing interstitial lung diseases. The company was incorporated in 1999 and is headquartered in Nashville, Tennessee.</t>
  </si>
  <si>
    <t>Biofrontera Inc. (NasdaqCM:BFRI)</t>
  </si>
  <si>
    <t>NasdaqCM:BFRI</t>
  </si>
  <si>
    <t>Biofrontera Inc., a biopharmaceutical company, engages in the commercialization of pharmaceutical products for the treatment of dermatological conditions in the United States. The company’s products are used for the treatment of actinic keratoses, which are pre-cancerous skin lesions, as well as impetigo, a bacterial skin infection. It offers Ameluz, a prescription drug for use in combination with the RhodoLED lamp series, for photodynamic therapy for the lesion-directed and field-directed treatment of actinic keratosis of mild-to-moderate severity on the face and scalp. The company also provides Xepi, a topical non-fluorinated quinolone that inhibits bacterial growth for the treatment of impetigo. The company was incorporated in 2015 and is headquartered in Woburn, Massachusetts.</t>
  </si>
  <si>
    <t>scPharmaceuticals Inc. (NasdaqGS:SCPH)</t>
  </si>
  <si>
    <t>NasdaqGS:SCPH</t>
  </si>
  <si>
    <t>scPharmaceuticals Inc., a pharmaceutical company, engages in the development and commercialization of various pharmaceutical products. The company’s lead product candidate is FUROSCIX that consists of formulation of furosemide, which is delivered through an on-body infusor for treatment of congestion due to fluid overload in adults with chronic heart failure and kidney disease, as well as consists of subcutaneous loop diuretic that delivers IV equivalent diuresis at home; and FUROSCIX On-Body Infusor, a drug-device combination product consisting of FUROSCIX. Its product pipeline also includes SCP-111 (furosemide injection), an investigational pH neutral aqueous furosemide formulation that is being developed for subcutaneous administration outside of the hospital setting, including patient self-administration in the home; and SCP-111 Autoinjector, an investigational single-entity, drug-device combination product candidate consisting of a prefilled syringe containing SCP-111, preloaded into a commercially available, fixed single dose, disposable, two step mechanical autoinjector. The company has a collaboration agreement with West Pharmaceutical Services, Inc. The company was incorporated in 2013 and is headquartered in Burlington, Massachusetts.</t>
  </si>
  <si>
    <t>Zevra Therapeutics, Inc. (NasdaqGS:ZVRA)</t>
  </si>
  <si>
    <t>NasdaqGS:ZVRA</t>
  </si>
  <si>
    <t>Zevra Therapeutics, Inc., a commercial-stage company, focuses on addressing unmet needs for the treatment of rare diseases in the United States. The company develops its products through Ligand Activated Technology platform. Its lead product candidate is KP1077, consisting of KP1077IH, which is under Phase 2 clinical trial for the treatment of idiopathic hypersomnia, and KP1077N, which is under Phase 1/2 clinical trial to treat narcolepsy. The company is also developing Celiprolol, a prodrug product candidate that is under Phase 3 clinical trial for the treatment of vascular Ehlers Danlos syndrome. In addition, it offers AZSTARYS, a once-daily treatment for attention deficit and hyperactivity disorder in patients aged six years and older; OLPRUVA to treat urea cycle disorders; and MIPLYFFA for the treatment of niemann pick disease type C, an ultra-rare neurodegenerative lysosomal storage disorder. The company has collaboration and license agreement with Commave Therapeutics SA to develop, manufacture and commercialize the company’s product candidates containing SDX and d-methylphenidate; and license agreement with Acer and Relief Therapeutics, Inc. to develop and commercialize rights for OLPRUVA. The company was formerly known as KemPharm, Inc. and changed its name to Zevra Therapeutics, Inc. in February 2023. Zevra Therapeutics, Inc. was incorporated in 2006 and is headquartered in Celebration, Florida.</t>
  </si>
  <si>
    <t>cbdMD, Inc. (NYSEAM:YCBD)</t>
  </si>
  <si>
    <t>NYSEAM:YCBD</t>
  </si>
  <si>
    <t>cbdMD, Inc. produces and distributes various cannabidiol (CBD) products in the United States. The company owns and operates consumer hemp-based CBD brands, such as cbdMD, Paw CBD, hempMD, and cbdMD Botanicals. Its cbdMD brand products include CDB tinctures, gummies, topicals, capsules, drink mixes, ready to drink cans, and sleep, focus, and calming aids. It also provides veterinarian-formulated products, including tinctures, chews, and topicals under the Paw CBD brand name; nootropic mushroom line under the ATRx brand; and hemp derived solutions under the hempMD brand. It distributes its products through its e-commerce website, third-party e-commerce sites, select distributors and marketing partners, wholesalers, and various brick and mortar retailers. The company was formerly known as Level Brands, Inc. and changed its name to cbdMD, Inc. in May 2019. cbdMD, Inc. is headquartered in Charlotte, North Carolina.</t>
  </si>
  <si>
    <t>Aclaris Therapeutics, Inc. (NasdaqGS:ACRS)</t>
  </si>
  <si>
    <t>NasdaqGS:ACRS</t>
  </si>
  <si>
    <t>Aclaris Therapeutics, Inc., a clinical-stage biopharmaceutical company, engages in the development of novel drug candidates for immune-inflammatory diseases in the United States. It operates through two segments, Therapeutics and Contract Research. The Therapeutics segment is involved in identifying and developing therapies to address significant unmet needs for immuno-inflammatory diseases. Its Contract Research segment provides laboratory services. The company also develops ATI-1777, a soft JAK 1/3 inhibitor in Phase 2b trial for the treatment of atopic dermatitis and other dermatologic conditions; Bosakitug (ATI-045), an anti-TSLP monoclonal antibody in Phase 2a trial to treat moderate to severe atopic dermatitis, asthma, chronic rhinosinusitis with nasal polyps, and moderate to severe chronic obstructive pulmonary disease; ATI-2138, an oral covalent inhibitor of ITK and JAK3 inhibitor in Phase 2a trial for the treatment for T cell-mediated autoimmune diseases; Zunsemetinib (ATI-450), a mitogen-activated protein kinase-activated protein kinase 2 inhibitor under Phase 1b/2 trials for the treatment of metastatic breast cancer and pancreatic ductal adenocarcinoma; and ATI-052, a humanized anti-TSLP and anti-IL4R bispecific antibody in preclinical stage to treat various atopic, immunologic, and respiratory diseases, as well as an ITK selective inhibitor candidate for the treatment of autoimmune diseases. Aclaris Therapeutics, Inc. was incorporated in 2012 and is headquartered in Wayne, Pennsylvania.</t>
  </si>
  <si>
    <t>Veru Inc. (NasdaqCM:VERU)</t>
  </si>
  <si>
    <t>NasdaqCM:VERU</t>
  </si>
  <si>
    <t>Veru Inc., a late clinical stage biopharmaceutical company, focuses on developing medicines for treatment of metabolic diseases, oncology, and viral-induced acute respiratory distress syndrome (ARDS). Its marketed products comprise FC2 female condom for the dual protection against unplanned pregnancy and the transmission of sexually transmitted infections. The company’s development program includes enobosarm, a selective androgen receptor modulator for treatment of augment fat loss and to prevent muscle loss in sarcopenic obese and overweight elderly patients; Enobosarm, an oral selective androgen receptor modulator for the treatment of AR+ ER+ HER2- metastatic breast cancer; and sabizabulin, a microtubule disruptor for the treatment of hospitalized patients with viral lung infection at high risk for viral induced ARDS and death. The company was formerly known as The Female Health Company and changed its name to Veru Inc. in July 2017. Veru Inc. was incorporated in 1971 and is headquartered in Miami, Florida.</t>
  </si>
  <si>
    <t>Kiora Pharmaceuticals, Inc. (NasdaqCM:KPRX)</t>
  </si>
  <si>
    <t>NasdaqCM:KPRX</t>
  </si>
  <si>
    <t>Kiora Pharmaceuticals, Inc., a clinical-stage specialty pharmaceutical company, engages in the development and commercialization of therapies for the treatment of ophthalmic diseases in the United States. Its lead product is KIO-301, a potential vision-restoring small molecule, which is in Phase 2 clinical trials indicated for the treatment of retinitis pigmentosa, choroideremia, and Stargardt disease. The company is also developing KIO-104, a non-steroidal, immuno-modulatory, small-molecule inhibitor of dihydroorotate dehydrogenase, currently under phase 1b/2a study for the treatment of posterior non-infectious uveitis, as well as under pre-clinical development for the treatment of proliferative vitreoretinopathy; KIO-101, an eye drop for the treatment of ocular presentation of rheumatoid arthritis; and KIO-201, an eye drop for treating patients undergoing photorefractive keratectomy (PRK) surgery for corneal wound repair. It has commercialization agreement with 4SC Discovery GmbH, for KIO-101; and collaboration agreement with Théa Open Innovation for the development KIO-301. The company was formerly known as Eyegate Pharmaceuticals, Inc. and changed its name to Kiora Pharmaceuticals, Inc. in November 2021. Kiora Pharmaceuticals, Inc. was incorporated in 1998 and is headquartered in Encinitas, California.</t>
  </si>
  <si>
    <t>Liquidia Corporation (NasdaqCM:LQDA)</t>
  </si>
  <si>
    <t>NasdaqCM:LQDA</t>
  </si>
  <si>
    <t>Liquidia Corporation, a biopharmaceutical company, develops, manufactures, and commercializes various products for unmet patient needs in the United States. Its lead product candidates include YUTREPIA, an inhaled dry powder formulation of treprostinil for the treatment of pulmonary arterial hypertension (PAH) and pulmonary hypertension associated with interstitial lung disease (PH-ILD). The company also offers Remodulin, a treprostinil administered through continuous intravenous and subcutaneous infusion. The company also a license agreement with Pharmosa Biopharm Inc to develop and commercialize L606, an inhaled sustained-release formulation of Treprostinil for the treatment of PAH and PH-ILD. Liquidia Corporation was founded in 2004 and is based in Morrisville, North Carolina.</t>
  </si>
  <si>
    <t>Sonoma Pharmaceuticals, Inc. (NasdaqCM:SNOA)</t>
  </si>
  <si>
    <t>NasdaqCM:SNOA</t>
  </si>
  <si>
    <t>Sonoma Pharmaceuticals, Inc., develops and produces stabilized hypochlorous acid (HOCl) products for wound care, animal health care, eye and nasal care, oral care, and dermatological conditions in the United States, Europe, Asia, Latin America, and internationally. The company offers Lumacyn, a skin toner; Regenacyn, a prescription scar gel; Reliefacyn to alleviate red bumps, rashes, shallow skin fisures, sunburn, peeling, and eczema/atopic dermatitis; Gramaderm for the treatment of topical mild to moderate acne; Epicyn, an antimicrobial facial cleanser; Levicyn, an HOCl based prescription and over-the-counter product used to relieve skin irritations, lacerations, abrasions, and burns; Celacyn, a scar management gel; SebuDerm to manage and relieve the burning, itching, erythema, scaling, and pain associated with seborrhea and seborrheic dermatitis; and Pediacyn, an atopic dermatitis hydrogel. It also provides Microcyn, a HOCl-based topical line of products designed to stimulate expedited healing by targeting a range of pathogens; Ocucyn eyelid and eyelash cleanser; Ocudox for eye care; Sinudox for nasal irrigation; Microdacyn60 oral care solution to treat mouth and throat infections; and Podiacyn, a foot care product. In addition, the company offers MicrocynAH, an HOCl-based solution used to relieve common symptoms of hot spots, scratches, skin rashes post-surgical sites, and irritated animal skin; MicrocynVS, an animal care product; Nanocyn, a hospital-grade disinfectant; Acuicyn, an antimicrobial prescription solution for the treatment of blepharitis and the daily hygiene of eyelids and lashes; MucoClyns for use in emergencies and on mucous membranes, cuts, abrasions, burns, and body surfaces; and Endocyn root canal irrigation solutions. The company was formerly known as Oculus Innovative Sciences, Inc. and changed its name to Sonoma Pharmaceuticals, Inc. in December 2016. Sonoma Pharmaceuticals, Inc. was incorporated in 1999 and is based in Boulder, Colorado.</t>
  </si>
  <si>
    <t>NovaBay Pharmaceuticals, Inc. (NYSEAM:NBY)</t>
  </si>
  <si>
    <t>NYSEAM:NBY</t>
  </si>
  <si>
    <t>NovaBay Pharmaceuticals, Inc. develops and sells eyecare and wound care products in the United States and internationally. It offers Avenova Spray, a solution for removing foreign materials, including microorganisms and debris from skin around the eye, such as the eyelid; Avenova Eye Health Support antioxidant-rich oral supplements; Avenova Lubricating Eye Drops for instant relief; NovaWipes by Avenova; Avenova WarmEye Compress to soothe the eyes; and the i-Chek by Avenova to monitor physical eyelid health. The company also provides wound care products, which are used for cleansing and irrigation as part of surgical procedures, as well as treating wounds, burns, ulcers, and other injuries under the NeutroPhase and PhaseOne brands. It sells its products through the company’s web stores, third-party online retailers and distribution partners. The company was formerly known as NovaCal Pharmaceuticals, Inc. and changed its name to NovaBay Pharmaceuticals, Inc. in February 2007. NovaBay Pharmaceuticals, Inc. was incorporated in 2000 and is headquartered in Emeryville, California.</t>
  </si>
  <si>
    <t>ProPhase Labs, Inc. (NasdaqCM:PRPH)</t>
  </si>
  <si>
    <t>NasdaqCM:PRPH</t>
  </si>
  <si>
    <t>ProPhase Labs, Inc. develops and commercializes novel drugs, dietary supplements, and compounds in the United States. It operates through two segments: Diagnostic Services and Consumer Products. The company provides a range of TK supplements, including Legendz XL for male sexual health; and Triple Edge XL, an energy and stamina booster. It offers contract manufacturing services, such as product development, pre-commercialization, production, warehousing, and distribution; COVID-19 diagnostic information services to a range of customers, including health plans, third party payers, and government organizations; and respiratory pathogen panel molecular and DNA testing services, as well as personal genomics products and services. In addition, the company involved in the research, development, manufacture, distribution, marketing, and sale of over the counter (OTC) consumer healthcare products and dietary supplements; and retail operations. The company was formerly known as The Quigley Corporation. ProPhase Labs, Inc. was founded in 1989 and is headquartered in Garden City, New York.</t>
  </si>
  <si>
    <t>Lipocine Inc. (NasdaqCM:LPCN)</t>
  </si>
  <si>
    <t>NasdaqCM:LPCN</t>
  </si>
  <si>
    <t>Lipocine Inc., a clinical-stage biopharmaceutical company, engages in the research and development for the delivery of drugs for the treatment of central nervous system (CNS) disorders. Its lead product candidate is TLANDO, an oral testosterone replacement therapy (TRT) comprising testosterone undecanoate. The company’s pipeline candidates also include TLANDO XR a candidate for oral TRT for once daily dosing, which has completed Phase 2b clinical study; LPCN 1148, an oral prodrug of bioidentical testosterone, being developed for the treatment of cirrhosis, currently under Phase 2 clinical studies; LPCN 1154, An oral neurosteroid, being developed for the treatment of postpartum depression, currently under Phase 2 studies; LPCN 2101, a NAS candidate, for women with epilepsy; and LPCN 2203 for essential tremor. It is also involved in the development of LPCN 1144, an oral prodrug of bioidentical testosterone for the treatment of pre-cirrhotic non-alcoholic steatohepatitis, which has completed Phase 2 testing; and LPCN 1107, an oral product candidate of 17-alpha-hydroxy progesterone caproate product, currently under Phase 3 studies for the prevention of recurrent preterm birth. The company was founded in 1997 and is headquartered in Salt Lake City, Utah.</t>
  </si>
  <si>
    <t>Jaguar Health, Inc. (NasdaqCM:JAGX)</t>
  </si>
  <si>
    <t>NasdaqCM:JAGX</t>
  </si>
  <si>
    <t>Jaguar Health, Inc., a commercial stage pharmaceuticals company, focuses on developing plant-based prescription medicines for people and animals with gastrointestinal distress, specifically chronic and debilitating diarrhea. The company operates through two segments, Human Health and Animal Health. It focuses on developing and commercializing prescription and non-prescription products for companion and production animals; and human products. The company’s products include Mytesi, an anti-secretory antidiarrheal drug for the symptomatic relief of non-infectious diarrhea in adults with HIV/AIDS on antiretroviral therapy; and Canalevia-CA1, a prescription drug product for chemotherapy-induced diarrhea in dogs. It is also developing Crofelemer, an anti-secretory antidiarrheal drug, which is in Phase 3 clinical trial for or prophylaxis of diarrhea in adult cancer patients, and to address rare/orphan disease indications, including short bowel syndrome with intestinal failure and/or congenital diarrheal disorders; diarrhea-predominant irritable bowel syndrome; and for idiopathic/functional diarrhea. In addition, the company is developing NP-300, a second-generation antidiarrheal drug for symptomatic relief and treatment of moderate-to-severe diarrhea. The company is headquartered in San Francisco, California.</t>
  </si>
  <si>
    <t>Evoke Pharma, Inc. (NasdaqCM:EVOK)</t>
  </si>
  <si>
    <t>NasdaqCM:EVOK</t>
  </si>
  <si>
    <t>Evoke Pharma, Inc., a specialty pharmaceutical company, primarily focuses on the development and commercialization of drugs for the treatment of gastroenterological disorders and diseases. It offers Gimoti, a metoclopramide nasal spray to treat symptoms associated with acute and recurrent diabetic gastroparesis in adults. The company markets its products to gastroenterologists, internal medicine specialists, primary care physicians, and select health care providers. Evoke Pharma, Inc. was incorporated in 2007 and is headquartered in Solana Beach, California.</t>
  </si>
  <si>
    <t>Opus Genetics, Inc. (NasdaqCM:IRD)</t>
  </si>
  <si>
    <t>NasdaqCM:IRD</t>
  </si>
  <si>
    <t>Opus Genetics, Inc., a clinical-stage ophthalmic biopharmaceutical company, focuses on developing and commercializing therapies for the treatment of unmet needs of patients with refractive and retinal eye disorders. The company offers Phentolamine Ophthalmic Solution for reversal of mydriasis, as well as is in Phase III clinical trials for presbyopia and dim light or night vision disturbances. Its lead retinal product candidate is APX3330, a small-molecule inhibitor of reduction oxidation effector factor-1 protein that has completed Phase II clinical trial for the treatment of diabetic retinopathy. The company also develops APX2009 and APX2014 that are preclinical product candidates for retina indications. The company was formerly known as Ocuphire Pharma, Inc. Opus Genetics, Inc. was founded in 2018 and is headquartered in Farmington Hills, Michigan.</t>
  </si>
  <si>
    <t>Nuvation Bio Inc. (NYSE:NUVB)</t>
  </si>
  <si>
    <t>NYSE:NUVB</t>
  </si>
  <si>
    <t>Nuvation Bio Inc., a clinical-stage biopharmaceutical company, focuses on unmet needs in oncology by developing differentiated and novel therapeutic candidates. Its lead product candidate is taletrectinib, an ROS1 inhibitor specifically designed for the treatment of patients with ROS1+ non-small cell lung cancer; Safusidenib, a novel, oral, potent, brain penetrant, targeted inhibitor of mutant isocitrate dehydrogenase 1 in phase 2 clinical trials; NUV-1511, a drug-drug conjugate for use in chemotherapy agent that suppresses the growth of various advanced solid tumors; NUV-868, a binding domain 2 selective, oral, small molecule bromodomain and extra-terminal inhibitor that inhibits bromodomain-containing protein 4. The company was founded in 2018 and is headquartered in New York, New York.</t>
  </si>
  <si>
    <t>Pulmatrix, Inc. (NasdaqCM:PULM)</t>
  </si>
  <si>
    <t>NasdaqCM:PULM</t>
  </si>
  <si>
    <t>Pulmatrix, Inc., a clinical stage biotechnology company, focused on development of novel inhaled therapeutic products to prevent and treat respiratory and other diseases with unmet medical needs in the United States. The company offers iSPERSE, an engineered dry powder delivery platform, which enables delivery of small or large molecule drugs to the lungs by inhalation for local or systemic applications. It engages in developing PUR1800, a narrow spectrum kinase inhibitor completed Phase 1b clinical trials for the treatment of acute exacerbations in chronic obstructive pulmonary disease; PUR1900 for the treatment of allergic bronchopulmonary aspergillosis in patients with asthma and cystic fibrosis; and PUR3100, an iSPERSE formulation of dihydroergotamine which is in Phase 1 for the treatment of acute migraine. It has a license agreement with RespiVert Ltd. for access to a portfolio of kinase inhibitor drug candidates. The company was founded in 2003 and is headquartered in Bedford, Massachusetts.</t>
  </si>
  <si>
    <t>Clearside Biomedical, Inc. (NasdaqGM:CLSD)</t>
  </si>
  <si>
    <t>NasdaqGM:CLSD</t>
  </si>
  <si>
    <t>Clearside Biomedical, Inc., a biopharmaceutical company, focuses on the revolutionizing the delivery of therapies to the back of the eye through the suprachoroidal space. It offers XIPERE, a triamcinolone acetonide suprachoroidal injectable suspension for the treatment of uveitis macular edema. It also develops CLS-AX, an axitinib injectable suspension for suprachoroidal injection, which is in Phase IIb clinical trial to treat wet AMD. The company has a collaboration with Bausch Health, Arctic Vision, REGENXBIO, Inc., BioCryst Pharmaceuticals, Inc., and Aura Biosciences. Clearside Biomedical, Inc. was incorporated in 2011 and is headquartered in Alpharetta, Georgia.</t>
  </si>
  <si>
    <t>Verrica Pharmaceuticals Inc. (NasdaqGM:VRCA)</t>
  </si>
  <si>
    <t>NasdaqGM:VRCA</t>
  </si>
  <si>
    <t>Verrica Pharmaceuticals Inc., a clinical-stage dermatology therapeutics company, engages in the development and sales of medications for the treatment of skin diseases in the United States. The company’s product pipeline comprises YCANTH (VP-102), which is in phase III clinical trial for the common warts; and has completed phase II clinical trial for the treatment of external genital warts. The company also develops VP-315, an oncolytic peptide-based injectable therapy, which is in phase II clinical trial for the treatment of dermatology oncologic conditions which includes basal cell carcinoma; and VP-103, a cantharidin-based product candidate for the treatment of plantar warts and is in phase II clinical trial. In addition, it offers YCANTH for the treatment of molluscum contagiosum. The company has a collaboration and license agreement with Torii Pharmaceutical Co., Ltd. for the development and commercialization of its product candidates for the treatment of molluscum contagiosum and common warts in Japan, including VP-102; and a license agreement with Lytix Biopharma AS to develop and commercialize VP-315 for dermatological oncology indications, such as non-metastatic melanoma and non-metastatic merkel cell carcinoma. Verrica Pharmaceuticals Inc. was incorporated in 2013 and is headquartered in West Chester, Pennsylvania.</t>
  </si>
  <si>
    <t>Cara Therapeutics, Inc. (NasdaqCM:CARA)</t>
  </si>
  <si>
    <t>NasdaqCM:CARA</t>
  </si>
  <si>
    <t>Cara Therapeutics, Inc., a development-stage biopharmaceutical company, focuses on developing and commercializing therapeutics treatment of chronic pruritus in the United States. The company’s lead product is KORSUVA (difelikefalin) injection for the treatment of moderate-to-severe pruritus associated with chronic kidney disease (CKD) in adults undergoing hemodialysis. It also develops Oral difelikefalin, which is in Phase II/III clinical trial to treat chronic pruritus with notalgia paresthetica. The company has license agreements with Maruishi Pharmaceutical Co., Ltd to develop, manufacture, and commercialize drug products containing difelikefalin for acute pain and uremic pruritus in Japan; Vifor Fresenius Medical Care Renal Pharma Ltd. development and commercialization of KORSUVA injection for the treatment of moderate-to-severe pruritus in adult patients undergoing hemodialysis; and Chong Kun Dang Pharmaceutical Corporation to develop, manufacture, and commercialize drug products containing difelikefalin in South Korea. Cara Therapeutics, Inc. was incorporated in 2004 and is based in Stamford, Connecticut.</t>
  </si>
  <si>
    <t>ALT5 Sigma Corporation (NasdaqCM:ALTS)</t>
  </si>
  <si>
    <t>NasdaqCM:ALTS</t>
  </si>
  <si>
    <t>ALT5 Sigma Corporation operates a next generation blockchain platform. It engages in the tokenization, trading, clearing settlement, payment, and safe keeping of digital assets. The company’s products include ALT 5 Prime, an electronic over-the-counter trading platform to buy and sell digital assets; and ALT 5 Pay that enables payment processors to accept digital assets as payments, as well as make payment in digital assets. It is also involved in the developing of solutions for opioid crisis. The company was formerly known as JanOne Inc. and changed its name to ALT5 Sigma Corporation in July 2024. ALT5 Sigma Corporation was founded in 1976 and is based in Las Vegas, Nevada.</t>
  </si>
  <si>
    <t>China Pharma Holdings, Inc. (NYSEAM:CPHI)</t>
  </si>
  <si>
    <t>NYSEAM:CPHI</t>
  </si>
  <si>
    <t>China Pharma Holdings, Inc. develops, manufactures, and markets generic and branded pharmaceutical, and biochemical products to hospitals and private retailers in the People’s Republic of China. The company provides products in the form of dry powder injectables, liquid injectables, tablets, capsules, and cephalosporin oral solutions. Its products include Cerebroprotein Hydroloysate injection to treat memory decline and attention deficit; Gastrodin injection for tiredness, loss of concentration, poor sleep, and traumatic syndromes of the brain; Propylgallate injection to treat cerebral thrombosis, coronary heart disease, and after surgery complications; Ozagrel Sodium to treat acute thrombotic cerebral infarction and dyskinesia; Alginic Sodium Diester injection for ischemic heart, cerebrovascular, and high lipoprotein blood diseases; Bumetanide injection to treat edema diseases; and Candesartan for hypertension. In addition, the company provides Roxithromycin dispersible tablets for pharyngitis and tonsillitis; Cefaclor dispersible tablets for tympanitis, lower respiratory tract infection, urinary tract infections, and skin/skin tissue infection; Cefalexin capsules for acute tonsillitis; Andrographolide for sore throat caused by upper respiratory tract infection; Clarithromycin granules and capsules; and Naproxen Sodium and PseudophedrineHydrochlorida sustained release tablets. Further it offers Hepatocyte growth-promoting factor, Tiopronin, Compound Ammonium Glycyrrhetate S, and Omeparzole for the treatment of digestive diseases. Additionally, the company provides Vitamin B6 injection; Granisetron Hydrochloride injection to treat nausea and vomiting caused by radiotherapy and chemotherapy during the treatment of malignant tumors; Noni Enzyme, a food supplement; sanitizers; and masks. It offers its products through distributors, its network of sales offices, and sales representatives. The company is based in Haikou, the People’s Republic of China.</t>
  </si>
  <si>
    <t>Petros Pharmaceuticals, Inc. (NasdaqCM:PTPI)</t>
  </si>
  <si>
    <t>NasdaqCM:PTPI</t>
  </si>
  <si>
    <t>Petros Pharmaceuticals, Inc., a pharmaceutical company, focuses on men’s health therapeutics in the United States and internationally. It operates through two segments, Prescription Medications and Medical Devices. The company engages in the commercialization and development of Stendra, an PDE-5 inhibitor prescription medication for the treatment of erectile dysfunction (ED). It also develops and commercializes H100, a novel and patented topical formulation candidate for the treatment of acute Peyronie’s disease. The company offers men’s health products, including vacuum erection devices, penile injections, PreBoost, VenoSeal, and urinary tract infection tests for the treatment of erectile dysfunction. Petros Pharmaceuticals, Inc. is based in New York, New York.</t>
  </si>
  <si>
    <t>SCYNEXIS, Inc. (NasdaqGM:SCYX)</t>
  </si>
  <si>
    <t>NasdaqGM:SCYX</t>
  </si>
  <si>
    <t>SCYNEXIS, Inc., a biotechnology company, develops medicines to overcome and prevent difficult-to-treat and drug-resistant infections in the United States. It offers BREXAFEMME for the treatment of patients with vulvovaginal candidiasis (VVC) and recurrent VVC. The company’s lead product candidate is Ibrexafungerp, an intravenous drug for the treatment of invasive candidiasis and/or candidemia, refractory invasive fungal infections, invasive aspergillosis, VVC, and recurrent VVC. It also develops SCY-247 to treat systemic fungal diseases. The company has licensing and collaboration agreements with GlaxoSmithKline Intellectual Property (No. 3) Limited, Merck Sharp &amp; Dohme Corp., Hansoh (Shanghai) Health Technology Co., Ltd., Jiangsu Hansoh Pharmaceutical Group Company Limited, and R-Pharm, CJSC for the development, manufacture, and commercialization of ibrexafungerp. SCYNEXIS, Inc. was formerly known as SCYNEXIS Chemistry &amp; Automation, Inc. and changed its name to SCYNEXIS, Inc. in June 2002. The company was incorporated in 1999 and is headquartered in Jersey City, New Jersey.</t>
  </si>
  <si>
    <t>DURECT Corporation (NasdaqCM:DRRX)</t>
  </si>
  <si>
    <t>NasdaqCM:DRRX</t>
  </si>
  <si>
    <t>DURECT Corporation, a biopharmaceutical company, develops medicines based on its epigenetic regulator program. The company’s lead product larsucosterol (DUR-928), an endogenous, orally bioavailable small molecule that is in Phase IIb clinical trial to play a regulatory role in lipid metabolism, stress and inflammatory responses, and cell death and survival to treat alcohol-associated hepatitis, as well as completed Phase Ib clinical trial to treat patients with nonalcoholic steatohepatitis. It also offers ALZET product line that consists of osmotic pumps and accessories used for research in mice, rats, and other laboratory animals. In addition, the company offers POSIMIR, a post-surgical pain product to deliver bupivacaine over three days in adults; and Methydur to treat attention deficit hyperactivity disorder. It markets and sells its ALZET lines through direct sales force in the United States, as well as through a network of distributors in other countries. The company has strategic collaboration and other agreements with Virginia Commonwealth University Intellectual Property Foundation; Indivior UK Ltd.; and Innocoll Pharmaceuticals Limited. DURECT Corporation was incorporated in 1998 and is headquartered in Cupertino, California.</t>
  </si>
  <si>
    <t>Nutriband Inc. (NasdaqCM:NTRB)</t>
  </si>
  <si>
    <t>NasdaqCM:NTRB</t>
  </si>
  <si>
    <t>Nutriband Inc. develops a portfolio of transdermal pharmaceutical products. The company’s lead product in development is AVERSA fentanyl, an abuse deterrent fentanyl transdermal system that provides clinicians and patients with an extended-release transdermal fentanyl product for use in managing chronic pain requiring around the clock opioid therapy. It also develops AVERSA buprenorphine and AVERSA methylphenidate, and other transdermal pharmaceutical products. The company was incorporated in 2016 and is headquartered in Orlando, Florida.</t>
  </si>
  <si>
    <t>Daré Bioscience, Inc. (NasdaqCM:DARE)</t>
  </si>
  <si>
    <t>NasdaqCM:DARE</t>
  </si>
  <si>
    <t>Daré Bioscience, Inc., a biopharmaceutical company, identifies, develops, and markets products for women’s health in the United States. It develops therapies in the areas of contraception, reproductive health, menopause, fertility, and sexual and vaginal health. The company offers XACIATO for the treatment of bacterial vaginosis in female patients 12 years of age and older. It is developing Ovaprene, a hormone-free, monthly intravaginal contraceptive; Sildenafil Cream, a cream formulation of sildenafil for topical administration to the female genitalia on demand for the treatment of female sexual arousal disorder; DARE-HRT1 to treat moderate to-severe vasomotor symptoms in menopausal hormone therapy; DARE-VVA1 for the treatment of moderate-to-severe dyspareunia or pain during sexual intercourse; and DARE-CIN to treat cervical intraepithelial neoplasia and other human papillomavirus related pathologies. The company is also developing DARE-PDM1 for the treatment of primary dysmenorrhea; DARE-204 and DARE-214, an injectable formulations contraception of etonogestrel designed to provide contraception over 6-month and 12-month periods; DARE-FRT1, an intravaginal ring designed to deliver bio-identical progesterone for luteal phase support as part of an in vitro fertilization treatment plan; and DARE-PTB1 for the prevention of preterm birth. In addition, it is developing DARE-LARC1, a contraceptive implant delivering levonorgestrel with a woman-centered design that controlled contraceptive option; DARE-LBT, a novel hydrogel formulation for vaginal delivery of live biotherapeutics to support vaginal health; DARE-GML, a multi-target antimicrobial agent; DARE-RH1, a novel approach to non-hormonal contraception for men and women by targeting the CatSper ion channel; and DARE-PTB2 for the prevention and treatment of idiopathic preterm birth through inhibition of a stress response protein. Daré Bioscience, Inc. is headquartered in San Diego, California.</t>
  </si>
  <si>
    <t>SenesTech, Inc. (NasdaqCM:SNES)</t>
  </si>
  <si>
    <t>NasdaqCM:SNES</t>
  </si>
  <si>
    <t>SenesTech, Inc. develops a technology for managing animal pest populations through fertility control. It offers ContraPest, a liquid bait that limits reproduction of male and female rats. The company was incorporated in 2004 and is headquartered in Phoenix, Arizona.</t>
  </si>
  <si>
    <t>TherapeuticsMD, Inc. (NasdaqGS:TXMD)</t>
  </si>
  <si>
    <t>NasdaqGS:TXMD</t>
  </si>
  <si>
    <t>TherapeuticsMD, Inc. operates as a pharmaceutical royalty company in the United States. It has a license agreement with Mayne Pharma to commercialize the IMVEXXY, BIJUVA, and ANNOVERA prescription prenatal vitamin products sold under the BocaGreenMD and vitaMedMD brand names. The company sells its prescription pharmaceutical products and prenatal vitamin products through wholesale distributors and retail pharmacy distributors. TherapeuticsMD, Inc. was founded in 2008 and is headquartered in Boca Raton, Florida.</t>
  </si>
  <si>
    <t>Lyra Therapeutics, Inc. (NasdaqCM:LYRA)</t>
  </si>
  <si>
    <t>NasdaqCM:LYRA</t>
  </si>
  <si>
    <t>Lyra Therapeutics, Inc., a clinical-stage biotechnology company, focuses on the development and commercialization of novel integrated drug and delivery solutions for the localized treatment of patients with ear, nose, and throat diseases. It’s XTreo technology platform is designed to deliver medicines directly to the affected tissue for sustained periods with a single administration. The company’s product candidates include LYR-210, an anti-inflammatory implantable drug matrix for the treatment of chronic rhinosinusitis (CRS), which is in Phase III clinical trial; and LYR-220 for CRS patients with and without nasal polyps. It has a collaboration agreement with LianBio Inflammatory Limited to develop and commercialize LYR-210 in mainland China, Hong Kong, Taiwan, Macau, South Korea, Singapore, and Thailand. The company was formerly known as 480 Biomedical, Inc. and changed its name to Lyra Therapeutics, Inc. in July 2018. Lyra Therapeutics, Inc. was incorporated in 2005 and is headquartered in Watertown, Massachusetts.</t>
  </si>
  <si>
    <t>IGC Pharma, Inc. (NYSEAM:IGC)</t>
  </si>
  <si>
    <t>NYSEAM:IGC</t>
  </si>
  <si>
    <t>IGC Pharma, Inc., a clinical stage pharmaceutical company, engages in developing treatments for Alzheimer’s disease. The company’s lead product is IGC-AD1, which is in a Phase 2B clinical trial as a treatment for agitation in dementia due to Alzheimer’s; and TGR-63, IGC-1C, IGC-M3, and LMP in pre-clinical development. The company was formerly known as India Globalization Capital, Inc. and changed its name to IGC Pharma, Inc. in March 2023. The company was incorporated in 2005 and is headquartered in Potomac, Maryland.</t>
  </si>
  <si>
    <t>Septerna, Inc. (NasdaqGM:SEPN)</t>
  </si>
  <si>
    <t>NasdaqGM:SEPN</t>
  </si>
  <si>
    <t>Septerna, Inc., a clinical-stage biotechnology company, discovers and develops G protein-coupled receptor (GPCR) oral small molecule products candidates for the treatment of endocrinology, immunology and inflammation, and metabolic diseases. The company develops SEP-786, an oral small molecule PTH1R agonist for hypoparathyroidism; SEP-631, an oral small molecule MRGPRX2 NAM for chronic spontaneous urticaria and other mast cell diseases; TSHR Program, an oral small molecule TSHR NAM for Graves’ disease and thyroid eye disease. It also develops oral small molecule single- and multi-incretin receptor agonists for metabolic disorders including obesity and type 2 diabetes. Septerna, Inc. was formerly known as GPCR NewCo, Inc. and changed its name to Septerna Inc. in June 2021. The company was incorporated in 2019 and is headquartered in South San Francisco, California.</t>
  </si>
  <si>
    <t>VYNE Therapeutics Inc. (NasdaqCM:VYNE)</t>
  </si>
  <si>
    <t>NasdaqCM:VYNE</t>
  </si>
  <si>
    <t>VYNE Therapeutics Inc., a clinical-stage biopharmaceutical company, focuses on developing therapeutics for the treatment of chronic inflammatory and immune-mediated conditions. Its lead program, repibresib gel (VYN201), is a topically administered small molecule pan bromodomain (BD) extra-terminal (BET) inhibitor soft drug that address diseases involving multiple, diverse inflammatory cell signaling pathways with low systemic exposure. The company also develops VYN202, a BD2-selective oral small molecule BET inhibitor in Phase 1b trial for the acute control and chronic management of immune-mediated inflammatory conditions. The company was formerly known as Menlo Therapeutics Inc. and changed its name to VYNE Therapeutics Inc. in September 2020. VYNE Therapeutics Inc. was founded in 2003 and is based in Bridgewater, New Jersey.</t>
  </si>
  <si>
    <t>Lexaria Bioscience Corp. (NasdaqCM:LEXX)</t>
  </si>
  <si>
    <t>NasdaqCM:LEXX</t>
  </si>
  <si>
    <t>Lexaria Bioscience Corp. operates as a biotechnology company. It offers its patented drug delivery-enabling platform technology, DehydraTECH, which combines active pharmaceutical ingredients (APIs) with specific long-chain fatty acid-rich triglyceride oils and carrier compounds that improve the way they enter the bloodstream, increasing their effectiveness and allowing for lower overall dosing for improved tolerability while promoting healthier oral ingestion methods. The company’s DehydraTECH is used with a range of active molecules, including glucagon-like peptide-1 drugs (GLP-1) and glucose -dependent insulinotropic polypeptide drugs (GIP), vitamins, pain medications, hormones, phosphodiesterase type 5 (PDE5) inhibitors, antivirals, nicotine and its analogs, and cannabinoids. Its DehydraTECH technology is applied to various therapeutic indications, such as diabetes, weight loss, hypertension, and heart disease; is implemented in a multitude of ingestible or topically administered product formats comprising oral suspensions, tablets, capsules, foods, beverages, creams, lotions, and skin patches; and is suitable for a variety of product formats, including pharmaceuticals, nutraceuticals, over-the-counter products, and consumer packaged goods. The company was formerly known as Lexaria Corp. and changed its name to Lexaria Bioscience Corp. in April 2016. Lexaria Bioscience Corp. was incorporated in 2004 and is headquartered in Kelowna, Canada.</t>
  </si>
  <si>
    <t>60 Degrees Pharmaceuticals, Inc. (NasdaqCM:SXTP)</t>
  </si>
  <si>
    <t>NasdaqCM:SXTP</t>
  </si>
  <si>
    <t>60 Degrees Pharmaceuticals, Inc., a specialty pharmaceutical company, engages in the development and commercialization of therapies for the prevention and treatment of infectious diseases in the United States. The company offers Arakoda for malaria preventative treatment. It also engages in the development of Tafenoquine (Arakoda regimen) that is in Phase IIb clinical trial for COVID-19 indications; Tafenoquine, which is in phase IIA clinical trials for babesiosis, fungal pneumonias, and candidiasis disease; and Celgosivir for respiratory viruses and dengue. It also has patent license agreement with Tufts Medical Center to jointly advance the development and commercialization of tafenoquine for the treatment and prevention of babesiosis. The company was founded in 2010 and is headquartered in Washington, District Of Columbia.</t>
  </si>
  <si>
    <t>Talphera, Inc. (NasdaqGM:TLPH)</t>
  </si>
  <si>
    <t>NasdaqGM:TLPH</t>
  </si>
  <si>
    <t>Talphera, Inc., a specialty pharmaceutical company, focuses on the development and commercialization of therapies for use in medically supervised settings. Its lead product candidate is Niyad, a lyophilized formulation of nafamostat, which is under an investigational device exemption as an anticoagulant for the extracorporeal circuit. It is also developing LTX-608, an anti-inflammatory and antiviral potential for the treatment of multiple conditions, including disseminated intravascular coagulation (DIC), acute respiratory distress syndrome (ARDS), and acute pancreatitis; Fedsyra, a pre-filled ephedrine syringe; and PFS-02, a pre-filled phenylephrine syringe. The company was formerly known as AcelRx Pharmaceuticals, Inc. and changed its name to Talphera, Inc. in January 2024. The company was incorporated in 2005 and is headquartered in San Mateo, California.</t>
  </si>
  <si>
    <t>Traws Pharma, Inc. (NasdaqCM:TRAW)</t>
  </si>
  <si>
    <t>NasdaqCM:TRAW</t>
  </si>
  <si>
    <t>Traws Pharma, Inc., a clinical stage biopharmaceutical company, focuses on developing small molecule oral product candidates for respiratory viral diseases and cancer. The company is developing investigational novel therapies for influenza and COVID19 that are designed to address treatment resistance, such as TRX01 (travatrelvir), a Mpro/3CL inhibitor in development for the treatment of COVID19; and TRX100 (viroxavir), an endonuclease inhibitor in development for the treatment of pandemic influenza. It is also developing narazaciclib, a multi-kinase CDK4/6 inhibitor, which is in Phase 1/2 clinical trials in patients with cancer, with or without co-administration of letrozole to define the recommended phase 2 dose for further development in endometrial cancer; and oral rigosertib, which is administered alone or in combination for investigation in various cancers. The company was formerly known as Onconova Therapeutics, Inc. and changed its name to Traws Pharma, Inc. in April 2024. Traws Pharma, Inc. was incorporated in 1998 and is headquartered in Newtown, Pennsylvania.</t>
  </si>
  <si>
    <t>Incannex Healthcare Inc. (NasdaqGM:IXHL)</t>
  </si>
  <si>
    <t>NasdaqGM:IXHL</t>
  </si>
  <si>
    <t>Incannex Healthcare Inc., a clinical-stage biopharmaceutical company, engages in the research, development, manufacture, sale, and distribution of psychedelic medicines and therapies for patients with chronic diseases in Australia. The company develops IHL-42X, an oral fixed dose combination of dronabinol and acetazolamide that has completed Phase 2/3 clinical trial for the treatment of obstructive sleep apnea; and PSX-001, an oral synthetic psilocybin treatment in Phase 2b clinical development for patients with generalized anxiety disorder. It is also developing IHL-675A, an oral fixed dose combination drug containing synthetic cannabidiol and hydroxychloroquine sulphate in Phase 2 clinical trial to treat rheumatoid arthritis, as well as lung inflammation, acute respiratory disease, chronic obstructive pulmonary disease, asthma, bronchitis, inflammatory bowel disease, colitis, and Crohn’s disease. Incannex Healthcare Inc. is headquartered in Sydney, Australia.</t>
  </si>
  <si>
    <t>Eyenovia, Inc. (NasdaqCM:EYEN)</t>
  </si>
  <si>
    <t>NasdaqCM:EYEN</t>
  </si>
  <si>
    <t>Eyenovia, Inc., a commercial-stage ophthalmic pharmaceutical technology company, engages in developing a pipeline of microdose array print therapeutics. It focuses on commercializing Mydcombi (tropicamide and phenylephrine HCL ophthalmic spray) for inducing mydriasis for routine diagnostic procedures and in conditions where short term pupil dilation is desired, and clobetasol propionate ophthalmic suspension for the treatment of post-operative pain and inflammation following ocular surgery. The company is also developing the Optejet delivery system for use in combination with its drug-device therapeutic programs and for out-licensing for use in combination with therapeutics for additional indications. It has a license agreement with Bausch Health Ireland Limited to develop and commercialize MicroPine in the United States and Canada; a license agreement with Arctic Vision (Hong Kong) Limited to develop and commercialize MicroPine, MicroLine, and Mydcombi in China and South Korea; and Senju Pharmaceutical Co., Ltd. to develop and commercialize MicroPine, MicroLine, and Mydcombi. The company has agreement with Formosa Pharmaceuticals. Inc. for Co-Development of Clobetasol Propionate Ophthalmic Suspension (0.05%) for the Treatment of Acute Dry Eye Disease in the U.S. The company was formerly known as PGP Holdings V, Inc. and changed its name to Eyenovia, Inc. in May 2014. Eyenovia, Inc. was incorporated in 2014 and is based in New York, New York.</t>
  </si>
  <si>
    <t>Adial Pharmaceuticals, Inc. (NasdaqCM:ADIL)</t>
  </si>
  <si>
    <t>NasdaqCM:ADIL</t>
  </si>
  <si>
    <t>Adial Pharmaceuticals, Inc., a clinical-stage biopharmaceutical company, focuses on the development of therapeutics for the treatment or prevention of addiction and related disorders. The company’s lead product is AD04, a serotonin-3 antagonist, which is in Phase 3 clinical trials for the treatment of alcohol use disorder. It is also involved in the development of drug candidates for non-opioid pain reduction and other diseases and disorders. Adial Pharmaceuticals, Inc. was founded in 2010 and is based in Glen Allen, Virginia.</t>
  </si>
  <si>
    <t>Alto Neuroscience, Inc. (NYSE:ANRO)</t>
  </si>
  <si>
    <t>NYSE:ANRO</t>
  </si>
  <si>
    <t>Alto Neuroscience, Inc. operates as a clinical-stage biopharmaceutical company in the United States. The company’s product pipeline comprising ALTO-100, which is in phase 2b clinical trial for the treatment of patients with bipolar depression (BPD). It develops ALTO-300, a small molecule melatonergic agonist and serotonergic antagonist with antidepressant properties which is in phase 2b clinical trial to treat patients with major depressive disorder (MDD); ALTO-101, a novel small molecule phosphodiesterase 4 inhibitor which is in phase 2 proof-of-concept (POC) trial for the treatment of cognitive impairment associated with schizophrenia; ALTO-203, a novel small-molecule histamine H3 receptor inverse agonist which is in phase 2 POC trial to treat patients with MDD and higher levels of anhedonia; and ALTO-202, an investigational orally bioavailable antagonist of the GluN2B subunit of the NMDA receptor which is in phase 1 clinical trial for the treatment of MDD. The company was incorporated in 2019 and is headquartered in Mountain View, California.</t>
  </si>
  <si>
    <t>Alumis Inc. (NasdaqGS:ALMS)</t>
  </si>
  <si>
    <t>NasdaqGS:ALMS</t>
  </si>
  <si>
    <t>Alumis Inc., a clinical stage biopharmaceutical company, focuses on identifying, acquiring, and accelerating the development and commercialization of medicines for autoimmune disorders. The company’s clinical asset comprises of ESK-001, an allosteric tyrosine kinase 2 (TYK2) inhibitor which is in Phase 3 clinical trials for the treatment of plaque psoriasis, systemic lupus erythematosus, and non-infectious uveitis; A-005, a central nervous system-penetrant allosteric TYK2 inhibitor which is in Phase 1 clinical trials for neuroinflammatory and neurodegenerative diseases; and interferon regulatory factor 5 (IRF5) which is in preclinical phase to address immune dysfunction. The company was formerly known as Esker Therapeutics, Inc. and changed its name to Alumis Inc. in January 2022. The company was incorporated in 2021 and is headquartered in South San Francisco, California.</t>
  </si>
  <si>
    <t>Anebulo Pharmaceuticals, Inc. (NasdaqCM:ANEB)</t>
  </si>
  <si>
    <t>NasdaqCM:ANEB</t>
  </si>
  <si>
    <t>Anebulo Pharmaceuticals, Inc., a clinical-stage biotechnology company, engages in developing treatments for unintentional cannabis poisoning, acute cannabinoid intoxication, and acute cannabis-induced conditions in the United States. Its lead product candidate is the selonabant, a small molecule antagonist of cannabinoid binding receptor type-1, which is in a phase II clinical trial to address the unmet medical need for a specific antidote for cannabis toxicity. The company was incorporated in 2020 and is based in Lakeway, Texas.</t>
  </si>
  <si>
    <t>Artelo Biosciences, Inc. (NasdaqCM:ARTL)</t>
  </si>
  <si>
    <t>NasdaqCM:ARTL</t>
  </si>
  <si>
    <t>Artelo Biosciences, Inc., a clinical stage biopharmaceutical company, develops and commercializes therapeutics that target lipid-signaling pathways in the United States. The company’s product candidate pipeline includes ART27.13, a synthetic dual cannabinoid G protein-coupled receptor agonist, which is in Phase 1b/2a clinical trial for the treatment of anorexia associated/ weight loss with cancer; and ART12.11, a synthetic cannabidiol cocrystal for the treatment anxiety, depression, post-traumatic stress disorder PTSD, epilepsy and insomnia, pain and inflammation, and other potential indications. It also offers ART26.12, a fatty acid binding protein 5 inhibitor for treating chemotherapy induced peripheral neuropathy, diabetic neuropathy, prostate cancer and breast cancer, pain, dermatologic conditions, and anxiety disorders. The company was formerly known as Reactive Medical Inc. and changed its name to Artelo Biosciences, Inc. in April 2017. Artelo Biosciences, Inc. was incorporated in 2011 and is based in Solana Beach, California.</t>
  </si>
  <si>
    <t>Aspire Biopharma Holdings, Inc. (NasdaqGM:ASBP)</t>
  </si>
  <si>
    <t>NasdaqGM:ASBP</t>
  </si>
  <si>
    <t>Aspire Biopharma Holdings, Inc., early-stage biopharmaceutical company, engages in developing and marketing of disruptive technology for delivery mechanisms for do no harm drugs in the United States. The company provides Sublingual Aspirin Product, which addresses cardiology emergencies and pain management. It develops formulation for a sublingually administered melatonin sleep-aid product; vitamins D, E, and K; testosterone; and semaglutide, as well as formulations for anti-nausea products, anti-psychotic products, ED drugs, seizure medication, and several other classes of drugs. The company was founded in 2021 and is based in Humacao, Puerto Rico.</t>
  </si>
  <si>
    <t>Atea Pharmaceuticals, Inc. (NasdaqGS:AVIR)</t>
  </si>
  <si>
    <t>NasdaqGS:AVIR</t>
  </si>
  <si>
    <t>Atea Pharmaceuticals, Inc., a clinical-stage biopharmaceutical company, discovers, develops, and commercializes oral antiviral therapeutics for patients with serious viral infections. Its lead product candidate is the regimen of bemnifosbuvir, a nucleotide NS5B inhibitor, and ruzasvir, an NS5A inhibitor, which is in Phase 3 clinical trial for the treatment of hepatitis C virus (HCV). It has a license agreement with MSD International GmbH for the development, manufacture, and commercialization of ruzasvir. Atea Pharmaceuticals, Inc. was incorporated in 2012 and is headquartered in Boston, Massachusetts.</t>
  </si>
  <si>
    <t>Athira Pharma, Inc. (NasdaqGS:ATHA)</t>
  </si>
  <si>
    <t>NasdaqGS:ATHA</t>
  </si>
  <si>
    <t>Athira Pharma, Inc., clinical-stage biopharmaceutical company, focuses on developing small molecules to restore neuronal health and slow neurodegradation. Its product pipeline includes ATH-1105 for the treatment of amyotrophic lateral sclerosis, which is in phase 1 clinical trial; ATH-1020 for the treatment of neurodegenerative diseases, which is phase 1 clinical trial, as well as early compounds which is in preclinical phase. The company was formerly known as M3 Biotechnology, Inc. and changed its name to Athira Pharma, Inc. in April 2019. Athira Pharma, Inc. was incorporated in 2011 and is headquartered in Bothell, Washington.</t>
  </si>
  <si>
    <t>BioAge Labs, Inc. (NasdaqGS:BIOA)</t>
  </si>
  <si>
    <t>NasdaqGS:BIOA</t>
  </si>
  <si>
    <t>BioAge Labs, Inc. is a biopharmaceutical company that develops therapeutic product candidates for metabolic diseases. The company’s technology platform and differentiated human datasets allows users to identify targets based on insights into molecular changes that drive aging. Its product includes azelaprag, an orally available small molecule that is in phase 1 clinical trial for the treatment of obesity; and initiated phase 2 clinical trial of azelaprag in combination with tirzepatide for the treatment of obesity in older adults. It develops BGE-102, an orally available small molecule brain-penetrant NLRP3 antagonist for the treatment of diseases driven by neuroinflammation. The company was incorporated in 2015 and is based in Richmond, California.</t>
  </si>
  <si>
    <t>Cadrenal Therapeutics, Inc. (NasdaqCM:CVKD)</t>
  </si>
  <si>
    <t>NasdaqCM:CVKD</t>
  </si>
  <si>
    <t>Cadrenal Therapeutics, Inc. operates as a clinical development biopharmaceutical company. The company focuses on developing Tecarfarin, a novel oral and reversible anticoagulant to prevent heart attacks, strokes, and deaths due to blood clots in patients with rare cardiovascular conditions requiring chronic anticoagulation, such as patients with left ventricular assist devices, end-stage kidney disease, atrial fibrillation, and thrombotic anti-phospholipid syndrome. Cadrenal Therapeutics, Inc. was incorporated in 2022 and is headquartered in Ponte Vedra, Florida.</t>
  </si>
  <si>
    <t>CalciMedica, Inc. (NasdaqCM:CALC)</t>
  </si>
  <si>
    <t>NasdaqCM:CALC</t>
  </si>
  <si>
    <t>CalciMedica, Inc., a clinical-stage biopharmaceutical company, focuses on developing therapeutics for illnesses caused by inflammatory and immunologic processes and direct cellular damage. The company’s lead product candidate comprises Auxora, an intravenous formulated small molecule calcium release-activated (CRAC) channel inhibitors, which is in phase 2 clinical trials for the treatment of acute pancreatitis, asparaginase induced pancreatic toxicity, and acute kidney injury, as well as severe COVID-19 pneumonia. It also develops CM6336, an oral CRAC channel inhibitors for chronic inflammatory indications; and Auxora, for the treatment of acute ulcerative colitis and allergic asthma. The company is based in La Jolla, California.</t>
  </si>
  <si>
    <t>Cassava Sciences, Inc. (NasdaqCM:SAVA)</t>
  </si>
  <si>
    <t>NasdaqCM:SAVA</t>
  </si>
  <si>
    <t>Cassava Sciences, Inc., a clinical stage biotechnology company, develops drugs for neurodegenerative diseases. Its lead therapeutic product candidate is simufilam, a small molecule drug, which is completed Phase 2 clinical trial; and investigational diagnostic product candidate is SavaDx, a blood-based biomarker/diagnostic to detect Alzheimer's disease. Cassava Sciences, Inc. was formerly known as Pain Therapeutics, Inc. and changed its name to Cassava Sciences, Inc. in March 2019. The company was incorporated in 1998 and is based in Austin, Texas.</t>
  </si>
  <si>
    <t>Citius Pharmaceuticals, Inc. (NasdaqCM:CTXR)</t>
  </si>
  <si>
    <t>NasdaqCM:CTXR</t>
  </si>
  <si>
    <t>Citius Pharmaceuticals, Inc., a biopharmaceutical company, focuses on the development and commercialization of critical care products. Its LYMPHIR, an FDA approved product, is a targeted immunotherapy for the treatment of cutaneous T-cell lymphoma. The company’s late-stage pipeline includes Mino-Lok, an antibiotic lock solution to salvage catheters in patients with catheter-related bloodstream infections; and CITI-002 (Halo-Lido), a topical formulation for the relief of hemorrhoids. The Pivotal Phase 3 Trial for Mino-Lok and a Phase 2b trial for Halo-Lido completed. Citius Pharmaceuticals, Inc. was founded in 2007 and is headquartered in Cranford, New Jersey.</t>
  </si>
  <si>
    <t>CNS Pharmaceuticals, Inc. (NasdaqCM:CNSP)</t>
  </si>
  <si>
    <t>NasdaqCM:CNSP</t>
  </si>
  <si>
    <t>CNS Pharmaceuticals, Inc., a clinical pharmaceutical company, engages in the development of anti-cancer drug candidates for the treatment of brain and central nervous system tumors. The company’s lead drug candidate is Berubicin, which completed Phase I clinical trial that is used for the treatment of glioblastoma multiforme. CNS Pharmaceuticals, Inc. has license agreements with Houston Pharmaceuticals, Inc. and The University of Texas M.D. Anderson Cancer Center, as well as a collaboration and asset purchase agreement with Reata Pharmaceuticals, Inc. The company was incorporated in 2017 and is based in Houston, Texas.</t>
  </si>
  <si>
    <t>Cocrystal Pharma, Inc. (NasdaqCM:COCP)</t>
  </si>
  <si>
    <t>NasdaqCM:COCP</t>
  </si>
  <si>
    <t>Cocrystal Pharma, Inc., a biotechnology company, focuses on the discovery and development of antiviral therapeutic treatments for serious and/or chronic viral diseases. It employs structure-based technologies to create antiviral drugs primarily to treat hepatitis C virus (HCV), influenza virus, coronavirus, norovirus, and respiratory virus infections. The company develops CC-31244, a HCV non-nucleoside polymerase inhibitor that has completed Phase II a clinical trial to treat HCV infection; and CC-42344, a PB2 inhibitor that has completed Phase I clinical trial for treating influenza infection. It is also involved in identifying and developing non-nucleoside polymerase inhibitors for norovirus infections. Cocrystal Pharma, Inc. has a license and research collaboration agreement with Merck Sharp &amp; Dohme Corp. to discover and develop proprietary influenza A/B antiviral agents; and a license agreement with Kansas State University Research Foundation to develop antiviral compounds for the treatment of norovirus and coronavirus infections. The company is headquartered in Bothell, Washington.</t>
  </si>
  <si>
    <t>Cognition Therapeutics, Inc. (NasdaqCM:CGTX)</t>
  </si>
  <si>
    <t>NasdaqCM:CGTX</t>
  </si>
  <si>
    <t>Cognition Therapeutics, Inc., a clinical-stage biopharmaceutical company, engages in the discovery and development of small molecule therapeutics targeting age-related degenerative diseases and disorders of the central nervous system and retina. Its lead product candidate is CT1812, an orally delivered molecule modulator designed to penetrate the blood-brain barrier and bind selectively to the S2R complex, which is in Phase 2 clinical trial for the treatment of Alzheimer’s disease, as well as geographic atrophy secondary to dry age-related macular degeneration and synucleinopathies, such as dementia with Lewy bodies. The company was incorporated in 2007 and is headquartered in Purchase, New York.</t>
  </si>
  <si>
    <t>Context Therapeutics Inc. (NasdaqCM:CNTX)</t>
  </si>
  <si>
    <t>NasdaqCM:CNTX</t>
  </si>
  <si>
    <t>Context Therapeutics Inc., a biopharmaceutical company, develops products for the treatment of solid tumors. Its lead program candidate is CTIM-76, an anti-Claudin 6 (CLDN6) x anti-CD3 bispecific antibody that is intended to redirect T-cell-mediated lysis toward malignant cells expressing CLDN6. The company has a collaboration and licensing agreement with Integral Molecular, Inc. for the development of a CLDN6 bispecific monoclonal antibody for cancer therapy. Context Therapeutics Inc. was incorporated in 2015 and is headquartered in Philadelphia, Pennsylvania.</t>
  </si>
  <si>
    <t>Contineum Therapeutics, Inc. (NasdaqGS:CTNM)</t>
  </si>
  <si>
    <t>NasdaqGS:CTNM</t>
  </si>
  <si>
    <t>Contineum Therapeutics, Inc., a clinical stage biopharmaceutical company, engages in developing of small molecules different therapies for neuroscience, inflammation, and immunology indications with high unmet need in the United States. The company’s lead asset is PIPE-791, a novel, brain penetrant, small molecule inhibitor of the lysophosphatidic acid 1 receptor (LPA1R) for the treatment of idiopathic pulmonary fibrosis, progressive multiple sclerosis, and chronic pain. It also develops PIPE-307, a novel, small molecule selective inhibitor of the muscarinic type 1 M1 receptor which is in Phase 2 clinical trial to treat depression and relapse remitting MS; and CTX-343, a peripherally restricted LPA1R antagonist which is a brain penetrant drug candidate. The company was formerly known as Pipeline Therapeutics, Inc. and changed its name to Contineum Therapeutics, Inc. in November 2023. Contineum Therapeutics, Inc. was incorporated in 2009 and is headquartered in San Diego, California.</t>
  </si>
  <si>
    <t>Edgewise Therapeutics, Inc. (NasdaqGS:EWTX)</t>
  </si>
  <si>
    <t>NasdaqGS:EWTX</t>
  </si>
  <si>
    <t>Edgewise Therapeutics, Inc., a biopharmaceutical company, discovers, develops, and commercializes therapies for the treatment of muscle disorders. Its lead product candidate, EDG-5506, an orally administered small molecule that is in Phase II clinical trials, designed to address the root cause of dystrophinopathies including Duchenne muscular dystrophy and Becker muscular dystrophy. The company develops EDG-7500, a small molecule for the treatment of hypertrophic cardiomyopathy and other severe cardiac disorders that is in Phase I clinical trials. In addition, it develops a pipeline of precision medicine product candidates that target key muscle proteins and modulators to address genetically defined muscle disorders. The company was incorporated in 2017 and is headquartered in Boulder, Colorado.</t>
  </si>
  <si>
    <t>Enliven Therapeutics, Inc. (NasdaqGS:ELVN)</t>
  </si>
  <si>
    <t>NasdaqGS:ELVN</t>
  </si>
  <si>
    <t>Enliven Therapeutics, Inc., a clinical-stage biopharmaceutical company, focuses on the discovery and development of small molecule inhibitors to help patients with cancer. The company’s lead product candidates comprise ELVN-001, a small molecule kinase inhibitor which is in Phase 1 clinical trial to treat adults with chronic myeloid leukemia; and ELVN-002, a CNS penetrant and irreversible HER2 inhibitor that is in Phase 1 clinical trial for the treatment of non-small cell lung cancer (NSCLC) and other HER2 driven cancers and solid tumors. The company is headquartered in Boulder, Colorado.</t>
  </si>
  <si>
    <t>Enveric Biosciences, Inc. (NasdaqCM:ENVB)</t>
  </si>
  <si>
    <t>NasdaqCM:ENVB</t>
  </si>
  <si>
    <t>Enveric Biosciences, Inc., a biotechnology company, engages in the development of small-molecule therapeutics for the treatment of anxiety, depression, and addiction disorders. Its lead product candidates are EB-002, an active metabolite of psilocybin, which is in preclinical development stage for the treatment of anxiety disorders; and EB-003 that is in preclinical development stage for the treatment mental health. The company also focuses on the development of cannabinoid conjugate molecules for the treatment of pain and cancer. Enveric Biosciences, Inc. is headquartered in Naples, Florida.</t>
  </si>
  <si>
    <t>GH Research PLC (NasdaqGM:GHRS)</t>
  </si>
  <si>
    <t>NasdaqGM:GHRS</t>
  </si>
  <si>
    <t>GH Research PLC, together with its subsidiary, a clinical-stage biopharmaceutical company, engages in developing treatments for depression in the United States. Its lead product candidate is GH001, an inhalable mebufotenin product candidate, which is in phase 2b clinical trial for treating patients with treatment-resistant depression; and in phase 2a clinical trial for treating bipolar II disorder and a current major depressive episode, as well as female patients with postpartum depression. The company also develops GH002, an intravenous mebufotenin product candidate, which is in phase 1 clinical pharmacology trial in healthy volunteers focusing on psychiatric and neurological disorders. The company was founded in 2018 and is based in Dublin, Ireland.</t>
  </si>
  <si>
    <t>Grace Therapeutics, Inc. (NasdaqCM:GRCE)</t>
  </si>
  <si>
    <t>NasdaqCM:GRCE</t>
  </si>
  <si>
    <t>Grace Therapeutics, Inc. engages in the development and commercialization of pharmaceutical products for rare and orphan diseases in Canada. The company’s lead product candidate is the GTX-104, an intravenous infusion to treat subarachnoid hemorrhage. It also develops GTX-102, an oral mucosal betamethasone spray for the treatment of ataxia-telangiectasia; and GTX-101, a topical bioadhesive film-forming bupivacaine spray for postherpetic neuralgia. The company was formerly known as Acasti Pharma Inc. and changed its name to Grace Therapeutics, Inc. in October 2024. The company was incorporated in 2002 and is headquartered in Princeton, New Jersey.</t>
  </si>
  <si>
    <t>Hepion Pharmaceuticals, Inc. (NasdaqCM:HEPA)</t>
  </si>
  <si>
    <t>NasdaqCM:HEPA</t>
  </si>
  <si>
    <t>Hepion Pharmaceuticals, Inc., a biopharmaceutical company, focuses on the development of drug therapy treatment for chronic liver diseases in the United States. It develops Rencofilstat, a cyclophilin inhibitor is in Phase 2b clinical trial to target multiple pathologic pathways involved in the progression of liver disease and treat non-alcoholic steatohepatitis (NASH), as well as preclinical studies of Rencofilstat shows reduction in liver fibrosis, liver inflammation, liver tumor burden, and titers of HBV, HCV, HDV, and HIV-1, and has demonstrated antiviral activities for hepatitis B, C, and D viruses through several mechanisms. The company was formerly known as ContraVir Pharmaceuticals, Inc. and changed its name to Hepion Pharmaceuticals, Inc. in July 2019. Hepion Pharmaceuticals, Inc. was incorporated in 2013 and is headquartered in Edison, New Jersey.</t>
  </si>
  <si>
    <t>Hoth Therapeutics, Inc. (NasdaqCM:HOTH)</t>
  </si>
  <si>
    <t>NasdaqCM:HOTH</t>
  </si>
  <si>
    <t>Hoth Therapeutics, Inc., a clinical-stage biopharmaceutical company, focuses on developing therapies for unmet medical needs. It develops HT-001, a topical formulation in Phase II clinical trial for the treatment of patients with rash and skin disorders associated with initial and repeat courses of tyrosine kinase epidermal growth factor receptor inhibitor therapy; HT-KIT to treat mast-cell derived cancers and anaphylaxis; HT-TBI to treat traumatic brain injury and ischemic stroke; HT-ALZ for the treatment and/or prevention of Alzheimer’s or other neuroinflammatory diseases; HT-004 for treatment of asthma and allergies using inhalational administration; and HT-003 for the treatment of acne and psoriasis, as well as inflammatory bowel diseases. The company is also developing BioLexa Platform, a proprietary, patented, drug compound platform in Phase I clinical trial for the treatment of eczema; and HT-005 for treating patients with lupus. The company has license agreements with the George Washington University; Isoprene Pharmaceuticals, Inc.; Virginia Commonwealth University; the North Carolina State University; Chelexa BioSciences, Inc. and the University of Cincinnati; Zylö Therapeutics, Inc.; and Voltron Therapeutics, Inc. It also has a research collaboration agreement with Weill Cornell Medicine to develop HT-003. Hoth Therapeutics, Inc. was incorporated in 2017 and is headquartered in New York, New York.</t>
  </si>
  <si>
    <t>Ikena Oncology, Inc. (NasdaqGM:IKNA)</t>
  </si>
  <si>
    <t>NasdaqGM:IKNA</t>
  </si>
  <si>
    <t>Ikena Oncology, Inc. operates as an oncology company in the United States. The company that develops differentiated therapies for patients in need that target nodes of cancer growth, spread, and therapeutic resistance. The company develops IK-595, a molecular glue which is in Phase 1 clinical trial to trap MEK and RAF in an inactive complex. Ikena Oncology, Inc. was incorporated in 2016 and is headquartered in Boston, Massachusetts</t>
  </si>
  <si>
    <t>Impact BioMedical Inc. (NYSEAM:IBO)</t>
  </si>
  <si>
    <t>NYSEAM:IBO</t>
  </si>
  <si>
    <t>Impact BioMedical Inc. focused on discovery, development, and commercialization of products and technologies to address unmet needs in human healthcare and wellness for specialty biopharmaceuticals, antivirals, antimicrobials, consumer healthcare, and wellness products in the United States. The company provides Linebacker, a platform of small molecule electrophilically enhanced polyphenol compounds with application in oncology, inflammatory disorders, and neurology; and Laetose technology that is derived from a unique combination of sugar and inositol, which can inhibit the inflammatory and metabolic response of sugar alone. It also develops functional fragrance formulation, a suite of functional fragrances containing specialized botanical ingredients with application as an antimicrobial, and as an additive in insect repellents, detergents, lotions, shampoo, fabrics, and other substances. In addition, the company develops Equivir/Equivir G technology, a novel blend of polyphenols, which have demonstrated antiviral effects for use in as health supplements and medications. Impact BioMedical Inc. was incorporated in 2018 and is based in Houston, Texas.</t>
  </si>
  <si>
    <t>Iterum Therapeutics plc (NasdaqCM:ITRM)</t>
  </si>
  <si>
    <t>NasdaqCM:ITRM</t>
  </si>
  <si>
    <t>Iterum Therapeutics plc, a pharmaceutical company, develops and commercializes treatments for drug resistant bacterial infections in Ireland, Bermuda, and the United States. The company offers ORLYNVAH, an oral penem antibiotic for the treatment of uncomplicated urinary tract infections caused by Escherichia coli, Klebsiella pneumoniae, and Proteus mirabilis microorganisms in adult women with limited or no alternative oral antibacterial treatment options. It is also developing sulopenem, a novel anti-infective compound with oral and intravenous formulations to treat uncomplicated urinatry tract infections, complicated urinary tract infections, and complicated intra-abdominal infections, as well as community-acquired bacterial pneumonia, acute bacterial prostatitis, gonococcal urethritis, and pelvic inflammatory diseases. Iterum Therapeutics plc was incorporated in 2015 and is headquartered in Dublin, Ireland.</t>
  </si>
  <si>
    <t>Jupiter Neurosciences, Inc. (NasdaqCM:JUNS)</t>
  </si>
  <si>
    <t>NasdaqCM:JUNS</t>
  </si>
  <si>
    <t>Jupiter Neurosciences, Inc., a clinical stage research and development pharmaceutical company, develops resveratrol platform products primarily for the treatment of neuroinflammation. It is developing JNS101, which is in Phase II trial for the treatment of Friedreich's Ataxia, a rare inherited disease that causes damage to the nervous system, as well as mobility dysfunctions; and JNS108 that is in Phase II trial for treating mild cognitive impairment/early Alzheimer’s disease. The company is also developing JNS102, which is in Phase II trial for the treatment of mucopolysaccharidosis type 1; and JNS107 that is in Phase II trial for treating mitochondrial encephalopathy, lactic acidosis, and stroke-like episodes syndrome. In addition, it is developing JNS115, which is in Phase II trial for the treatment of Parkinson’s disease. It has a strategic partnership with Zina Biopharmaceuticals, LLC to Advance Phase 2a Parkinson’s Trial. The company has a strategic partnership with Aquanova AG to jointly develop a series of consumer-focused nutritional products targeting longevity, aging, and healthspan. The company was formerly known as Jupiter Orphan Therapeutics, Inc. and changed its name to Jupiter Neurosciences, Inc. in August 2021. Jupiter Neurosciences, Inc. was incorporated in 2015 and is headquartered in Jupiter, Florida.</t>
  </si>
  <si>
    <t>MBX Biosciences, Inc. (NasdaqGS:MBX)</t>
  </si>
  <si>
    <t>NasdaqGS:MBX</t>
  </si>
  <si>
    <t>MBX Biosciences, Inc., a clinical-stage biopharmaceutical company, focuses on the discovery and development of precision peptide therapies for the treatment of endocrine and metabolic disorders. Its lead product candidate is MBX 2109, a parathyroid hormone peptide prodrug, which is in Phase 2 clinical trial for the treatment of chronic hypoparathyroidism. The company is also developing MBX 1416, a long-acting glucagon-like peptide-1 (GLP-1) receptor antagonist that is in Phase 1 clinical trial a potential therapy for post-bariatric hypoglycemia, a chronic complication of bariatric surgery. In addition, it is developing MBX 4291, a lead obesity product candidate, which is in investigational new drug-enabling studies for the treatment of obesity and co-morbidities. The company was founded in 2018 and is based in Carmel, Indiana.</t>
  </si>
  <si>
    <t>MIRA Pharmaceuticals, Inc. (NasdaqCM:MIRA)</t>
  </si>
  <si>
    <t>NasdaqCM:MIRA</t>
  </si>
  <si>
    <t>MIRA Pharmaceuticals, Inc. operates as a pre-clinical-stage pharmaceutical development company with two neuroscience programs targeting a range of neurologic and neuropsychiatric disorders. The company holds exclusive U.S., Canadian, and Mexican rights for Ketamir-2, a patent pending oral ketamine analog under investigation to deliver ultra-rapid antidepressant effects for individuals battling treatment-resistant depression, major depressive disorder with suicidal ideation, and post-traumatic stress disorder. In addition, its oral pharmaceutical marijuana, MIRA-55, is under investigation for treating adult patients suffering from anxiety and cognitive decline, often associated with early-stage dementia. The company was formerly known as MIRA1a Therapeutics, Inc. MIRA Pharmaceuticals, Inc. was incorporated in 2020 and is headquartered in Miami, Florida.</t>
  </si>
  <si>
    <t>Neumora Therapeutics, Inc. (NasdaqGS:NMRA)</t>
  </si>
  <si>
    <t>NasdaqGS:NMRA</t>
  </si>
  <si>
    <t>Neumora Therapeutics, Inc., a clinical-stage biopharmaceutical company, engages in developing therapeutic treatments for brain diseases, neuropsychiatric disorders, and neurodegenerative diseases in the United States. The company develops navacaprant (NMRA-140), a novel once-daily oral kappa opioid receptor antagonist, which is in phase 3 clinical trials for the treatment of major depressive disorder. It also develops NMRA-511 that is in phase 1 clinical trials in patients with agitation associated with dementia due to Alzheimer’s disease. In addition, the company’s preclinical phase product includes NMRA-NMDA and NMRA-M4R for the treatment of Schizophrenia; NMRA-CK1d, a CK1d inhibitor program for the treatment of amyotrophic lateral sclerosis; NMRA-NLRP3 for the treatment of certain neurodegenerative conditions; and NMRA-GCase for the treatment of Parkinson’s disease. The company was formerly known as RBNC Therapeutics, Inc. and changed its name to Neumora Therapeutics, Inc. in October 2021. Neumora Therapeutics, Inc. was incorporated in 2019 and is headquartered in Watertown, Massachusetts.</t>
  </si>
  <si>
    <t>NRx Pharmaceuticals, Inc. (NasdaqCM:NRXP)</t>
  </si>
  <si>
    <t>NasdaqCM:NRXP</t>
  </si>
  <si>
    <t>NRx Pharmaceuticals, Inc., a clinical-stage bio-pharmaceutical company, develops novel therapeutics for the treatment of central nervous system disorders, including suicidal depression, post-traumatic stress disorder, and chronic pain. Its products include NRX-101 (D-cycloserine/Lurasidone), an oral, fixed dosed combination of D-cycloserine and lurasidone that earned food and drug administration-designated breakthrough therapy for suicidal treatment-resistant bipolar depression; and NRX-100 (ketamine), which has been awarded FDA fast track designation for the treatment of severe bipolar depression with acute suicidal ideation and behavior. The company has a partnership with Alvogen Inc. and Lotus Pharmaceutical Company; development and manufacturing agreement with Nephron Pharmaceuticals, Inc. and Alcami; license agreement with Apkarian Technologies; development and license agreement with Glytech; license agreement with Sarah Herzog Memorial Hospital. The company was founded in 2015 and is based in Wilmington, Delaware.</t>
  </si>
  <si>
    <t>Omeros Corporation (NasdaqGM:OMER)</t>
  </si>
  <si>
    <t>NasdaqGM:OMER</t>
  </si>
  <si>
    <t>Omeros Corporation, a clinical-stage biopharmaceutical company, discovers, develops, and commercializes small-molecule and protein therapeutics, and orphan indications targeting immunologic diseases, including complement-mediated diseases, cancers, and addictive and compulsive disorders. The company’s products under development include Narsoplimab (OMS721/MASP-2) that has completed pivotal trial for hematopoietic stem-cell transplant-associated thrombotic microangiopathy (TA-TMA); that is in Phase III clinical trial for the treatment of immunoglobulin A nephropathy (IgAN); and Phase II clinical trial to treat COVID-19. It also develops OMS1029 that is in phase I clinical trials for long-acting second-generation antibody targeting lectin pathway disorders; OMS906 that has completed phase II clinical trials for Paroxysmal nocturnal hemoglobinuria, complement 3 glomerulopathy, and other alternative pathway disorders; and OMS527 that is in phase I clinical trials for addictions and compulsive disorders, and movement disorders. In addition, the company’s products under preclinical development comprise MASP-2, a pro-inflammatory protein target for the treatment of lectin pathway disorders; MASP-3 small-molecule inhibitors for alternative pathway disorders; and Adoptive T-Cell and Chimeric Antigen Receptor (CAR) T-Cell Therapies and Immunomodulators/Immunotoxins/Cancer Vaccines for the treatment of various cancers. Omeros Corporation was incorporated in 1994 and is headquartered in Seattle, Washington.</t>
  </si>
  <si>
    <t>Oramed Pharmaceuticals Inc. (NasdaqCM:ORMP)</t>
  </si>
  <si>
    <t>NasdaqCM:ORMP</t>
  </si>
  <si>
    <t>Oramed Pharmaceuticals Inc. engages in the research and development of pharmaceutical solutions for the treatment of diabetes and for the use of orally ingestible capsules for delivery of polypeptides. The company’s product portfolio includes ORMD-0801, an oral insulin capsule, which is in phase III clinical trial for the treatment of individuals with diabetes, as well as in phase II clinical trial for the treatment of non-alcoholic steatohepatitis; and ORA-D-013-1 and ORA-D-013-2, which have completed phase II clinical trial for the treatment of type 2 diabetes. It has license agreements with Oravax Medical Inc. to commercialize oral vaccines for COVID-19 and other novel coronaviruses. Oramed Pharmaceuticals Inc. was incorporated in 2002 and is headquartered in New York.</t>
  </si>
  <si>
    <t>Pliant Therapeutics, Inc. (NasdaqGS:PLRX)</t>
  </si>
  <si>
    <t>NasdaqGS:PLRX</t>
  </si>
  <si>
    <t>Pliant Therapeutics, Inc., a clinical stage biopharmaceutical company, discovers, develops, and commercializes novel therapies for the treatment of fibrosis and related diseases. The company’s lead candidate is bexotegrast, an oral, small-molecule, dual selective inhibitor of avß6 and avß1 integrins, which is in phase 2b trials for idiopathic pulmonary fibrosis and in phase 2a trial for primary sclerosing cholangitis. It also develops PLN-1474, an oral, small-molecule selective inhibitor of avß1 for the treatment of liver fibrosis associated with nonalcoholic steatohepatitis; PLN-101095, a dual inhibitor of integrins avß8 and avß1 for the treatment of solid tumors; and PLN-101325 for treatment of the muscular dystrophies. Pliant Therapeutics, Inc. was incorporated in 2015 and is headquartered in South San Francisco, California.</t>
  </si>
  <si>
    <t>Processa Pharmaceuticals, Inc. (NasdaqCM:PCSA)</t>
  </si>
  <si>
    <t>NasdaqCM:PCSA</t>
  </si>
  <si>
    <t>Processa Pharmaceuticals, Inc., a clinical stage biopharmaceutical company, develops chemotherapy drugs to improve the safety and efficacy of cancer treatment. Its drugs are modifications of existing FDA-approved oncology drugs resulting in an alteration of the metabolism and/or distribution of drugs while maintaining the existing mechanisms of killing the cancer cells. The company’s pipeline includes three chemotherapy drugs comprising Gemcitabine, PCS3117 that has completed Phase 2a clinical trials to treat pancreatic, biliary tract, lung, ovarian, breast, and other cancers; Capecitabine, a combination of PCS6422 and capecitabine that has completed Phase 1b clinical trials to treat metastatic colorectal, gastrointestinal, breast, pancreatic, and other cancers; and Irinotecan, PCS11T that is in pre-clinical studies to treat lung, colorectal, gastrointestinal, pancreatic, and other cancers. It also develops non-oncology drugs consisting of PCS12852 for treatment of gastroparesis; and PCS499 to treat patients with ulcerative and non-ulcerative necrobiosis lipoidica. The company has license agreements with Elion Oncology, Inc.; Ocuphire Pharma, Inc.; Aposense, Ltd.; Yuhan Corporation; and CoNCERT Pharmaceuticals, Inc. Processa Pharmaceuticals, Inc. was founded in 2011 and is based in Hanover, Maryland.</t>
  </si>
  <si>
    <t>Rani Therapeutics Holdings, Inc. (NasdaqGM:RANI)</t>
  </si>
  <si>
    <t>NasdaqGM:RANI</t>
  </si>
  <si>
    <t>Rani Therapeutics Holdings, Inc. operates as a clinical stage biotherapeutics company that develops orally administered biologics for patients, physicians, and healthcare systems in the United States. The company develops the RaniPill capsule, a drug-agnostic oral delivery platform to deliver a variety of drug substances, including oligonucleotides, peptides, proteins, and antibodies. Its product pipeline includes RT-102, a parathyroid hormone that is in Phase I clinical trial for the treatment of osteoporosis; RT-105, an anti-TNF-alpha antibody that is in preclinical studies to treat psoriatic arthritis; RT-110, a parathyroid hormone for the treatment of hypoparathyroidism; and RT-111, an ustekinumab biosimilar for the treatment of various inflammatory conditions. The has a collaboration agreement with ProGen Co., Ltd. for the o-development and commercialization of RT-114 to treat obesity. Rani Therapeutics Holdings, Inc. was founded in 2012 and is headquartered in San Jose, California.</t>
  </si>
  <si>
    <t>Rapport Therapeutics, Inc. (NasdaqGM:RAPP)</t>
  </si>
  <si>
    <t>NasdaqGM:RAPP</t>
  </si>
  <si>
    <t>Rapport Therapeutics, Inc., operates as a clinical-stage biopharmaceutical company that focuses on the discovery and development of transformational small molecule medicines for patients suffering from central nervous system (CNS) disorders. Its lead product candidate is receptor associated protein (RAP)-219, an investigational small molecule that is designed to inhibit TARPy8-containing AMPARs with picomolar affinity for the treatment of focal epilepsy and other CNS disorders, including peripheral neuropathic pain and bipolar disorder. The company also develops RAP-199, a TARPy8 targeted molecule with differentiated chemical and pharmacokinetic properties; and nicotinic acetylcholine receptor (nAChR) programs, such as a6 nAChR to treat chronic pain and a9a10 nAChR for the treatment of hearing disorders. The company was formerly known as Precision Neuroscience NewCo, Inc. and changed its name to Rapport Therapeutics, Inc. in October 2022. Rapport Therapeutics, Inc. was incorporated in 2022 and is based in Boston, Massachusetts.</t>
  </si>
  <si>
    <t>Relmada Therapeutics, Inc. (NasdaqGS:RLMD)</t>
  </si>
  <si>
    <t>NasdaqGS:RLMD</t>
  </si>
  <si>
    <t>Relmada Therapeutics, Inc., a clinical-stage biotechnology company, focuses on developing various products for the treatment of central nervous system diseases (CNS) and other disorders in the United States. Its lead product candidate is Esmethadone (d-methadone, dextromethadone, and REL-1017), a N-methyl-D-aspartate receptor antagonist which is in phase 3 clinical trial for the adjunctive or monotherapy treatment of major depressive disorder. The company is headquartered in Coral Gables, Florida.</t>
  </si>
  <si>
    <t>Reviva Pharmaceuticals Holdings, Inc. (NasdaqCM:RVPH)</t>
  </si>
  <si>
    <t>NasdaqCM:RVPH</t>
  </si>
  <si>
    <t>Reviva Pharmaceuticals Holdings, Inc., a biopharmaceutical company, discovers, develops, and commercializes next-generation therapeutics for diseases targeting unmet medical needs in the areas of central nervous system, respiratory, inflammatory, and cardiometabolic diseases. The company’s lead product candidate comprises brilaroxazine (RP5063) for the treatment of various neuropsychiatric indications, including schizophrenia, bipolar disorder, major depressive disorder, attention–deficit/hyperactivity disorder, behavioral and psychotic symptoms of dementia and Alzheimer’s disease, and Parkinson’s disease psychosis; in clinical development respiratory indications, such as pulmonary arterial hypertension and idiopathic pulmonary fibrosis; and in preclinical development for the treatment of psoriasis. It is also developing RP1208 for the treatment of depression and obesity. Reviva Pharmaceuticals Holdings, Inc. was founded in 2018 and is headquartered in Cupertino, California.</t>
  </si>
  <si>
    <t>Telomir Pharmaceuticals, Inc. (NasdaqCM:TELO)</t>
  </si>
  <si>
    <t>NasdaqCM:TELO</t>
  </si>
  <si>
    <t>Telomir Pharmaceuticals, Inc., a pre-clinical stage biopharmaceutical company, focuses on developing pharmaceutical products for reversal of oxidative stress, cellular protection, and regulatory mechanism. The company is developing Telomir 1, an oral small molecule metal ion regulator designed to extend telomere caps; maintain cellular balance; and combat oxidative stress that drives aging and disease progression. By modulating essential metal ions such as iron, and copper, Telomir-1 helps protect against age-related conditions, including Progeria, a rare genetic disorder that causes rapid aging in children; Wilson’s disease, a genetic disorder leading to toxic copper buildup in the body; and Age-related Macular Degeneration (AMD), as well as Type 2 Diabetes, cancer, and Alzheimer’s disease. The company was formerly known as Metallo Therapies Inc. and changed its name to Telomir Pharmaceuticals, Inc. in October 2022. Telomir Pharmaceuticals, Inc. was incorporated in 2021 and is headquartered in Miami, Florida.</t>
  </si>
  <si>
    <t>Terns Pharmaceuticals, Inc. (NasdaqGS:TERN)</t>
  </si>
  <si>
    <t>NasdaqGS:TERN</t>
  </si>
  <si>
    <t>Terns Pharmaceuticals, Inc., a clinical-stage biopharmaceutical company, develops small-molecule product candidates for the treatment of oncology and obesity. The company develops TERN-701, an allosteric BCR-ABL tyrosine kinase inhibitor (TKI) that is in Phase 1 clinical trial for chronic myeloid leukemia (CML), a form of cancer that starts in bone marrow. It also develops TERN-501, a thyroid hormone receptor beta agonist with enhanced liver distribution and metabolic stability that is in Phase IIa clinical trial for the treatment of metabolic dysfunction-associated steatohepatitis (MASH); and TERN-601, a small-molecule Glucagon-Like Peptide-1 receptor agonist program that is intended to orally be administered for obesity, as well as TERN-800 series of small-molecule glucose-dependent insulinotropic polypeptide receptor (GIPR) modulators for obesity. The company was incorporated in 2016 and is headquartered in Foster City, California.</t>
  </si>
  <si>
    <t>Titan Pharmaceuticals, Inc. (NasdaqCM:TTNP)</t>
  </si>
  <si>
    <t>NasdaqCM:TTNP</t>
  </si>
  <si>
    <t>Titan Pharmaceuticals, Inc., a pharmaceutical company, develops therapeutics for the treatment of chronic diseases in the United States and internationally. It develops products based on ProNeura, a proprietary long-term drug delivery platform. It also develops TP-2021 in combination with ProNeura technology for the treatment of chronic pruritus, a severe and debilitating condition defined as itching of the skin lasting longer than six weeks; and Nalmefene implant program for the prevention of opioid relapse following detoxification of patients suffering opioid use disorder. The company was founded in 1991 and is based in South San Francisco, California.</t>
  </si>
  <si>
    <t>TNF Pharmaceuticals, Inc. (NasdaqCM:TNFA)</t>
  </si>
  <si>
    <t>NasdaqCM:TNFA</t>
  </si>
  <si>
    <t>TNF Pharmaceuticals, Inc., a clinical stage pharmaceutical company, focuses on developing two novel therapeutic platforms that treat the causes of disease rather than addressing the symptoms. Its MYMD-1 is a drug platform based on a clinical stage small molecule that regulates the immune system to control TNF-a, which drives chronic inflammation, and other pro-inflammatory cell signaling cytokines. The MYMD-1 is being developed to treat diseases and disorders marked by acute or chronic inflammation. The company’s second drug platform, Supera-CBD, is being developed to treat chronic pain, addiction, and epilepsy. The Supera-CBD is a novel synthetic derivative of cannabidiol (CBD) and is being developed to address and improve the growing CBD market, which includes FDA approved drugs and CBD products not regulated as drugs. TNF Pharmaceuticals, Inc. was formerly known as MyMD Pharmaceuticals, Inc. and changed its name to TNF Pharmaceuticals, Inc. in July 2024. The company was founded in 2014 and is headquartered in Baltimore, Maryland.</t>
  </si>
  <si>
    <t>Trevi Therapeutics, Inc. (NasdaqGM:TRVI)</t>
  </si>
  <si>
    <t>NasdaqGM:TRVI</t>
  </si>
  <si>
    <t>Trevi Therapeutics, Inc., a clinical-stage biopharmaceutical company, focuses on the development and commercialization of therapy Haduvio for the treatment of chronic cough in idiopathic pulmonary fibrosis (IPF) and refractory chronic cough (RCC) conditions targeting the central and peripheral nervous systems. The company is developing Haduvio, an oral extended-release formulation of nalbuphine, which is in phase 2b Cough Reduction in IPF with nalbuphine ER (CORAL) clinical trial for treatment of chronic cough in patients with IPF; phase 2 clinical trial in patients with pruritus; phase 2b/3 clinical trial in patients with prurigo nodularis. It has a license agreement with Endo Pharmaceuticals Inc. to develop and commercialize products incorporating nalbuphine hydrochloride in any formulation. The company was incorporated in 2011 and is based in New Haven, Connecticut.</t>
  </si>
  <si>
    <t>Ventyx Biosciences, Inc. (NasdaqGS:VTYX)</t>
  </si>
  <si>
    <t>NasdaqGS:VTYX</t>
  </si>
  <si>
    <t>Ventyx Biosciences, Inc., a clinical-stage biopharmaceutical company, develops oral therapies for patients with autoimmune, inflammatory, and neurodegenerative diseases. The company’s lead clinical product candidate is VTX958, a selective allosteric tyrosine kinase type 2 inhibitor for Crohn’s disease. It is also developing Tamuzimod, a sphingosine 1 phosphate receptor modulator that is in Phase II clinical trials for the treatment of ulcerative colitis; and VTX2735, a peripheral NOD-like receptor protein 3 inflammasome inhibitor to treat patients with cryopyrin-associated periodic syndrome. In addition, the company develops VTX3232, a CNS-penetrant NLRP3 inhibitor that is in Phase 2a trial for patients with early Parkinson’s disease and is in Phase 2 trial for patients with obesity and additional risk factors for cardiovascular disease. Ventyx Biosciences, Inc. was incorporated in 2018 and is headquartered in San Diego, California.</t>
  </si>
  <si>
    <t>Virpax Pharmaceuticals, Inc. (NasdaqCM:VRPX)</t>
  </si>
  <si>
    <t>NasdaqCM:VRPX</t>
  </si>
  <si>
    <t>Virpax Pharmaceuticals, Inc., a preclinical-stage pharmaceutical company, develops various drug-delivery systems and drug-releasing technologies focused on advancing non-opioid and non-addictive pain management treatments for central nervous system disorders. Its preclinical stage product candidates include Epoladerm, a topical spray film delivery technology for osteoarthritis pain; Probudur, an injectable local anesthetic liposomal gel technology for postoperative pain management; and Envelta, a nanotechnology-based intranasal spray drug product candidate that enables the delivery of a metabolically labile peptide drug into the brain. The company’s preclinical stage product candidates also include AnQlar, an anti-viral barrier to prevent or reduce the risk or the intensity of viral infections in humans, including influenza and SARS-CoV-2; and NobrXiol, an investigational formulation to be delivered via the nasal route to enhance cannabidiol transport to the brain. Virpax Pharmaceuticals, Inc. was founded in 2016 and is headquartered in Berwyn, Pennsylvania.</t>
  </si>
  <si>
    <t>AN2 Therapeutics, Inc. (NasdaqGS:ANTX)</t>
  </si>
  <si>
    <t>NasdaqGS:ANTX</t>
  </si>
  <si>
    <t>AN2 Therapeutics, Inc., a clinical-stage biopharmaceutical company, focuses on developing treatments for rare, chronic, and serious infectious diseases. It is developing epetraborole, which is in a pivotal Phase 2/3 clinical trial as a once-daily oral treatment for patients with non-tuberculous mycobacterial lung disease. The company also develops AN2-502998 (AN15368), an investigational, boron-based small molecule in development for the treatment of chronic Chagas disease that is in preclinical trials. It has a license agreement with Anacor Pharmaceuticals, Inc. to use, develop, manufacture, commercialize, or otherwise exploit certain compounds and products, including epetraborole, for the treatment, diagnosis, or prevention of all human diseases; and Brii Biosciences Limited to research, develop, manufacture, and commercialize certain compounds and products, including epetraborole, in China, Hong Kong, Taiwan, and Macau for the diagnosis, treatment, and prevention of human diseases. The company was incorporated in 2017 and is headquartered in Menlo Park, California.</t>
  </si>
  <si>
    <t>Cingulate Inc. (NasdaqCM:CING)</t>
  </si>
  <si>
    <t>NasdaqCM:CING</t>
  </si>
  <si>
    <t>Cingulate Inc., a biopharmaceutical company, focuses on the development of pharmaceutical products for the treatment of attention deficit/hyperactivity disorder and anxiety in the United States. The company’s stimulant medications are CTx-1301 (dexmethylphenidate), which is in phase 3 clinical trial, as well as CTx-1302 (dextroamphetamine), which is in investigational new drug application development for the treatment of attention deficit/hyperactivity disorder intended for children, adolescents, and adults. It also focuses on developing CTx-2103 that is in a formulation stage for the treatment of anxiety. The company was founded in 2012 and is headquartered in Kansas City, Kansas.</t>
  </si>
  <si>
    <t>Third Harmonic Bio, Inc. (NasdaqGM:THRD)</t>
  </si>
  <si>
    <t>NasdaqGM:THRD</t>
  </si>
  <si>
    <t>Third Harmonic Bio, Inc., a biopharmaceutical company, focuses on the development of the medicine for the treatment of dermal, respiratory, and gastrointestinal inflammatory diseases. The company develops oral small-molecule inhibitors of KIT, a cell surface receptor that serves as the master regulator of mast cell function and survival. It is also developing THB335, an oral small molecule KIT inhibitor for the treatment of mast cell-mediated skin, respiratory, and gastrointestinal conditions. The company was formerly known as Project IGE, Inc. and changed its name to Third Harmonic Bio, Inc. in June 2019. Third Harmonic Bio, Inc. was incorporated in 2019 and is headquartered in San Francisco, California.</t>
  </si>
  <si>
    <r>
      <t>*</t>
    </r>
    <r>
      <rPr>
        <sz val="8"/>
        <color indexed="8"/>
        <rFont val="Arial"/>
        <family val="2"/>
      </rPr>
      <t>Denotes proprietary information.</t>
    </r>
  </si>
  <si>
    <t>Ent. Value
(EV) ($m)</t>
  </si>
  <si>
    <t>Ticker</t>
  </si>
  <si>
    <t>JNJ</t>
  </si>
  <si>
    <t>MRK</t>
  </si>
  <si>
    <t>PFE</t>
  </si>
  <si>
    <t>BMY</t>
  </si>
  <si>
    <t>LLY</t>
  </si>
  <si>
    <t>ZTS</t>
  </si>
  <si>
    <t>OGN</t>
  </si>
  <si>
    <t>ELAN</t>
  </si>
  <si>
    <t>PRGO</t>
  </si>
  <si>
    <t>PBH</t>
  </si>
  <si>
    <t>NUVB</t>
  </si>
  <si>
    <t>ANRO</t>
  </si>
  <si>
    <t>CORT</t>
  </si>
  <si>
    <t>ASRT</t>
  </si>
  <si>
    <t>NKTR</t>
  </si>
  <si>
    <t>AYTU</t>
  </si>
  <si>
    <t>DERM</t>
  </si>
  <si>
    <t>SCLX</t>
  </si>
  <si>
    <t>BFRI</t>
  </si>
  <si>
    <t>VERU</t>
  </si>
  <si>
    <t>KPRX</t>
  </si>
  <si>
    <t>LQDA</t>
  </si>
  <si>
    <t>SNOA</t>
  </si>
  <si>
    <t>PRPH</t>
  </si>
  <si>
    <t>LPCN</t>
  </si>
  <si>
    <t>JAGX</t>
  </si>
  <si>
    <t>EVOK</t>
  </si>
  <si>
    <t>IRD</t>
  </si>
  <si>
    <t>PULM</t>
  </si>
  <si>
    <t>CARA</t>
  </si>
  <si>
    <t>ALTS</t>
  </si>
  <si>
    <t>PTPI</t>
  </si>
  <si>
    <t>DRRX</t>
  </si>
  <si>
    <t>NTRB</t>
  </si>
  <si>
    <t>DARE</t>
  </si>
  <si>
    <t>SNES</t>
  </si>
  <si>
    <t>LYRA</t>
  </si>
  <si>
    <t>VYNE</t>
  </si>
  <si>
    <t>LEXX</t>
  </si>
  <si>
    <t>SXTP</t>
  </si>
  <si>
    <t>TRAW</t>
  </si>
  <si>
    <t>EYEN</t>
  </si>
  <si>
    <t>ADIL</t>
  </si>
  <si>
    <t>ANEB</t>
  </si>
  <si>
    <t>ARTL</t>
  </si>
  <si>
    <t>CVKD</t>
  </si>
  <si>
    <t>CALC</t>
  </si>
  <si>
    <t>SAVA</t>
  </si>
  <si>
    <t>CTXR</t>
  </si>
  <si>
    <t>CNSP</t>
  </si>
  <si>
    <t>COCP</t>
  </si>
  <si>
    <t>CGTX</t>
  </si>
  <si>
    <t>CNTX</t>
  </si>
  <si>
    <t>ENVB</t>
  </si>
  <si>
    <t>GRCE</t>
  </si>
  <si>
    <t>HEPA</t>
  </si>
  <si>
    <t>HOTH</t>
  </si>
  <si>
    <t>ITRM</t>
  </si>
  <si>
    <t>JUNS</t>
  </si>
  <si>
    <t>MIRA</t>
  </si>
  <si>
    <t>NRXP</t>
  </si>
  <si>
    <t>ORMP</t>
  </si>
  <si>
    <t>PCSA</t>
  </si>
  <si>
    <t>RVPH</t>
  </si>
  <si>
    <t>TELO</t>
  </si>
  <si>
    <t>TTNP</t>
  </si>
  <si>
    <t>TNFA</t>
  </si>
  <si>
    <t>VRPX</t>
  </si>
  <si>
    <t>CING</t>
  </si>
  <si>
    <t>Fund Name:</t>
  </si>
  <si>
    <t>SPDR® S&amp;P® Pharmaceuticals ETF</t>
  </si>
  <si>
    <t>Ticker Symbol:</t>
  </si>
  <si>
    <t>XPH</t>
  </si>
  <si>
    <t>Holdings:</t>
  </si>
  <si>
    <t>As of 04-Apr-2025</t>
  </si>
  <si>
    <t>Name</t>
  </si>
  <si>
    <t>Identifier</t>
  </si>
  <si>
    <t>SEDOL</t>
  </si>
  <si>
    <t>Weight</t>
  </si>
  <si>
    <t>Sector</t>
  </si>
  <si>
    <t>Shares Held</t>
  </si>
  <si>
    <t>Local Currency</t>
  </si>
  <si>
    <t>CORCEPT THERAPEUTICS INC</t>
  </si>
  <si>
    <t>218352102</t>
  </si>
  <si>
    <t>B00SCY1</t>
  </si>
  <si>
    <t>USD</t>
  </si>
  <si>
    <t>PERRIGO CO PLC</t>
  </si>
  <si>
    <t>G97822103</t>
  </si>
  <si>
    <t>BGH1M56</t>
  </si>
  <si>
    <t>TARSUS PHARMACEUTICALS INC</t>
  </si>
  <si>
    <t>TARS</t>
  </si>
  <si>
    <t>87650L103</t>
  </si>
  <si>
    <t>BMH5RL1</t>
  </si>
  <si>
    <t>ROYALTY PHARMA PLC  CL A</t>
  </si>
  <si>
    <t>RPRX</t>
  </si>
  <si>
    <t>G7709Q104</t>
  </si>
  <si>
    <t>BMVP7Y0</t>
  </si>
  <si>
    <t>PRESTIGE CONSUMER HEALTHCARE</t>
  </si>
  <si>
    <t>74112D101</t>
  </si>
  <si>
    <t>B0650P3</t>
  </si>
  <si>
    <t>JOHNSON + JOHNSON</t>
  </si>
  <si>
    <t>478160104</t>
  </si>
  <si>
    <t>2475833</t>
  </si>
  <si>
    <t>ZOETIS INC</t>
  </si>
  <si>
    <t>98978V103</t>
  </si>
  <si>
    <t>B95WG16</t>
  </si>
  <si>
    <t>BRISTOL MYERS SQUIBB CO</t>
  </si>
  <si>
    <t>110122108</t>
  </si>
  <si>
    <t>2126335</t>
  </si>
  <si>
    <t>ELI LILLY + CO</t>
  </si>
  <si>
    <t>532457108</t>
  </si>
  <si>
    <t>2516152</t>
  </si>
  <si>
    <t>PFIZER INC</t>
  </si>
  <si>
    <t>717081103</t>
  </si>
  <si>
    <t>2684703</t>
  </si>
  <si>
    <t>ELANCO ANIMAL HEALTH INC</t>
  </si>
  <si>
    <t>28414H103</t>
  </si>
  <si>
    <t>BF5L3T2</t>
  </si>
  <si>
    <t>MERCK + CO. INC.</t>
  </si>
  <si>
    <t>58933Y105</t>
  </si>
  <si>
    <t>2778844</t>
  </si>
  <si>
    <t>ORGANON + CO</t>
  </si>
  <si>
    <t>68622V106</t>
  </si>
  <si>
    <t>BLDC8J4</t>
  </si>
  <si>
    <t>AXSOME THERAPEUTICS INC</t>
  </si>
  <si>
    <t>AXSM</t>
  </si>
  <si>
    <t>05464T104</t>
  </si>
  <si>
    <t>BYZR4X4</t>
  </si>
  <si>
    <t>VIATRIS INC</t>
  </si>
  <si>
    <t>VTRS</t>
  </si>
  <si>
    <t>92556V106</t>
  </si>
  <si>
    <t>BMWS3X9</t>
  </si>
  <si>
    <t>JAZZ PHARMACEUTICALS PLC</t>
  </si>
  <si>
    <t>JAZZ</t>
  </si>
  <si>
    <t>G50871105</t>
  </si>
  <si>
    <t>B4Q5ZN4</t>
  </si>
  <si>
    <t>PACIRA BIOSCIENCES INC</t>
  </si>
  <si>
    <t>PCRX</t>
  </si>
  <si>
    <t>695127100</t>
  </si>
  <si>
    <t>B3X26D8</t>
  </si>
  <si>
    <t>HARMONY BIOSCIENCES HOLDINGS</t>
  </si>
  <si>
    <t>HRMY</t>
  </si>
  <si>
    <t>413197104</t>
  </si>
  <si>
    <t>BKSGZN7</t>
  </si>
  <si>
    <t>AMPHASTAR PHARMACEUTICALS IN</t>
  </si>
  <si>
    <t>AMPH</t>
  </si>
  <si>
    <t>03209R103</t>
  </si>
  <si>
    <t>BNFWZS4</t>
  </si>
  <si>
    <t>SUPERNUS PHARMACEUTICALS INC</t>
  </si>
  <si>
    <t>SUPN</t>
  </si>
  <si>
    <t>868459108</t>
  </si>
  <si>
    <t>B72ZBG4</t>
  </si>
  <si>
    <t>ANI PHARMACEUTICALS INC</t>
  </si>
  <si>
    <t>ANIP</t>
  </si>
  <si>
    <t>00182C103</t>
  </si>
  <si>
    <t>BCDWBX6</t>
  </si>
  <si>
    <t>ARVINAS INC</t>
  </si>
  <si>
    <t>ARVN</t>
  </si>
  <si>
    <t>04335A105</t>
  </si>
  <si>
    <t>BDZ30Q0</t>
  </si>
  <si>
    <t>COLLEGIUM PHARMACEUTICAL INC</t>
  </si>
  <si>
    <t>COLL</t>
  </si>
  <si>
    <t>19459J104</t>
  </si>
  <si>
    <t>BX7RSN3</t>
  </si>
  <si>
    <t>HARROW INC</t>
  </si>
  <si>
    <t>HROW</t>
  </si>
  <si>
    <t>415858109</t>
  </si>
  <si>
    <t>BHNDW86</t>
  </si>
  <si>
    <t>EDGEWISE THERAPEUTICS INC</t>
  </si>
  <si>
    <t>EWTX</t>
  </si>
  <si>
    <t>28036F105</t>
  </si>
  <si>
    <t>BKY5JZ8</t>
  </si>
  <si>
    <t>LIGAND PHARMACEUTICALS</t>
  </si>
  <si>
    <t>LGND</t>
  </si>
  <si>
    <t>53220K504</t>
  </si>
  <si>
    <t>2501578</t>
  </si>
  <si>
    <t>LIQUIDIA CORP</t>
  </si>
  <si>
    <t>53635D202</t>
  </si>
  <si>
    <t>BYVJ8J8</t>
  </si>
  <si>
    <t>INNOVIVA INC</t>
  </si>
  <si>
    <t>INVA</t>
  </si>
  <si>
    <t>45781M101</t>
  </si>
  <si>
    <t>BDDXF67</t>
  </si>
  <si>
    <t>AMNEAL PHARMACEUTICALS INC</t>
  </si>
  <si>
    <t>AMRX</t>
  </si>
  <si>
    <t>03168L105</t>
  </si>
  <si>
    <t>BFNF1D6</t>
  </si>
  <si>
    <t>WAVE LIFE SCIENCES LTD</t>
  </si>
  <si>
    <t>WVE</t>
  </si>
  <si>
    <t>Y95308105</t>
  </si>
  <si>
    <t>BYZG9R0</t>
  </si>
  <si>
    <t>EVOLUS INC</t>
  </si>
  <si>
    <t>EOLS</t>
  </si>
  <si>
    <t>30052C107</t>
  </si>
  <si>
    <t>BDRJH21</t>
  </si>
  <si>
    <t>MIND MEDICINE MINDMED INC</t>
  </si>
  <si>
    <t>MNMD</t>
  </si>
  <si>
    <t>60255C885</t>
  </si>
  <si>
    <t>BPQYY97</t>
  </si>
  <si>
    <t>OCULAR THERAPEUTIX INC</t>
  </si>
  <si>
    <t>OCUL</t>
  </si>
  <si>
    <t>67576A100</t>
  </si>
  <si>
    <t>BNZB1X8</t>
  </si>
  <si>
    <t>XERIS BIOPHARMA HOLDINGS INC</t>
  </si>
  <si>
    <t>XERS</t>
  </si>
  <si>
    <t>98422E103</t>
  </si>
  <si>
    <t>BLR7H87</t>
  </si>
  <si>
    <t>OMEROS CORP</t>
  </si>
  <si>
    <t>OMER</t>
  </si>
  <si>
    <t>682143102</t>
  </si>
  <si>
    <t>B4NB858</t>
  </si>
  <si>
    <t>CORMEDIX INC</t>
  </si>
  <si>
    <t>CRMD</t>
  </si>
  <si>
    <t>21900C308</t>
  </si>
  <si>
    <t>BJ0LT31</t>
  </si>
  <si>
    <t>NUVATION BIO INC</t>
  </si>
  <si>
    <t>67080N101</t>
  </si>
  <si>
    <t>BLNB9R6</t>
  </si>
  <si>
    <t>ENLIVEN THERAPEUTICS INC</t>
  </si>
  <si>
    <t>ELVN</t>
  </si>
  <si>
    <t>29337E102</t>
  </si>
  <si>
    <t>BMFD115</t>
  </si>
  <si>
    <t>ESPERION THERAPEUTICS INC</t>
  </si>
  <si>
    <t>ESPR</t>
  </si>
  <si>
    <t>29664W105</t>
  </si>
  <si>
    <t>BBNBTD2</t>
  </si>
  <si>
    <t>EYEPOINT PHARMACEUTICALS INC</t>
  </si>
  <si>
    <t>EYPT</t>
  </si>
  <si>
    <t>30233G209</t>
  </si>
  <si>
    <t>BMGS7L1</t>
  </si>
  <si>
    <t>PHIBRO ANIMAL HEALTH CORP A</t>
  </si>
  <si>
    <t>PAHC</t>
  </si>
  <si>
    <t>71742Q106</t>
  </si>
  <si>
    <t>BL95N25</t>
  </si>
  <si>
    <t>ZEVRA THERAPEUTICS INC</t>
  </si>
  <si>
    <t>ZVRA</t>
  </si>
  <si>
    <t>488445206</t>
  </si>
  <si>
    <t>BLFBZ32</t>
  </si>
  <si>
    <t>SSI US GOV MONEY MARKET CLASS</t>
  </si>
  <si>
    <t>924QSGII3</t>
  </si>
  <si>
    <t>US DOLLAR</t>
  </si>
  <si>
    <t>999USDZ92</t>
  </si>
  <si>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</si>
  <si>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</si>
  <si>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</si>
  <si>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</si>
  <si>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</si>
  <si>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4503082.7.1.AM.RTL
Expiration: 01/31/2026
SPD003801</t>
    </r>
  </si>
  <si>
    <t>TLRY</t>
  </si>
  <si>
    <t>ITCI</t>
  </si>
  <si>
    <t>BTMD</t>
  </si>
  <si>
    <t>AVDL</t>
  </si>
  <si>
    <t>MAZE</t>
  </si>
  <si>
    <t>SIGA</t>
  </si>
  <si>
    <t>AMLX</t>
  </si>
  <si>
    <t>FULC</t>
  </si>
  <si>
    <t>OPTN</t>
  </si>
  <si>
    <t>AQST</t>
  </si>
  <si>
    <t>PHAT</t>
  </si>
  <si>
    <t>ETON</t>
  </si>
  <si>
    <t>CPIX</t>
  </si>
  <si>
    <t>SCPH</t>
  </si>
  <si>
    <t>YCBD</t>
  </si>
  <si>
    <t>ACRS</t>
  </si>
  <si>
    <t>NBY</t>
  </si>
  <si>
    <t>CLSD</t>
  </si>
  <si>
    <t>VRCA</t>
  </si>
  <si>
    <t>CPHI</t>
  </si>
  <si>
    <t>SCYX</t>
  </si>
  <si>
    <t>TXMD</t>
  </si>
  <si>
    <t>IGC</t>
  </si>
  <si>
    <t>SEPN</t>
  </si>
  <si>
    <t>TLPH</t>
  </si>
  <si>
    <t>IXHL</t>
  </si>
  <si>
    <t>ALMS</t>
  </si>
  <si>
    <t>ASBP</t>
  </si>
  <si>
    <t>AVIR</t>
  </si>
  <si>
    <t>ATHA</t>
  </si>
  <si>
    <t>BIOA</t>
  </si>
  <si>
    <t>CTNM</t>
  </si>
  <si>
    <t>GHRS</t>
  </si>
  <si>
    <t>IKNA</t>
  </si>
  <si>
    <t>IBO</t>
  </si>
  <si>
    <t>MBX</t>
  </si>
  <si>
    <t>NMRA</t>
  </si>
  <si>
    <t>PLRX</t>
  </si>
  <si>
    <t>RANI</t>
  </si>
  <si>
    <t>RAPP</t>
  </si>
  <si>
    <t>RLMD</t>
  </si>
  <si>
    <t>TERN</t>
  </si>
  <si>
    <t>TRVI</t>
  </si>
  <si>
    <t>VTYX</t>
  </si>
  <si>
    <t>ANTX</t>
  </si>
  <si>
    <t>THRD</t>
  </si>
  <si>
    <t>Net Debt / 
EV</t>
  </si>
  <si>
    <t>2023</t>
  </si>
  <si>
    <t>2022</t>
  </si>
  <si>
    <t>Most comparable</t>
  </si>
  <si>
    <t>Somewhat comparable</t>
  </si>
  <si>
    <t>Stretch</t>
  </si>
  <si>
    <t>Comments</t>
  </si>
  <si>
    <t>Selecting comparable companies</t>
  </si>
  <si>
    <t>2024</t>
  </si>
  <si>
    <t>Size  Comparison</t>
  </si>
  <si>
    <t>Profitability Comparison</t>
  </si>
  <si>
    <t>2024 ($m)</t>
  </si>
  <si>
    <t>3-yr avg</t>
  </si>
  <si>
    <t>Significantly smaller, slightly lower profitability, smaller portfolio breadth</t>
  </si>
  <si>
    <t>Domicile</t>
  </si>
  <si>
    <t>US</t>
  </si>
  <si>
    <t>US, Ireland</t>
  </si>
  <si>
    <t>Merck &amp; Co., Inc.</t>
  </si>
  <si>
    <t>Pfizer Inc.</t>
  </si>
  <si>
    <t>Bristol-Myers Squibb Company</t>
  </si>
  <si>
    <t>Johnson &amp; Johnson</t>
  </si>
  <si>
    <t>Organon &amp; Co.</t>
  </si>
  <si>
    <t>Zoetis Inc.</t>
  </si>
  <si>
    <t>Viatris Inc.</t>
  </si>
  <si>
    <t>Jazz Pharmaceuticals plc</t>
  </si>
  <si>
    <t>Elanco Animal Health, Inc.</t>
  </si>
  <si>
    <t>Perrigo Co. plc</t>
  </si>
  <si>
    <t>Amneal Pharmaceuticals, Inc.</t>
  </si>
  <si>
    <t>Eli Lilly and Co.</t>
  </si>
  <si>
    <r>
      <t xml:space="preserve">Smaller size, comparable profitability, smaller portfolio breadth, </t>
    </r>
    <r>
      <rPr>
        <b/>
        <sz val="11"/>
        <color rgb="FFFF0000"/>
        <rFont val="Aptos Narrow"/>
        <family val="2"/>
        <scheme val="minor"/>
      </rPr>
      <t>includes generics</t>
    </r>
  </si>
  <si>
    <r>
      <t xml:space="preserve">Significantly smaller, better profitability, but focused on </t>
    </r>
    <r>
      <rPr>
        <b/>
        <sz val="11"/>
        <color rgb="FFFF0000"/>
        <rFont val="Aptos Narrow"/>
        <family val="2"/>
        <scheme val="minor"/>
      </rPr>
      <t>animal health</t>
    </r>
  </si>
  <si>
    <r>
      <t>Significantly smaller, better profitability, smaller portfolio breadth,</t>
    </r>
    <r>
      <rPr>
        <b/>
        <sz val="11"/>
        <color theme="1"/>
        <rFont val="Aptos Narrow"/>
        <family val="2"/>
        <scheme val="minor"/>
      </rPr>
      <t xml:space="preserve"> </t>
    </r>
    <r>
      <rPr>
        <b/>
        <sz val="11"/>
        <color rgb="FFFF0000"/>
        <rFont val="Aptos Narrow"/>
        <family val="2"/>
        <scheme val="minor"/>
      </rPr>
      <t>Ireland domicile</t>
    </r>
  </si>
  <si>
    <r>
      <t xml:space="preserve">Significantly smaller, lower profitability, focused on </t>
    </r>
    <r>
      <rPr>
        <b/>
        <sz val="11"/>
        <color rgb="FFFF0000"/>
        <rFont val="Aptos Narrow"/>
        <family val="2"/>
        <scheme val="minor"/>
      </rPr>
      <t>animal health, Eli Lilly spinoff</t>
    </r>
  </si>
  <si>
    <r>
      <t xml:space="preserve">Significantly smaller, much lower profitability, </t>
    </r>
    <r>
      <rPr>
        <b/>
        <sz val="11"/>
        <color rgb="FFFF0000"/>
        <rFont val="Aptos Narrow"/>
        <family val="2"/>
        <scheme val="minor"/>
      </rPr>
      <t>Ireland domicile</t>
    </r>
  </si>
  <si>
    <r>
      <t xml:space="preserve">Significantly smaller, much lower profitability, </t>
    </r>
    <r>
      <rPr>
        <b/>
        <sz val="11"/>
        <color rgb="FFFF0000"/>
        <rFont val="Aptos Narrow"/>
        <family val="2"/>
        <scheme val="minor"/>
      </rPr>
      <t>focused on generics</t>
    </r>
  </si>
  <si>
    <t>Comparable Company Valuations</t>
  </si>
  <si>
    <t>(1) As of close, April 9, 2025</t>
  </si>
  <si>
    <r>
      <t>Share
Price (P) ($)</t>
    </r>
    <r>
      <rPr>
        <b/>
        <u val="singleAccounting"/>
        <vertAlign val="superscript"/>
        <sz val="11"/>
        <color theme="1"/>
        <rFont val="Aptos Narrow"/>
        <family val="2"/>
        <scheme val="minor"/>
      </rPr>
      <t>(1)</t>
    </r>
  </si>
  <si>
    <r>
      <t>2026E
EPS ($)</t>
    </r>
    <r>
      <rPr>
        <b/>
        <u val="singleAccounting"/>
        <vertAlign val="superscript"/>
        <sz val="11"/>
        <color theme="1"/>
        <rFont val="Aptos Narrow"/>
        <family val="2"/>
        <scheme val="minor"/>
      </rPr>
      <t>(3)</t>
    </r>
  </si>
  <si>
    <t>Notes:</t>
  </si>
  <si>
    <t xml:space="preserve">2. Zoetis's high trading multiple is underpinned by its market leadership, consistent  growth, ad premium profitability </t>
  </si>
  <si>
    <t>1. JNJ's high multiple atributable to its diversified businesses (pharma, medtech, and consumer health), consistent earnings growth, and strong balance sheet</t>
  </si>
  <si>
    <t>P / 
TTM EPS</t>
  </si>
  <si>
    <r>
      <t>Market 
Cap.($m)</t>
    </r>
    <r>
      <rPr>
        <b/>
        <u val="singleAccounting"/>
        <vertAlign val="superscript"/>
        <sz val="11"/>
        <color theme="1"/>
        <rFont val="Aptos Narrow"/>
        <family val="2"/>
        <scheme val="minor"/>
      </rPr>
      <t>(1)</t>
    </r>
  </si>
  <si>
    <t>Capital Structure Metrics</t>
  </si>
  <si>
    <r>
      <t>Total
Debt ($m)</t>
    </r>
    <r>
      <rPr>
        <b/>
        <u val="singleAccounting"/>
        <vertAlign val="superscript"/>
        <sz val="11"/>
        <color theme="1"/>
        <rFont val="Aptos Narrow"/>
        <family val="2"/>
        <scheme val="minor"/>
      </rPr>
      <t>(2)</t>
    </r>
  </si>
  <si>
    <r>
      <t>Cash ($m)</t>
    </r>
    <r>
      <rPr>
        <b/>
        <u val="singleAccounting"/>
        <vertAlign val="superscript"/>
        <sz val="11"/>
        <color theme="1"/>
        <rFont val="Aptos Narrow"/>
        <family val="2"/>
        <scheme val="minor"/>
      </rPr>
      <t>(2)</t>
    </r>
  </si>
  <si>
    <r>
      <t>Total
Debt ($m)</t>
    </r>
    <r>
      <rPr>
        <b/>
        <u val="singleAccounting"/>
        <vertAlign val="superscript"/>
        <sz val="11"/>
        <color theme="1"/>
        <rFont val="Aptos Narrow"/>
        <family val="2"/>
        <scheme val="minor"/>
      </rPr>
      <t>(3)</t>
    </r>
  </si>
  <si>
    <r>
      <t>Cash ($m)</t>
    </r>
    <r>
      <rPr>
        <b/>
        <u val="singleAccounting"/>
        <vertAlign val="superscript"/>
        <sz val="11"/>
        <color theme="1"/>
        <rFont val="Aptos Narrow"/>
        <family val="2"/>
        <scheme val="minor"/>
      </rPr>
      <t>(3)</t>
    </r>
  </si>
  <si>
    <r>
      <t>TTM EPS ($)</t>
    </r>
    <r>
      <rPr>
        <b/>
        <u val="singleAccounting"/>
        <vertAlign val="superscript"/>
        <sz val="11"/>
        <color theme="1"/>
        <rFont val="Aptos Narrow"/>
        <family val="2"/>
        <scheme val="minor"/>
      </rPr>
      <t>(4)</t>
    </r>
  </si>
  <si>
    <t>(5)</t>
  </si>
  <si>
    <t>(5) $22.3bn one-time charges from acquisitions (Karuna, RayzeBio, Mirati) and a collaboration with SystImmune</t>
  </si>
  <si>
    <t>(5) Margins fell due to the massive reduction in the highly profitable Covid-19 products in the prior years</t>
  </si>
  <si>
    <r>
      <t>24.3%</t>
    </r>
    <r>
      <rPr>
        <vertAlign val="superscript"/>
        <sz val="11"/>
        <color theme="1"/>
        <rFont val="Aptos Narrow"/>
        <family val="2"/>
        <scheme val="minor"/>
      </rPr>
      <t>(5)</t>
    </r>
  </si>
  <si>
    <r>
      <t>10.3%</t>
    </r>
    <r>
      <rPr>
        <vertAlign val="superscript"/>
        <sz val="11"/>
        <color theme="1"/>
        <rFont val="Aptos Narrow"/>
        <family val="2"/>
        <scheme val="minor"/>
      </rPr>
      <t>(4)</t>
    </r>
  </si>
  <si>
    <r>
      <t>Operating Margin</t>
    </r>
    <r>
      <rPr>
        <b/>
        <u val="singleAccounting"/>
        <vertAlign val="superscript"/>
        <sz val="11"/>
        <color theme="1"/>
        <rFont val="Aptos Narrow"/>
        <family val="2"/>
        <scheme val="minor"/>
      </rPr>
      <t>(3)</t>
    </r>
  </si>
  <si>
    <r>
      <t>Revenue</t>
    </r>
    <r>
      <rPr>
        <b/>
        <u val="singleAccounting"/>
        <vertAlign val="superscript"/>
        <sz val="11"/>
        <color theme="1"/>
        <rFont val="Aptos Narrow"/>
        <family val="2"/>
        <scheme val="minor"/>
      </rPr>
      <t>(2)</t>
    </r>
  </si>
  <si>
    <r>
      <t>EBITDA</t>
    </r>
    <r>
      <rPr>
        <b/>
        <u val="singleAccounting"/>
        <vertAlign val="superscript"/>
        <sz val="11"/>
        <color theme="1"/>
        <rFont val="Aptos Narrow"/>
        <family val="2"/>
        <scheme val="minor"/>
      </rPr>
      <t>(2)</t>
    </r>
  </si>
  <si>
    <t>(3) Value Line</t>
  </si>
  <si>
    <t>(4) Operating margin fell due to $16.8 bn in charges associated with Prometheus and Imago Biosciences acquisitions and Daiichi Sankyo collaboration</t>
  </si>
  <si>
    <t>(1) Based on XPH holdings as of April 4, 2025</t>
  </si>
  <si>
    <r>
      <t>XPH Holding</t>
    </r>
    <r>
      <rPr>
        <b/>
        <u val="singleAccounting"/>
        <vertAlign val="superscript"/>
        <sz val="11"/>
        <color theme="1"/>
        <rFont val="Aptos Narrow"/>
        <family val="2"/>
        <scheme val="minor"/>
      </rPr>
      <t>(1)</t>
    </r>
  </si>
  <si>
    <t>Ideal comparables from a size (all large cap), profitability and breadth of product portfolio perspective.</t>
  </si>
  <si>
    <r>
      <t>Market 
Cap. ($m)</t>
    </r>
    <r>
      <rPr>
        <b/>
        <u val="singleAccounting"/>
        <vertAlign val="superscript"/>
        <sz val="11"/>
        <color theme="1"/>
        <rFont val="Aptos Narrow"/>
        <family val="2"/>
        <scheme val="minor"/>
      </rPr>
      <t>(2)</t>
    </r>
  </si>
  <si>
    <r>
      <t>TTM EBITDA ($m)</t>
    </r>
    <r>
      <rPr>
        <b/>
        <u val="singleAccounting"/>
        <vertAlign val="superscript"/>
        <sz val="11"/>
        <color theme="1"/>
        <rFont val="Aptos Narrow"/>
        <family val="2"/>
        <scheme val="minor"/>
      </rPr>
      <t>(3)</t>
    </r>
  </si>
  <si>
    <r>
      <t>NTM EBITDA ($m)</t>
    </r>
    <r>
      <rPr>
        <b/>
        <u val="singleAccounting"/>
        <vertAlign val="superscript"/>
        <sz val="11"/>
        <color theme="1"/>
        <rFont val="Aptos Narrow"/>
        <family val="2"/>
        <scheme val="minor"/>
      </rPr>
      <t>(3)</t>
    </r>
  </si>
  <si>
    <t>EV / TTM
EBITDA</t>
  </si>
  <si>
    <t>EV / NTM
EBITDA</t>
  </si>
  <si>
    <t>Equity / 
EV</t>
  </si>
  <si>
    <t>(2) Yahoo Finance, as of April 9, 2025</t>
  </si>
  <si>
    <t>P / 
NTM EPS</t>
  </si>
  <si>
    <t>(3) S&amp;P Capital IQ comparables data file provided</t>
  </si>
  <si>
    <t>(2) S&amp;P Capital IQ comparables data file provided</t>
  </si>
  <si>
    <t>(4) Value Line</t>
  </si>
  <si>
    <r>
      <t>NTM
EPS ($)</t>
    </r>
    <r>
      <rPr>
        <b/>
        <u val="singleAccounting"/>
        <vertAlign val="superscript"/>
        <sz val="11"/>
        <color theme="1"/>
        <rFont val="Aptos Narrow"/>
        <family val="2"/>
        <scheme val="minor"/>
      </rPr>
      <t>(4)</t>
    </r>
  </si>
  <si>
    <t>Eli Lilly Valuation</t>
  </si>
  <si>
    <t>Valuation Date</t>
  </si>
  <si>
    <t>Multiples Valuation</t>
  </si>
  <si>
    <t>Free Cash Flow Valuation</t>
  </si>
  <si>
    <t>Market Conditions at Valuation Date</t>
  </si>
  <si>
    <t>Price Per</t>
  </si>
  <si>
    <t>Share</t>
  </si>
  <si>
    <t>Price Per Share</t>
  </si>
  <si>
    <t>LTM EBITDA</t>
  </si>
  <si>
    <t>Base Case</t>
  </si>
  <si>
    <t>NTM EBITDA</t>
  </si>
  <si>
    <t>Higher Growth by 0.5%</t>
  </si>
  <si>
    <t>Conclusion</t>
  </si>
  <si>
    <t>NTM EPS</t>
  </si>
  <si>
    <t>Lower Growth by 0.5%</t>
  </si>
  <si>
    <t>Higher WACC by 0.5%</t>
  </si>
  <si>
    <t>Significantly Undervalued</t>
  </si>
  <si>
    <t>Low</t>
  </si>
  <si>
    <t>Lower WACC by 0.5%</t>
  </si>
  <si>
    <t>Slightly Undervalued</t>
  </si>
  <si>
    <t>High</t>
  </si>
  <si>
    <t>Fairly Priced</t>
  </si>
  <si>
    <t>Mean</t>
  </si>
  <si>
    <t>Slightly Overvalued</t>
  </si>
  <si>
    <t>Median</t>
  </si>
  <si>
    <t>Significantly Overvalued</t>
  </si>
  <si>
    <t>1. Comparable Firm Values (exclude your target firm)</t>
  </si>
  <si>
    <t>[C] * [D]</t>
  </si>
  <si>
    <t>[F]-[G]</t>
  </si>
  <si>
    <t>[E]+[H]</t>
  </si>
  <si>
    <t>Shares</t>
  </si>
  <si>
    <t>Market</t>
  </si>
  <si>
    <t>Total</t>
  </si>
  <si>
    <t>Cash and</t>
  </si>
  <si>
    <t>Net</t>
  </si>
  <si>
    <t>Enterprise</t>
  </si>
  <si>
    <t>Firm</t>
  </si>
  <si>
    <t>Out</t>
  </si>
  <si>
    <t>Cap</t>
  </si>
  <si>
    <t>Debt</t>
  </si>
  <si>
    <t>ST Invest</t>
  </si>
  <si>
    <t>Value</t>
  </si>
  <si>
    <t>2. Trailing and Forward Metrics (exclude your target firm)</t>
  </si>
  <si>
    <t>LTM</t>
  </si>
  <si>
    <t>NTM</t>
  </si>
  <si>
    <t>EBITDA</t>
  </si>
  <si>
    <t>EPS</t>
  </si>
  <si>
    <t>3. Trailing and Forward Multiples (leave negative multiples blank)</t>
  </si>
  <si>
    <t>Ent Val /</t>
  </si>
  <si>
    <t xml:space="preserve">Share Price / </t>
  </si>
  <si>
    <t>4. Target Firm Valuation</t>
  </si>
  <si>
    <t>Earnings-Per-Share</t>
  </si>
  <si>
    <t>Multpile from Comps</t>
  </si>
  <si>
    <t>Estimated Price per Share</t>
  </si>
  <si>
    <t>Estimated Enterprise Value</t>
  </si>
  <si>
    <t>Net Debt</t>
  </si>
  <si>
    <t>Total Equity (Market Cap)</t>
  </si>
  <si>
    <t>Shares Outstanding</t>
  </si>
  <si>
    <t>Estimated Price Per share</t>
  </si>
  <si>
    <t>CAPM and WACC</t>
  </si>
  <si>
    <t>1. Unlevering Betas</t>
  </si>
  <si>
    <t>From</t>
  </si>
  <si>
    <t>Multiples</t>
  </si>
  <si>
    <t>[D]/[E]</t>
  </si>
  <si>
    <t>Unlevered</t>
  </si>
  <si>
    <t>Beta (5Y)</t>
  </si>
  <si>
    <t>Mkt Cap</t>
  </si>
  <si>
    <t>D/E</t>
  </si>
  <si>
    <t>Tax Rate</t>
  </si>
  <si>
    <t>Beta</t>
  </si>
  <si>
    <t>Average</t>
  </si>
  <si>
    <t>2. Relevering Beta</t>
  </si>
  <si>
    <t>Comparable Unlevered Beta</t>
  </si>
  <si>
    <t>average of comparable unlevered betas</t>
  </si>
  <si>
    <t>Market Capitalization</t>
  </si>
  <si>
    <t>D/E Ratio</t>
  </si>
  <si>
    <t>Estimated Levered Equity Beta</t>
  </si>
  <si>
    <t>3. CAPM</t>
  </si>
  <si>
    <t>Risk-Free Rate (10-year Treasury)</t>
  </si>
  <si>
    <t>from Federal Reserve Statistical Release (as of valuation date).  Assume this is an APR with k=2</t>
  </si>
  <si>
    <t>Convert to EAR</t>
  </si>
  <si>
    <t>Market Risk Premium</t>
  </si>
  <si>
    <t>Assumption, typically thought to be between 4% and 6%</t>
  </si>
  <si>
    <t>Expected Return on Equity</t>
  </si>
  <si>
    <t>4. WACC</t>
  </si>
  <si>
    <t>Credit Rating</t>
  </si>
  <si>
    <t>Expected Return on Debt</t>
  </si>
  <si>
    <t>from CAPM</t>
  </si>
  <si>
    <t>from Multiples</t>
  </si>
  <si>
    <t>shares times price per share (or just look it up on the comp search sheet)</t>
  </si>
  <si>
    <t>Enterprise Value</t>
  </si>
  <si>
    <t>Net Debt + Market Capitalization</t>
  </si>
  <si>
    <t>Net Debt-to-Enterprise Value</t>
  </si>
  <si>
    <t>Equity-to-Enterprise Value</t>
  </si>
  <si>
    <t>WACC</t>
  </si>
  <si>
    <t>FCF Valuation</t>
  </si>
  <si>
    <t>Key Inputs</t>
  </si>
  <si>
    <t>Long-Term Growth Rate</t>
  </si>
  <si>
    <t>Terminal</t>
  </si>
  <si>
    <t>Revenue</t>
  </si>
  <si>
    <t>Growth</t>
  </si>
  <si>
    <t>as % of Revenue</t>
  </si>
  <si>
    <t>EBIT</t>
  </si>
  <si>
    <t>Unlevered Income Taxes</t>
  </si>
  <si>
    <t>After-Tax EBIT</t>
  </si>
  <si>
    <t>Capital Expenditures</t>
  </si>
  <si>
    <t>Depreciation &amp; Amortization</t>
  </si>
  <si>
    <t>as % of Capital Expenditures</t>
  </si>
  <si>
    <t>Change in Net Working Capital</t>
  </si>
  <si>
    <t>as % of Revenue growth</t>
  </si>
  <si>
    <t>Unlevered Free Cash Flow</t>
  </si>
  <si>
    <t>Portion of Year</t>
  </si>
  <si>
    <t>Time</t>
  </si>
  <si>
    <t>PV Factor</t>
  </si>
  <si>
    <t>PV of Free Cash Flow</t>
  </si>
  <si>
    <t>First Stage PV</t>
  </si>
  <si>
    <t>Second Stage FV at 2029</t>
  </si>
  <si>
    <t>Implied Terminal Forward EBITDA multiple ----&gt;</t>
  </si>
  <si>
    <t>second stage value as of 2029 divided by Terminal Year EBITDA</t>
  </si>
  <si>
    <t>Second Stage PV</t>
  </si>
  <si>
    <t>Uses same PV factor as the 2029 FCF</t>
  </si>
  <si>
    <t>Excess Cash</t>
  </si>
  <si>
    <t>Firm Value</t>
  </si>
  <si>
    <t>Total Debt</t>
  </si>
  <si>
    <t>Total Equity</t>
  </si>
  <si>
    <t>millions of shares</t>
  </si>
  <si>
    <t>millions of USD</t>
  </si>
  <si>
    <t>Level of Net Working Capital</t>
  </si>
  <si>
    <t>percentage</t>
  </si>
  <si>
    <t>Income Tax Rate</t>
  </si>
  <si>
    <t>2024 (Historical)</t>
  </si>
  <si>
    <t>YEAR</t>
  </si>
  <si>
    <t>MONTH</t>
  </si>
  <si>
    <t>SPY</t>
  </si>
  <si>
    <t>TBILL</t>
  </si>
  <si>
    <t>EXCESS RETURNS</t>
  </si>
  <si>
    <t>Aa3/A+</t>
  </si>
  <si>
    <t>Notes</t>
  </si>
  <si>
    <t>X</t>
  </si>
  <si>
    <t>@3/31/2025</t>
  </si>
  <si>
    <t>2024A</t>
  </si>
  <si>
    <t>2020A</t>
  </si>
  <si>
    <t>2021A</t>
  </si>
  <si>
    <t>2022A</t>
  </si>
  <si>
    <t>2023A</t>
  </si>
  <si>
    <t>Historical</t>
  </si>
  <si>
    <t>Provided</t>
  </si>
  <si>
    <t>Our projections</t>
  </si>
  <si>
    <t>2027E</t>
  </si>
  <si>
    <t>2028E</t>
  </si>
  <si>
    <t>2029E</t>
  </si>
  <si>
    <t>Data table increments</t>
  </si>
  <si>
    <t>Sensitivity to growth rate and WACC</t>
  </si>
  <si>
    <t>Growth rate sensitivity</t>
  </si>
  <si>
    <t>WACC Sensitivity</t>
  </si>
  <si>
    <t>Capital IQ Company Screening Report &gt; Taxes</t>
  </si>
  <si>
    <t>Effective Tax Rate - Capital IQ [NTM] (%)</t>
  </si>
  <si>
    <t>ICE BofA Single-A US Corporate Index Effective Yield on 3/31</t>
  </si>
  <si>
    <t>25 - '27 significant positive impact of Mounjaro, Zepbound, and incretins</t>
  </si>
  <si>
    <t>Tapered terminal margin down to '20 - '27 average</t>
  </si>
  <si>
    <t>Based on comparable multiples</t>
  </si>
  <si>
    <t>Based on FCF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</si>
</sst>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
    <numFmt numFmtId="165" formatCode="_(* #,##0_);_(* \(#,##0\);_(* &quot;-&quot;??_);_(@_)"/>
    <numFmt numFmtId="166" formatCode="_(* #,##0.0_);_(* \(#,##0.0\)_)\ ;_(* 0_)"/>
    <numFmt numFmtId="167" formatCode="_(* #,##0.0#_);_(* \(#,##0.0#\)_)\ ;_(* 0_)"/>
    <numFmt numFmtId="168" formatCode="_(* #,##0.0##_);_(* \(#,##0.0##\)_)\ ;_(* 0_)"/>
    <numFmt numFmtId="169" formatCode="_(* #,##0_);_(* \(#,##0\)_)\ ;_(* 0_)"/>
    <numFmt numFmtId="170" formatCode="0.000000"/>
    <numFmt numFmtId="171" formatCode="0.000"/>
    <numFmt numFmtId="172" formatCode="0.0"/>
    <numFmt numFmtId="173" formatCode="_(* #,##0.0000_);_(* \(#,##0.0000\);_(* &quot;-&quot;??_);_(@_)"/>
    <numFmt numFmtId="174" formatCode="_(* #,##0.0_);_(* \(#,##0.0\);_(* &quot;-&quot;??_);_(@_)"/>
    <numFmt numFmtId="175" formatCode="_(* #,##0.000_);_(* \(#,##0.000\);_(* &quot;-&quot;??_);_(@_)"/>
  </numFmts>
  <fonts count="34" x14ac:knownFonts="1">
    <font>
      <sz val="11"/>
      <color theme="1"/>
      <name val="Aptos Narrow"/>
      <family val="2"/>
      <scheme val="minor"/>
    </font>
    <font>
      <sz val="11"/>
      <color theme="1"/>
      <name val="Aptos Narrow"/>
      <family val="2"/>
      <scheme val="minor"/>
    </font>
    <font>
      <u val="singleAccounting"/>
      <sz val="11"/>
      <color theme="1"/>
      <name val="Aptos Narrow"/>
      <family val="2"/>
      <scheme val="minor"/>
    </font>
    <font>
      <sz val="10"/>
      <name val="Arial"/>
      <family val="2"/>
    </font>
    <font>
      <b/>
      <sz val="13"/>
      <color indexed="8"/>
      <name val="Verdana"/>
      <family val="2"/>
    </font>
    <font>
      <sz val="8"/>
      <name val="Arial"/>
      <family val="2"/>
    </font>
    <font>
      <b/>
      <u val="singleAccounting"/>
      <sz val="8"/>
      <color indexed="8"/>
      <name val="Arial"/>
      <family val="2"/>
    </font>
    <font>
      <sz val="8"/>
      <color indexed="8"/>
      <name val="Arial"/>
      <family val="2"/>
    </font>
    <font>
      <sz val="8"/>
      <color indexed="17"/>
      <name val="Arial"/>
      <family val="2"/>
    </font>
    <font>
      <b/>
      <sz val="11"/>
      <color theme="1"/>
      <name val="Aptos Narrow"/>
      <family val="2"/>
      <scheme val="minor"/>
    </font>
    <font>
      <sz val="11"/>
      <color indexed="8"/>
      <name val="Aptos Narrow"/>
      <family val="2"/>
      <scheme val="minor"/>
    </font>
    <font>
      <u/>
      <sz val="11"/>
      <color theme="10"/>
      <name val="Aptos Narrow"/>
      <family val="2"/>
      <scheme val="minor"/>
    </font>
    <font>
      <b/>
      <sz val="10"/>
      <name val="Arial"/>
      <family val="2"/>
    </font>
    <font>
      <b/>
      <i/>
      <sz val="10"/>
      <name val="Arial"/>
      <family val="2"/>
    </font>
    <font>
      <sz val="10"/>
      <color rgb="FFFF0000"/>
      <name val="Arial"/>
      <family val="2"/>
    </font>
    <font>
      <sz val="11"/>
      <name val="Aptos Narrow"/>
      <family val="2"/>
      <scheme val="minor"/>
    </font>
    <font>
      <b/>
      <sz val="11"/>
      <name val="Arial"/>
      <family val="2"/>
    </font>
    <font>
      <i/>
      <sz val="9"/>
      <color theme="1"/>
      <name val="Aptos Narrow"/>
      <family val="2"/>
      <scheme val="minor"/>
    </font>
    <font>
      <b/>
      <u val="singleAccounting"/>
      <sz val="11"/>
      <color theme="1"/>
      <name val="Aptos Narrow"/>
      <family val="2"/>
      <scheme val="minor"/>
    </font>
    <font>
      <b/>
      <u val="singleAccounting"/>
      <vertAlign val="superscript"/>
      <sz val="11"/>
      <color theme="1"/>
      <name val="Aptos Narrow"/>
      <family val="2"/>
      <scheme val="minor"/>
    </font>
    <font>
      <vertAlign val="superscript"/>
      <sz val="11"/>
      <color theme="1"/>
      <name val="Aptos Narrow"/>
      <family val="2"/>
      <scheme val="minor"/>
    </font>
    <font>
      <sz val="14"/>
      <color theme="1"/>
      <name val="Aptos Narrow"/>
      <family val="2"/>
      <scheme val="minor"/>
    </font>
    <font>
      <b/>
      <sz val="14"/>
      <color theme="1"/>
      <name val="Aptos Narrow"/>
      <family val="2"/>
      <scheme val="minor"/>
    </font>
    <font>
      <b/>
      <sz val="11"/>
      <color rgb="FFFF0000"/>
      <name val="Aptos Narrow"/>
      <family val="2"/>
      <scheme val="minor"/>
    </font>
    <font>
      <b/>
      <sz val="11"/>
      <color rgb="FF0033CC"/>
      <name val="Aptos Narrow"/>
      <family val="2"/>
      <scheme val="minor"/>
    </font>
    <font>
      <i/>
      <sz val="11"/>
      <color theme="1"/>
      <name val="Aptos Narrow"/>
      <family val="2"/>
      <scheme val="minor"/>
    </font>
    <font>
      <sz val="11"/>
      <color theme="0"/>
      <name val="Aptos Narrow"/>
      <family val="2"/>
      <scheme val="minor"/>
    </font>
    <font>
      <b/>
      <sz val="11"/>
      <name val="Calibri"/>
      <family val="2"/>
    </font>
    <font>
      <i/>
      <sz val="11"/>
      <color rgb="FF4D93FF"/>
      <name val="Aptos Narrow"/>
      <family val="2"/>
      <scheme val="minor"/>
    </font>
    <font>
      <sz val="11"/>
      <color rgb="FF4D93FF"/>
      <name val="Aptos Narrow"/>
      <family val="2"/>
      <scheme val="minor"/>
    </font>
    <font>
      <sz val="10"/>
      <color theme="1"/>
      <name val="Aptos Narrow"/>
      <family val="2"/>
      <scheme val="minor"/>
    </font>
    <font>
      <b/>
      <u/>
      <sz val="10"/>
      <color theme="1"/>
      <name val="Aptos Narrow"/>
      <family val="2"/>
      <scheme val="minor"/>
    </font>
    <font>
      <sz val="8"/>
      <color theme="8"/>
      <name val="Aptos Narrow"/>
      <family val="2"/>
      <scheme val="minor"/>
    </font>
    <font>
      <sz val="8"/>
      <color theme="1"/>
      <name val="Aptos Narrow"/>
      <family val="2"/>
      <scheme val="minor"/>
    </font>
  </fonts>
  <fills count="10">
    <fill>
      <patternFill patternType="none"/>
    </fill>
    <fill>
      <patternFill patternType="gray125"/>
    </fill>
    <fill>
      <patternFill patternType="solid">
        <fgColor indexed="60"/>
        <bgColor indexed="64"/>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3" tint="0.89996032593768116"/>
        <bgColor indexed="64"/>
      </patternFill>
    </fill>
    <fill>
      <patternFill patternType="solid">
        <fgColor theme="2"/>
        <bgColor indexed="64"/>
      </patternFill>
    </fill>
    <fill>
      <patternFill patternType="solid">
        <fgColor theme="7" tint="0.79998168889431442"/>
        <bgColor indexed="64"/>
      </patternFill>
    </fill>
  </fills>
  <borders count="27">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auto="1"/>
      </left>
      <right style="medium">
        <color auto="1"/>
      </right>
      <top style="medium">
        <color auto="1"/>
      </top>
      <bottom style="medium">
        <color auto="1"/>
      </bottom>
      <diagonal/>
    </border>
    <border>
      <left/>
      <right style="dashed">
        <color indexed="64"/>
      </right>
      <top style="thin">
        <color indexed="64"/>
      </top>
      <bottom/>
      <diagonal/>
    </border>
    <border>
      <left/>
      <right style="dashed">
        <color indexed="64"/>
      </right>
      <top style="thin">
        <color indexed="64"/>
      </top>
      <bottom style="thin">
        <color indexed="64"/>
      </bottom>
      <diagonal/>
    </border>
    <border>
      <left/>
      <right style="dashed">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6" fillId="2" borderId="0" applyAlignment="0"/>
    <xf numFmtId="0" fontId="7" fillId="0" borderId="0" applyAlignment="0"/>
    <xf numFmtId="0" fontId="10" fillId="0" borderId="0"/>
    <xf numFmtId="0" fontId="11" fillId="0" borderId="0" applyNumberFormat="0" applyFill="0" applyBorder="0" applyAlignment="0" applyProtection="0"/>
  </cellStyleXfs>
  <cellXfs count="216">
    <xf numFmtId="0" fontId="0" fillId="0" borderId="0" xfId="0"/>
    <xf numFmtId="9" fontId="0" fillId="0" borderId="0" xfId="2" applyFont="1"/>
    <xf numFmtId="0" fontId="0" fillId="0" borderId="0" xfId="0" applyAlignment="1">
      <alignment horizontal="right" indent="1"/>
    </xf>
    <xf numFmtId="164" fontId="0" fillId="0" borderId="0" xfId="2" applyNumberFormat="1" applyFont="1"/>
    <xf numFmtId="43" fontId="0" fillId="0" borderId="0" xfId="1" applyFont="1"/>
    <xf numFmtId="165" fontId="0" fillId="0" borderId="0" xfId="1" applyNumberFormat="1" applyFont="1"/>
    <xf numFmtId="0" fontId="4" fillId="0" borderId="0" xfId="3" applyFont="1"/>
    <xf numFmtId="0" fontId="5" fillId="0" borderId="0" xfId="3" applyFont="1"/>
    <xf numFmtId="0" fontId="6" fillId="2" borderId="0" xfId="4" applyAlignment="1">
      <alignment horizontal="left" wrapText="1"/>
    </xf>
    <xf numFmtId="0" fontId="6" fillId="2" borderId="0" xfId="4" applyAlignment="1">
      <alignment horizontal="right" wrapText="1"/>
    </xf>
    <xf numFmtId="0" fontId="7" fillId="0" borderId="0" xfId="5" applyAlignment="1">
      <alignment horizontal="left" vertical="top" wrapText="1"/>
    </xf>
    <xf numFmtId="166" fontId="5" fillId="0" borderId="0" xfId="3" applyNumberFormat="1" applyFont="1" applyAlignment="1">
      <alignment horizontal="right" vertical="top" wrapText="1"/>
    </xf>
    <xf numFmtId="167" fontId="5" fillId="0" borderId="0" xfId="3" applyNumberFormat="1" applyFont="1" applyAlignment="1">
      <alignment horizontal="right" vertical="top" wrapText="1"/>
    </xf>
    <xf numFmtId="49" fontId="5" fillId="0" borderId="0" xfId="3" applyNumberFormat="1" applyFont="1" applyAlignment="1">
      <alignment horizontal="left" vertical="top" wrapText="1"/>
    </xf>
    <xf numFmtId="0" fontId="5" fillId="0" borderId="0" xfId="3" applyFont="1" applyAlignment="1">
      <alignment vertical="top" wrapText="1"/>
    </xf>
    <xf numFmtId="168" fontId="5" fillId="0" borderId="0" xfId="3" applyNumberFormat="1" applyFont="1" applyAlignment="1">
      <alignment horizontal="right" vertical="top" wrapText="1"/>
    </xf>
    <xf numFmtId="169" fontId="5" fillId="0" borderId="0" xfId="3" applyNumberFormat="1" applyFont="1" applyAlignment="1">
      <alignment horizontal="right" vertical="top" wrapText="1"/>
    </xf>
    <xf numFmtId="1" fontId="5" fillId="0" borderId="0" xfId="3" applyNumberFormat="1" applyFont="1" applyAlignment="1">
      <alignment horizontal="right" vertical="top" wrapText="1"/>
    </xf>
    <xf numFmtId="0" fontId="8" fillId="0" borderId="0" xfId="3" applyFont="1"/>
    <xf numFmtId="165" fontId="0" fillId="0" borderId="0" xfId="0" applyNumberFormat="1"/>
    <xf numFmtId="0" fontId="10" fillId="0" borderId="0" xfId="6"/>
    <xf numFmtId="0" fontId="10" fillId="0" borderId="0" xfId="6" applyAlignment="1">
      <alignment horizontal="left"/>
    </xf>
    <xf numFmtId="170" fontId="10" fillId="0" borderId="0" xfId="6" applyNumberFormat="1" applyAlignment="1">
      <alignment horizontal="left"/>
    </xf>
    <xf numFmtId="171" fontId="10" fillId="0" borderId="0" xfId="6" applyNumberFormat="1" applyAlignment="1">
      <alignment horizontal="left"/>
    </xf>
    <xf numFmtId="0" fontId="12" fillId="0" borderId="0" xfId="7" applyFont="1" applyAlignment="1">
      <alignment horizontal="left" vertical="center" wrapText="1"/>
    </xf>
    <xf numFmtId="0" fontId="11" fillId="0" borderId="0" xfId="7" applyAlignment="1">
      <alignment vertical="center" wrapText="1"/>
    </xf>
    <xf numFmtId="0" fontId="11" fillId="0" borderId="0" xfId="7" applyAlignment="1">
      <alignment vertical="top"/>
    </xf>
    <xf numFmtId="0" fontId="13" fillId="0" borderId="0" xfId="7" applyFont="1" applyAlignment="1">
      <alignment horizontal="left" vertical="center" wrapText="1"/>
    </xf>
    <xf numFmtId="0" fontId="14" fillId="0" borderId="0" xfId="6" applyFont="1" applyAlignment="1">
      <alignment vertical="center"/>
    </xf>
    <xf numFmtId="0" fontId="3" fillId="0" borderId="0" xfId="6" applyFont="1" applyAlignment="1">
      <alignment horizontal="left" vertical="center" wrapText="1"/>
    </xf>
    <xf numFmtId="0" fontId="12" fillId="0" borderId="0" xfId="6" applyFont="1" applyAlignment="1">
      <alignment horizontal="left" vertical="center" wrapText="1"/>
    </xf>
    <xf numFmtId="0" fontId="10" fillId="0" borderId="0" xfId="6" applyAlignment="1">
      <alignment vertical="top"/>
    </xf>
    <xf numFmtId="0" fontId="3" fillId="0" borderId="0" xfId="6" applyFont="1" applyAlignment="1">
      <alignment horizontal="justify" vertical="center" wrapText="1"/>
    </xf>
    <xf numFmtId="0" fontId="15" fillId="0" borderId="0" xfId="6" applyFont="1" applyAlignment="1">
      <alignment horizontal="justify" vertical="center" wrapText="1"/>
    </xf>
    <xf numFmtId="0" fontId="0" fillId="0" borderId="0" xfId="0" applyAlignment="1">
      <alignment horizontal="center"/>
    </xf>
    <xf numFmtId="0" fontId="2" fillId="0" borderId="0" xfId="0" applyFont="1" applyAlignment="1">
      <alignment horizontal="centerContinuous"/>
    </xf>
    <xf numFmtId="0" fontId="2" fillId="0" borderId="0" xfId="0" quotePrefix="1" applyFont="1" applyAlignment="1">
      <alignment horizontal="centerContinuous"/>
    </xf>
    <xf numFmtId="0" fontId="0" fillId="0" borderId="0" xfId="0" applyAlignment="1">
      <alignment horizontal="center" vertical="center" wrapText="1"/>
    </xf>
    <xf numFmtId="0" fontId="17" fillId="0" borderId="0" xfId="0" quotePrefix="1" applyFont="1"/>
    <xf numFmtId="0" fontId="17" fillId="0" borderId="0" xfId="0" applyFont="1"/>
    <xf numFmtId="0" fontId="9" fillId="0" borderId="0" xfId="0" applyFont="1" applyAlignment="1">
      <alignment horizontal="center"/>
    </xf>
    <xf numFmtId="0" fontId="9" fillId="0" borderId="0" xfId="0" applyFont="1"/>
    <xf numFmtId="0" fontId="18" fillId="0" borderId="0" xfId="0" applyFont="1" applyAlignment="1">
      <alignment horizontal="centerContinuous"/>
    </xf>
    <xf numFmtId="0" fontId="9" fillId="0" borderId="0" xfId="0" applyFont="1" applyAlignment="1">
      <alignment horizontal="centerContinuous"/>
    </xf>
    <xf numFmtId="0" fontId="18" fillId="0" borderId="0" xfId="0" quotePrefix="1" applyFont="1" applyAlignment="1">
      <alignment horizontal="centerContinuous"/>
    </xf>
    <xf numFmtId="164" fontId="0" fillId="0" borderId="0" xfId="2" applyNumberFormat="1" applyFont="1" applyAlignment="1">
      <alignment horizontal="right"/>
    </xf>
    <xf numFmtId="0" fontId="21" fillId="0" borderId="0" xfId="0" applyFont="1"/>
    <xf numFmtId="0" fontId="22" fillId="0" borderId="0" xfId="0" applyFont="1"/>
    <xf numFmtId="0" fontId="18" fillId="0" borderId="0" xfId="0" applyFont="1" applyAlignment="1">
      <alignment horizontal="centerContinuous" wrapText="1"/>
    </xf>
    <xf numFmtId="43" fontId="0" fillId="0" borderId="0" xfId="1" quotePrefix="1" applyFont="1"/>
    <xf numFmtId="43" fontId="20" fillId="0" borderId="0" xfId="1" quotePrefix="1" applyFont="1" applyAlignment="1"/>
    <xf numFmtId="0" fontId="18" fillId="6" borderId="0" xfId="0" applyFont="1" applyFill="1" applyAlignment="1">
      <alignment horizontal="centerContinuous" wrapText="1"/>
    </xf>
    <xf numFmtId="0" fontId="18" fillId="6" borderId="5" xfId="0" applyFont="1" applyFill="1" applyBorder="1" applyAlignment="1">
      <alignment horizontal="centerContinuous" wrapText="1"/>
    </xf>
    <xf numFmtId="0" fontId="18" fillId="6" borderId="6" xfId="0" applyFont="1" applyFill="1" applyBorder="1" applyAlignment="1">
      <alignment horizontal="centerContinuous" wrapText="1"/>
    </xf>
    <xf numFmtId="0" fontId="18" fillId="6" borderId="7" xfId="0" applyFont="1" applyFill="1" applyBorder="1" applyAlignment="1">
      <alignment horizontal="centerContinuous" wrapText="1"/>
    </xf>
    <xf numFmtId="43" fontId="0" fillId="0" borderId="8" xfId="1" applyFont="1" applyBorder="1"/>
    <xf numFmtId="43" fontId="0" fillId="0" borderId="0" xfId="1" applyFont="1" applyBorder="1"/>
    <xf numFmtId="43" fontId="0" fillId="0" borderId="9" xfId="1" applyFont="1" applyBorder="1"/>
    <xf numFmtId="43" fontId="0" fillId="0" borderId="0" xfId="1" applyFont="1" applyBorder="1" applyAlignment="1">
      <alignment horizontal="right"/>
    </xf>
    <xf numFmtId="0" fontId="0" fillId="0" borderId="8" xfId="0" applyBorder="1"/>
    <xf numFmtId="0" fontId="0" fillId="0" borderId="9" xfId="0" applyBorder="1"/>
    <xf numFmtId="43" fontId="0" fillId="0" borderId="10" xfId="1" applyFont="1" applyBorder="1"/>
    <xf numFmtId="43" fontId="0" fillId="0" borderId="11" xfId="1" applyFont="1" applyBorder="1"/>
    <xf numFmtId="43" fontId="0" fillId="0" borderId="12" xfId="1" applyFont="1" applyBorder="1"/>
    <xf numFmtId="9" fontId="0" fillId="0" borderId="8" xfId="2" applyFont="1" applyBorder="1"/>
    <xf numFmtId="9" fontId="0" fillId="0" borderId="0" xfId="2" applyFont="1" applyBorder="1"/>
    <xf numFmtId="9" fontId="0" fillId="0" borderId="9" xfId="2" applyFont="1" applyBorder="1"/>
    <xf numFmtId="9" fontId="0" fillId="0" borderId="10" xfId="2" applyFont="1" applyBorder="1"/>
    <xf numFmtId="9" fontId="0" fillId="0" borderId="11" xfId="2" applyFont="1" applyBorder="1"/>
    <xf numFmtId="9" fontId="0" fillId="0" borderId="12" xfId="2" applyFont="1" applyBorder="1"/>
    <xf numFmtId="14" fontId="24" fillId="0" borderId="0" xfId="0" applyNumberFormat="1" applyFont="1" applyAlignment="1">
      <alignment horizontal="center"/>
    </xf>
    <xf numFmtId="0" fontId="25" fillId="0" borderId="0" xfId="0" applyFont="1"/>
    <xf numFmtId="2" fontId="0" fillId="0" borderId="13" xfId="0" applyNumberFormat="1" applyBorder="1" applyAlignment="1">
      <alignment horizontal="center"/>
    </xf>
    <xf numFmtId="43" fontId="0" fillId="0" borderId="13" xfId="1" applyFont="1" applyBorder="1"/>
    <xf numFmtId="2" fontId="0" fillId="0" borderId="14" xfId="0" applyNumberFormat="1" applyBorder="1" applyAlignment="1">
      <alignment horizontal="center"/>
    </xf>
    <xf numFmtId="43" fontId="0" fillId="0" borderId="14" xfId="1" applyFont="1" applyBorder="1"/>
    <xf numFmtId="2" fontId="0" fillId="0" borderId="15" xfId="0" applyNumberFormat="1" applyBorder="1" applyAlignment="1">
      <alignment horizontal="center"/>
    </xf>
    <xf numFmtId="0" fontId="0" fillId="0" borderId="13" xfId="0" applyBorder="1" applyAlignment="1">
      <alignment horizontal="center"/>
    </xf>
    <xf numFmtId="0" fontId="0" fillId="0" borderId="0" xfId="0" applyAlignment="1">
      <alignment horizontal="right"/>
    </xf>
    <xf numFmtId="43" fontId="0" fillId="0" borderId="15" xfId="1" applyFont="1" applyBorder="1"/>
    <xf numFmtId="0" fontId="0" fillId="0" borderId="14" xfId="0" applyBorder="1" applyAlignment="1">
      <alignment horizontal="center"/>
    </xf>
    <xf numFmtId="43" fontId="0" fillId="0" borderId="13" xfId="0" applyNumberFormat="1" applyBorder="1" applyAlignment="1">
      <alignment horizontal="center"/>
    </xf>
    <xf numFmtId="43" fontId="0" fillId="0" borderId="14" xfId="0" applyNumberFormat="1" applyBorder="1" applyAlignment="1">
      <alignment horizontal="center"/>
    </xf>
    <xf numFmtId="0" fontId="0" fillId="0" borderId="15" xfId="0" applyBorder="1" applyAlignment="1">
      <alignment horizontal="center"/>
    </xf>
    <xf numFmtId="43" fontId="0" fillId="0" borderId="15" xfId="0" applyNumberFormat="1" applyBorder="1" applyAlignment="1">
      <alignment horizontal="center"/>
    </xf>
    <xf numFmtId="2" fontId="0" fillId="0" borderId="0" xfId="0" applyNumberFormat="1" applyAlignment="1">
      <alignment horizontal="center"/>
    </xf>
    <xf numFmtId="43" fontId="0" fillId="0" borderId="0" xfId="1" applyFont="1" applyAlignment="1">
      <alignment horizontal="center"/>
    </xf>
    <xf numFmtId="165" fontId="0" fillId="0" borderId="0" xfId="1" applyNumberFormat="1" applyFont="1" applyAlignment="1">
      <alignment horizontal="center"/>
    </xf>
    <xf numFmtId="172" fontId="0" fillId="0" borderId="0" xfId="0" applyNumberFormat="1" applyAlignment="1">
      <alignment horizontal="center"/>
    </xf>
    <xf numFmtId="2" fontId="9" fillId="0" borderId="0" xfId="0" applyNumberFormat="1" applyFont="1" applyAlignment="1">
      <alignment horizontal="center"/>
    </xf>
    <xf numFmtId="3" fontId="0" fillId="0" borderId="0" xfId="0" applyNumberFormat="1" applyAlignment="1">
      <alignment horizontal="center"/>
    </xf>
    <xf numFmtId="165" fontId="9" fillId="0" borderId="0" xfId="1" applyNumberFormat="1" applyFont="1" applyAlignment="1">
      <alignment horizontal="center"/>
    </xf>
    <xf numFmtId="2" fontId="0" fillId="0" borderId="0" xfId="0" applyNumberFormat="1"/>
    <xf numFmtId="0" fontId="9" fillId="0" borderId="0" xfId="0" applyFont="1" applyAlignment="1">
      <alignment horizontal="left"/>
    </xf>
    <xf numFmtId="0" fontId="0" fillId="0" borderId="0" xfId="0" applyAlignment="1">
      <alignment horizontal="left"/>
    </xf>
    <xf numFmtId="3" fontId="0" fillId="0" borderId="0" xfId="0" applyNumberFormat="1"/>
    <xf numFmtId="43" fontId="0" fillId="0" borderId="0" xfId="0" applyNumberFormat="1"/>
    <xf numFmtId="10" fontId="0" fillId="0" borderId="0" xfId="0" applyNumberFormat="1"/>
    <xf numFmtId="10" fontId="0" fillId="0" borderId="0" xfId="2" applyNumberFormat="1" applyFont="1"/>
    <xf numFmtId="10" fontId="9" fillId="0" borderId="4" xfId="2" applyNumberFormat="1" applyFont="1" applyBorder="1"/>
    <xf numFmtId="10" fontId="0" fillId="0" borderId="13" xfId="0" applyNumberFormat="1" applyBorder="1"/>
    <xf numFmtId="10" fontId="0" fillId="0" borderId="15" xfId="0" applyNumberFormat="1" applyBorder="1"/>
    <xf numFmtId="0" fontId="9" fillId="0" borderId="16" xfId="0" applyFont="1" applyBorder="1" applyAlignment="1">
      <alignment horizontal="center"/>
    </xf>
    <xf numFmtId="164" fontId="25" fillId="0" borderId="0" xfId="2" applyNumberFormat="1" applyFont="1"/>
    <xf numFmtId="173" fontId="0" fillId="0" borderId="0" xfId="0" applyNumberFormat="1"/>
    <xf numFmtId="174" fontId="0" fillId="0" borderId="0" xfId="0" applyNumberFormat="1" applyAlignment="1">
      <alignment horizontal="center"/>
    </xf>
    <xf numFmtId="174" fontId="0" fillId="0" borderId="0" xfId="1" applyNumberFormat="1" applyFont="1"/>
    <xf numFmtId="172" fontId="0" fillId="0" borderId="0" xfId="0" applyNumberFormat="1"/>
    <xf numFmtId="174" fontId="0" fillId="0" borderId="0" xfId="1" applyNumberFormat="1" applyFont="1" applyAlignment="1">
      <alignment horizontal="center"/>
    </xf>
    <xf numFmtId="0" fontId="27" fillId="0" borderId="4" xfId="0" applyFont="1" applyBorder="1" applyAlignment="1">
      <alignment horizontal="center" vertical="top"/>
    </xf>
    <xf numFmtId="175" fontId="0" fillId="4" borderId="17" xfId="1" applyNumberFormat="1" applyFont="1" applyFill="1" applyBorder="1" applyAlignment="1">
      <alignment horizontal="right"/>
    </xf>
    <xf numFmtId="175" fontId="0" fillId="4" borderId="17" xfId="1" applyNumberFormat="1" applyFont="1" applyFill="1" applyBorder="1"/>
    <xf numFmtId="175" fontId="0" fillId="0" borderId="0" xfId="1" applyNumberFormat="1" applyFont="1"/>
    <xf numFmtId="173" fontId="1" fillId="0" borderId="0" xfId="1" applyNumberFormat="1" applyFont="1"/>
    <xf numFmtId="164" fontId="28" fillId="0" borderId="0" xfId="2" applyNumberFormat="1" applyFont="1"/>
    <xf numFmtId="43" fontId="0" fillId="0" borderId="0" xfId="0" applyNumberFormat="1" applyAlignment="1">
      <alignment horizontal="center"/>
    </xf>
    <xf numFmtId="43" fontId="0" fillId="0" borderId="4" xfId="1" applyFont="1" applyBorder="1"/>
    <xf numFmtId="0" fontId="9" fillId="0" borderId="0" xfId="0" quotePrefix="1" applyFont="1" applyAlignment="1">
      <alignment horizontal="center"/>
    </xf>
    <xf numFmtId="43" fontId="29" fillId="0" borderId="0" xfId="1" applyFont="1" applyAlignment="1">
      <alignment horizontal="center"/>
    </xf>
    <xf numFmtId="0" fontId="9" fillId="0" borderId="19" xfId="0" applyFont="1" applyBorder="1" applyAlignment="1">
      <alignment horizontal="right"/>
    </xf>
    <xf numFmtId="0" fontId="0" fillId="0" borderId="20" xfId="0" applyBorder="1"/>
    <xf numFmtId="165" fontId="0" fillId="0" borderId="20" xfId="1" applyNumberFormat="1" applyFont="1" applyBorder="1"/>
    <xf numFmtId="164" fontId="25" fillId="0" borderId="20" xfId="2" applyNumberFormat="1" applyFont="1" applyBorder="1"/>
    <xf numFmtId="10" fontId="0" fillId="0" borderId="0" xfId="0" applyNumberFormat="1" applyAlignment="1">
      <alignment horizontal="right"/>
    </xf>
    <xf numFmtId="0" fontId="9" fillId="0" borderId="16" xfId="0" applyFont="1" applyBorder="1" applyAlignment="1">
      <alignment horizontal="right"/>
    </xf>
    <xf numFmtId="164" fontId="0" fillId="0" borderId="20" xfId="2" applyNumberFormat="1" applyFont="1" applyBorder="1"/>
    <xf numFmtId="0" fontId="9" fillId="0" borderId="22" xfId="0" applyFont="1" applyBorder="1" applyAlignment="1">
      <alignment horizontal="centerContinuous"/>
    </xf>
    <xf numFmtId="0" fontId="9" fillId="0" borderId="21" xfId="0" applyFont="1" applyBorder="1" applyAlignment="1">
      <alignment horizontal="centerContinuous"/>
    </xf>
    <xf numFmtId="0" fontId="9" fillId="0" borderId="16" xfId="0" applyFont="1" applyBorder="1" applyAlignment="1">
      <alignment horizontal="centerContinuous"/>
    </xf>
    <xf numFmtId="164" fontId="0" fillId="0" borderId="16" xfId="2" applyNumberFormat="1" applyFont="1" applyBorder="1"/>
    <xf numFmtId="164" fontId="0" fillId="0" borderId="22" xfId="2" applyNumberFormat="1" applyFont="1" applyBorder="1"/>
    <xf numFmtId="164" fontId="0" fillId="0" borderId="14" xfId="2" applyNumberFormat="1" applyFont="1" applyBorder="1"/>
    <xf numFmtId="164" fontId="0" fillId="0" borderId="15" xfId="2" applyNumberFormat="1" applyFont="1" applyBorder="1"/>
    <xf numFmtId="43" fontId="0" fillId="4" borderId="4" xfId="1" applyFont="1" applyFill="1" applyBorder="1"/>
    <xf numFmtId="164" fontId="15" fillId="0" borderId="0" xfId="2" applyNumberFormat="1" applyFont="1"/>
    <xf numFmtId="0" fontId="0" fillId="0" borderId="24" xfId="0" applyBorder="1"/>
    <xf numFmtId="43" fontId="0" fillId="0" borderId="23" xfId="1" applyFont="1" applyBorder="1"/>
    <xf numFmtId="43" fontId="0" fillId="0" borderId="25" xfId="1" applyFont="1" applyBorder="1"/>
    <xf numFmtId="43" fontId="0" fillId="0" borderId="26" xfId="1" applyFont="1" applyBorder="1"/>
    <xf numFmtId="0" fontId="9" fillId="0" borderId="25" xfId="0" applyFont="1" applyBorder="1" applyAlignment="1">
      <alignment horizontal="centerContinuous"/>
    </xf>
    <xf numFmtId="0" fontId="9" fillId="0" borderId="26" xfId="0" applyFont="1" applyBorder="1" applyAlignment="1">
      <alignment horizontal="centerContinuous"/>
    </xf>
    <xf numFmtId="43" fontId="26" fillId="0" borderId="26" xfId="0" applyNumberFormat="1" applyFont="1" applyBorder="1"/>
    <xf numFmtId="0" fontId="9" fillId="0" borderId="24" xfId="0" applyFont="1" applyBorder="1" applyAlignment="1">
      <alignment horizontal="center" vertical="center" wrapText="1"/>
    </xf>
    <xf numFmtId="165" fontId="0" fillId="0" borderId="0" xfId="1" applyNumberFormat="1" applyFont="1" applyBorder="1"/>
    <xf numFmtId="164" fontId="28" fillId="0" borderId="0" xfId="2" applyNumberFormat="1" applyFont="1" applyBorder="1"/>
    <xf numFmtId="164" fontId="25" fillId="0" borderId="0" xfId="2" applyNumberFormat="1" applyFont="1" applyBorder="1"/>
    <xf numFmtId="165" fontId="0" fillId="7" borderId="0" xfId="1" applyNumberFormat="1" applyFont="1" applyFill="1"/>
    <xf numFmtId="164" fontId="28" fillId="7" borderId="0" xfId="2" applyNumberFormat="1" applyFont="1" applyFill="1"/>
    <xf numFmtId="0" fontId="0" fillId="7" borderId="0" xfId="0" applyFill="1"/>
    <xf numFmtId="10" fontId="29" fillId="7" borderId="0" xfId="0" applyNumberFormat="1" applyFont="1" applyFill="1"/>
    <xf numFmtId="164" fontId="25" fillId="7" borderId="0" xfId="2" applyNumberFormat="1" applyFont="1" applyFill="1"/>
    <xf numFmtId="165" fontId="0" fillId="8" borderId="0" xfId="1" applyNumberFormat="1" applyFont="1" applyFill="1"/>
    <xf numFmtId="165" fontId="0" fillId="8" borderId="18" xfId="1" applyNumberFormat="1" applyFont="1" applyFill="1" applyBorder="1"/>
    <xf numFmtId="164" fontId="25" fillId="8" borderId="0" xfId="2" applyNumberFormat="1" applyFont="1" applyFill="1"/>
    <xf numFmtId="164" fontId="25" fillId="8" borderId="20" xfId="2" applyNumberFormat="1" applyFont="1" applyFill="1" applyBorder="1"/>
    <xf numFmtId="0" fontId="0" fillId="8" borderId="0" xfId="0" applyFill="1"/>
    <xf numFmtId="0" fontId="0" fillId="8" borderId="20" xfId="0" applyFill="1" applyBorder="1"/>
    <xf numFmtId="165" fontId="0" fillId="8" borderId="20" xfId="1" applyNumberFormat="1" applyFont="1" applyFill="1" applyBorder="1"/>
    <xf numFmtId="10" fontId="0" fillId="8" borderId="0" xfId="0" applyNumberFormat="1" applyFill="1"/>
    <xf numFmtId="10" fontId="0" fillId="8" borderId="20" xfId="0" applyNumberFormat="1" applyFill="1" applyBorder="1"/>
    <xf numFmtId="165" fontId="0" fillId="9" borderId="0" xfId="1" applyNumberFormat="1" applyFont="1" applyFill="1"/>
    <xf numFmtId="165" fontId="0" fillId="9" borderId="20" xfId="1" applyNumberFormat="1" applyFont="1" applyFill="1" applyBorder="1"/>
    <xf numFmtId="164" fontId="28" fillId="9" borderId="0" xfId="2" applyNumberFormat="1" applyFont="1" applyFill="1"/>
    <xf numFmtId="164" fontId="28" fillId="9" borderId="20" xfId="2" applyNumberFormat="1" applyFont="1" applyFill="1" applyBorder="1"/>
    <xf numFmtId="0" fontId="0" fillId="9" borderId="0" xfId="0" applyFill="1"/>
    <xf numFmtId="0" fontId="0" fillId="9" borderId="20" xfId="0" applyFill="1" applyBorder="1"/>
    <xf numFmtId="10" fontId="29" fillId="9" borderId="0" xfId="0" applyNumberFormat="1" applyFont="1" applyFill="1"/>
    <xf numFmtId="10" fontId="29" fillId="9" borderId="20" xfId="0" applyNumberFormat="1" applyFont="1" applyFill="1" applyBorder="1"/>
    <xf numFmtId="164" fontId="25" fillId="9" borderId="0" xfId="2" applyNumberFormat="1" applyFont="1" applyFill="1"/>
    <xf numFmtId="164" fontId="25" fillId="9" borderId="20" xfId="2" applyNumberFormat="1" applyFont="1" applyFill="1" applyBorder="1"/>
    <xf numFmtId="0" fontId="30" fillId="0" borderId="0" xfId="0" applyFont="1"/>
    <xf numFmtId="0" fontId="31" fillId="0" borderId="0" xfId="0" applyFont="1"/>
    <xf numFmtId="0" fontId="32" fillId="0" borderId="0" xfId="0" applyFont="1"/>
    <xf numFmtId="0" fontId="33" fillId="0" borderId="0" xfId="0" applyFont="1"/>
    <xf numFmtId="0" fontId="32" fillId="0" borderId="0" xfId="0" quotePrefix="1" applyFont="1"/>
    <xf numFmtId="0" fontId="9" fillId="0" borderId="5" xfId="0" applyFont="1" applyBorder="1"/>
    <xf numFmtId="0" fontId="0" fillId="0" borderId="6" xfId="0" applyBorder="1" applyAlignment="1">
      <alignment horizontal="center"/>
    </xf>
    <xf numFmtId="0" fontId="9" fillId="0" borderId="7" xfId="0" applyFont="1" applyBorder="1" applyAlignment="1">
      <alignment horizontal="center"/>
    </xf>
    <xf numFmtId="0" fontId="0" fillId="0" borderId="9" xfId="0" applyBorder="1" applyAlignment="1">
      <alignment horizontal="center"/>
    </xf>
    <xf numFmtId="43" fontId="0" fillId="0" borderId="0" xfId="1" applyFont="1" applyBorder="1" applyAlignment="1">
      <alignment horizontal="center"/>
    </xf>
    <xf numFmtId="174" fontId="0" fillId="0" borderId="0" xfId="1" applyNumberFormat="1" applyFont="1" applyBorder="1" applyAlignment="1">
      <alignment horizontal="center"/>
    </xf>
    <xf numFmtId="0" fontId="9" fillId="0" borderId="8" xfId="0" applyFont="1" applyBorder="1"/>
    <xf numFmtId="0" fontId="9" fillId="0" borderId="9" xfId="0" applyFont="1" applyBorder="1" applyAlignment="1">
      <alignment horizontal="center"/>
    </xf>
    <xf numFmtId="165" fontId="0" fillId="0" borderId="0" xfId="1" applyNumberFormat="1" applyFont="1" applyBorder="1" applyAlignment="1">
      <alignment horizontal="center"/>
    </xf>
    <xf numFmtId="165" fontId="0" fillId="0" borderId="9" xfId="1" applyNumberFormat="1" applyFont="1" applyBorder="1" applyAlignment="1">
      <alignment horizontal="center"/>
    </xf>
    <xf numFmtId="174" fontId="0" fillId="0" borderId="9" xfId="0" applyNumberFormat="1" applyBorder="1" applyAlignment="1">
      <alignment horizontal="center"/>
    </xf>
    <xf numFmtId="165" fontId="9" fillId="0" borderId="0" xfId="1" applyNumberFormat="1" applyFont="1" applyBorder="1" applyAlignment="1">
      <alignment horizontal="center"/>
    </xf>
    <xf numFmtId="165" fontId="9" fillId="0" borderId="9" xfId="1" applyNumberFormat="1" applyFont="1" applyBorder="1" applyAlignment="1">
      <alignment horizontal="center"/>
    </xf>
    <xf numFmtId="165" fontId="0" fillId="0" borderId="0" xfId="0" applyNumberFormat="1" applyAlignment="1">
      <alignment horizontal="center"/>
    </xf>
    <xf numFmtId="165" fontId="0" fillId="0" borderId="9" xfId="0" applyNumberFormat="1" applyBorder="1" applyAlignment="1">
      <alignment horizontal="center"/>
    </xf>
    <xf numFmtId="43" fontId="0" fillId="0" borderId="9" xfId="1" applyFont="1" applyBorder="1" applyAlignment="1">
      <alignment horizontal="center"/>
    </xf>
    <xf numFmtId="0" fontId="9" fillId="0" borderId="10" xfId="0" applyFont="1" applyBorder="1"/>
    <xf numFmtId="0" fontId="0" fillId="0" borderId="11" xfId="0" applyBorder="1" applyAlignment="1">
      <alignment horizontal="center"/>
    </xf>
    <xf numFmtId="43" fontId="9" fillId="0" borderId="11" xfId="1" applyFont="1" applyBorder="1" applyAlignment="1">
      <alignment horizontal="center"/>
    </xf>
    <xf numFmtId="43" fontId="9" fillId="0" borderId="12" xfId="1" applyFont="1" applyBorder="1" applyAlignment="1">
      <alignment horizontal="center"/>
    </xf>
    <xf numFmtId="2" fontId="9" fillId="0" borderId="4" xfId="0" applyNumberFormat="1" applyFont="1" applyBorder="1" applyAlignment="1">
      <alignment horizontal="center"/>
    </xf>
    <xf numFmtId="43" fontId="9" fillId="0" borderId="4" xfId="0" applyNumberFormat="1" applyFont="1" applyBorder="1"/>
    <xf numFmtId="164" fontId="0" fillId="0" borderId="0" xfId="0" applyNumberFormat="1"/>
    <xf numFmtId="0" fontId="9" fillId="0" borderId="14" xfId="0" applyFont="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0" borderId="4" xfId="0" applyBorder="1" applyAlignment="1">
      <alignment horizontal="center" vertical="center" wrapText="1"/>
    </xf>
    <xf numFmtId="0" fontId="3" fillId="0" borderId="0" xfId="6" applyFont="1" applyAlignment="1">
      <alignment horizontal="left" vertical="center" wrapText="1"/>
    </xf>
    <xf numFmtId="0" fontId="12" fillId="0" borderId="0" xfId="7" applyFont="1" applyAlignment="1">
      <alignment horizontal="left" vertical="center" wrapText="1"/>
    </xf>
    <xf numFmtId="0" fontId="3" fillId="0" borderId="0" xfId="7" applyFont="1" applyAlignment="1">
      <alignment horizontal="left" vertical="center" wrapText="1"/>
    </xf>
    <xf numFmtId="0" fontId="3" fillId="0" borderId="0" xfId="6" applyFont="1" applyAlignment="1">
      <alignment horizontal="left" vertical="top" wrapText="1"/>
    </xf>
    <xf numFmtId="0" fontId="12" fillId="0" borderId="0" xfId="6" applyFont="1" applyAlignment="1">
      <alignment horizontal="left" vertical="center" wrapText="1"/>
    </xf>
  </cellXfs>
  <cellStyles count="8">
    <cellStyle name="ColumnHeaderNormal" xfId="4" xr:uid="{7F2F971A-6820-4929-918D-FCA605F540E3}"/>
    <cellStyle name="Comma" xfId="1" builtinId="3"/>
    <cellStyle name="Hyperlink" xfId="7" builtinId="8"/>
    <cellStyle name="Normal" xfId="0" builtinId="0"/>
    <cellStyle name="Normal 2" xfId="3" xr:uid="{BCEDCF4E-6A9B-43CD-88C5-381A180B1D16}"/>
    <cellStyle name="Normal 3" xfId="6" xr:uid="{768BE16D-3924-4FD3-9ABA-5A16282CE89B}"/>
    <cellStyle name="Percent" xfId="2" builtinId="5"/>
    <cellStyle name="TextNormal" xfId="5" xr:uid="{D61B647D-35CF-417E-BA54-536DE048C061}"/>
  </cellStyles>
  <dxfs count="2">
    <dxf>
      <fill>
        <patternFill>
          <bgColor theme="3" tint="0.89996032593768116"/>
        </patternFill>
      </fill>
    </dxf>
    <dxf>
      <fill>
        <patternFill>
          <bgColor theme="3" tint="0.89996032593768116"/>
        </patternFill>
      </fill>
    </dxf>
  </dxfs>
  <tableStyles count="0" defaultTableStyle="TableStyleMedium2" defaultPivotStyle="PivotStyleLight16"/>
  <colors>
    <mruColors>
      <color rgb="FF4D9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'Excess Returns and Beta'!$BX$64</c:f>
              <c:strCache>
                <c:ptCount val="1"/>
                <c:pt idx="0">
                  <c:v>JNJ</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5738745255268288"/>
                  <c:y val="-0.35010715403693804"/>
                </c:manualLayout>
              </c:layout>
              <c:numFmt formatCode="General" sourceLinked="0"/>
              <c:spPr>
                <a:solidFill>
                  <a:srgbClr val="FFFF00"/>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'Excess Returns and Beta'!$C$65:$C$124</c:f>
              <c:numCache>
                <c:formatCode>0.00%</c:formatCode>
                <c:ptCount val="60"/>
                <c:pt idx="0">
                  <c:v>-0.12668973511022014</c:v>
                </c:pt>
                <c:pt idx="1">
                  <c:v>0.12717645977958089</c:v>
                </c:pt>
                <c:pt idx="2">
                  <c:v>4.7816710710697929E-2</c:v>
                </c:pt>
                <c:pt idx="3">
                  <c:v>1.7760594009069711E-2</c:v>
                </c:pt>
                <c:pt idx="4">
                  <c:v>5.8782745903759759E-2</c:v>
                </c:pt>
                <c:pt idx="5">
                  <c:v>6.9796714935401294E-2</c:v>
                </c:pt>
                <c:pt idx="6">
                  <c:v>-3.7179343357689909E-2</c:v>
                </c:pt>
                <c:pt idx="7">
                  <c:v>-2.5042992077751399E-2</c:v>
                </c:pt>
                <c:pt idx="8">
                  <c:v>0.10888649463833196</c:v>
                </c:pt>
                <c:pt idx="9">
                  <c:v>3.7030246176686266E-2</c:v>
                </c:pt>
                <c:pt idx="10">
                  <c:v>-1.0190495727583571E-2</c:v>
                </c:pt>
                <c:pt idx="11">
                  <c:v>2.7915181947900106E-2</c:v>
                </c:pt>
                <c:pt idx="12">
                  <c:v>4.5513357330943867E-2</c:v>
                </c:pt>
                <c:pt idx="13">
                  <c:v>5.2910546230172661E-2</c:v>
                </c:pt>
                <c:pt idx="14">
                  <c:v>6.6756697224009676E-3</c:v>
                </c:pt>
                <c:pt idx="15">
                  <c:v>2.2691828709742068E-2</c:v>
                </c:pt>
                <c:pt idx="16">
                  <c:v>2.4520876081216114E-2</c:v>
                </c:pt>
                <c:pt idx="17">
                  <c:v>2.9869749332129603E-2</c:v>
                </c:pt>
                <c:pt idx="18">
                  <c:v>-4.6685072767290614E-2</c:v>
                </c:pt>
                <c:pt idx="19">
                  <c:v>7.0273177469340364E-2</c:v>
                </c:pt>
                <c:pt idx="20">
                  <c:v>-7.8155318125023854E-3</c:v>
                </c:pt>
                <c:pt idx="21">
                  <c:v>4.628842196021532E-2</c:v>
                </c:pt>
                <c:pt idx="22">
                  <c:v>-5.2741390128007382E-2</c:v>
                </c:pt>
                <c:pt idx="23">
                  <c:v>-2.929882150228369E-2</c:v>
                </c:pt>
                <c:pt idx="24">
                  <c:v>3.710201123854584E-2</c:v>
                </c:pt>
                <c:pt idx="25">
                  <c:v>-8.7660699489546912E-2</c:v>
                </c:pt>
                <c:pt idx="26">
                  <c:v>1.9295399263203894E-3</c:v>
                </c:pt>
                <c:pt idx="27">
                  <c:v>-8.3249302319187146E-2</c:v>
                </c:pt>
                <c:pt idx="28">
                  <c:v>9.1728137158472167E-2</c:v>
                </c:pt>
                <c:pt idx="29">
                  <c:v>-4.2736435911788113E-2</c:v>
                </c:pt>
                <c:pt idx="30">
                  <c:v>-9.4477534016965903E-2</c:v>
                </c:pt>
                <c:pt idx="31">
                  <c:v>7.9686033686853008E-2</c:v>
                </c:pt>
                <c:pt idx="32">
                  <c:v>5.2444963963366627E-2</c:v>
                </c:pt>
                <c:pt idx="33">
                  <c:v>-6.1206295593505877E-2</c:v>
                </c:pt>
                <c:pt idx="34">
                  <c:v>6.0044200791607771E-2</c:v>
                </c:pt>
                <c:pt idx="35">
                  <c:v>-2.8599455963258417E-2</c:v>
                </c:pt>
                <c:pt idx="36">
                  <c:v>3.3130488291521543E-2</c:v>
                </c:pt>
                <c:pt idx="37">
                  <c:v>1.2345249650641547E-2</c:v>
                </c:pt>
                <c:pt idx="38">
                  <c:v>8.6286631005805204E-4</c:v>
                </c:pt>
                <c:pt idx="39">
                  <c:v>6.0213980116390786E-2</c:v>
                </c:pt>
                <c:pt idx="40">
                  <c:v>2.8876695826464134E-2</c:v>
                </c:pt>
                <c:pt idx="41">
                  <c:v>-2.1215180619770461E-2</c:v>
                </c:pt>
                <c:pt idx="42">
                  <c:v>-5.1379574449855525E-2</c:v>
                </c:pt>
                <c:pt idx="43">
                  <c:v>-2.6020895171933511E-2</c:v>
                </c:pt>
                <c:pt idx="44">
                  <c:v>8.6665845944927877E-2</c:v>
                </c:pt>
                <c:pt idx="45">
                  <c:v>4.1383994331414486E-2</c:v>
                </c:pt>
                <c:pt idx="46">
                  <c:v>1.1658250913204601E-2</c:v>
                </c:pt>
                <c:pt idx="47">
                  <c:v>4.7742065872084183E-2</c:v>
                </c:pt>
                <c:pt idx="48">
                  <c:v>2.8622290979659182E-2</c:v>
                </c:pt>
                <c:pt idx="49">
                  <c:v>-4.4637582218316707E-2</c:v>
                </c:pt>
                <c:pt idx="50">
                  <c:v>4.6012561736342272E-2</c:v>
                </c:pt>
                <c:pt idx="51">
                  <c:v>3.1291647003876211E-2</c:v>
                </c:pt>
                <c:pt idx="52">
                  <c:v>7.6000355434144885E-3</c:v>
                </c:pt>
                <c:pt idx="53">
                  <c:v>1.8746390761422264E-2</c:v>
                </c:pt>
                <c:pt idx="54">
                  <c:v>1.6788305930405697E-2</c:v>
                </c:pt>
                <c:pt idx="55">
                  <c:v>-1.2873793584445514E-2</c:v>
                </c:pt>
                <c:pt idx="56">
                  <c:v>5.5932881365720277E-2</c:v>
                </c:pt>
                <c:pt idx="57">
                  <c:v>-2.8122780403430414E-2</c:v>
                </c:pt>
                <c:pt idx="58">
                  <c:v>2.3357062851425029E-2</c:v>
                </c:pt>
                <c:pt idx="59">
                  <c:v>-1.5929555695107459E-2</c:v>
                </c:pt>
              </c:numCache>
            </c:numRef>
          </c:xVal>
          <c:yVal>
            <c:numRef>
              <c:f>'Excess Returns and Beta'!$BX$65:$BX$124</c:f>
              <c:numCache>
                <c:formatCode>0.00%</c:formatCode>
                <c:ptCount val="60"/>
                <c:pt idx="0">
                  <c:v>-2.6958163769220892E-2</c:v>
                </c:pt>
                <c:pt idx="1">
                  <c:v>0.14440058755663948</c:v>
                </c:pt>
                <c:pt idx="2">
                  <c:v>-1.4907459933323213E-3</c:v>
                </c:pt>
                <c:pt idx="3">
                  <c:v>-5.4587913565168011E-2</c:v>
                </c:pt>
                <c:pt idx="4">
                  <c:v>3.6368825613145139E-2</c:v>
                </c:pt>
                <c:pt idx="5">
                  <c:v>5.9470548900419702E-2</c:v>
                </c:pt>
                <c:pt idx="6">
                  <c:v>-2.9309855769430126E-2</c:v>
                </c:pt>
                <c:pt idx="7">
                  <c:v>-7.9166334490913037E-2</c:v>
                </c:pt>
                <c:pt idx="8">
                  <c:v>6.2727972373431196E-2</c:v>
                </c:pt>
                <c:pt idx="9">
                  <c:v>8.7744494091510861E-2</c:v>
                </c:pt>
                <c:pt idx="10">
                  <c:v>3.6535805963649803E-2</c:v>
                </c:pt>
                <c:pt idx="11">
                  <c:v>-2.2456696202623364E-2</c:v>
                </c:pt>
                <c:pt idx="12">
                  <c:v>3.7278628675853076E-2</c:v>
                </c:pt>
                <c:pt idx="13">
                  <c:v>-9.8573808348851877E-3</c:v>
                </c:pt>
                <c:pt idx="14">
                  <c:v>4.6640742894021536E-2</c:v>
                </c:pt>
                <c:pt idx="15">
                  <c:v>-2.6428229850782081E-2</c:v>
                </c:pt>
                <c:pt idx="16">
                  <c:v>4.5391897811789317E-2</c:v>
                </c:pt>
                <c:pt idx="17">
                  <c:v>1.1510967095716534E-2</c:v>
                </c:pt>
                <c:pt idx="18">
                  <c:v>-6.7284826798613917E-2</c:v>
                </c:pt>
                <c:pt idx="19">
                  <c:v>8.6548567502024998E-3</c:v>
                </c:pt>
                <c:pt idx="20">
                  <c:v>-3.6096105144884587E-2</c:v>
                </c:pt>
                <c:pt idx="21">
                  <c:v>9.7095017915536763E-2</c:v>
                </c:pt>
                <c:pt idx="22">
                  <c:v>7.1315922402723766E-3</c:v>
                </c:pt>
                <c:pt idx="23">
                  <c:v>-3.8391878705153704E-2</c:v>
                </c:pt>
                <c:pt idx="24">
                  <c:v>7.647393121638757E-2</c:v>
                </c:pt>
                <c:pt idx="25">
                  <c:v>1.833312249398367E-2</c:v>
                </c:pt>
                <c:pt idx="26">
                  <c:v>7.8349062137683624E-4</c:v>
                </c:pt>
                <c:pt idx="27">
                  <c:v>-1.2031246978084661E-2</c:v>
                </c:pt>
                <c:pt idx="28">
                  <c:v>-1.7203248001601553E-2</c:v>
                </c:pt>
                <c:pt idx="29">
                  <c:v>-7.1222751861252043E-2</c:v>
                </c:pt>
                <c:pt idx="30">
                  <c:v>1.04592459217816E-2</c:v>
                </c:pt>
                <c:pt idx="31">
                  <c:v>6.3358576937042832E-2</c:v>
                </c:pt>
                <c:pt idx="32">
                  <c:v>2.6588742634356063E-2</c:v>
                </c:pt>
                <c:pt idx="33">
                  <c:v>-1.121466382536862E-2</c:v>
                </c:pt>
                <c:pt idx="34">
                  <c:v>-7.7736988668494433E-2</c:v>
                </c:pt>
                <c:pt idx="35">
                  <c:v>-5.9020589925694256E-2</c:v>
                </c:pt>
                <c:pt idx="36">
                  <c:v>7.3587301084785412E-3</c:v>
                </c:pt>
                <c:pt idx="37">
                  <c:v>5.2499296577895205E-2</c:v>
                </c:pt>
                <c:pt idx="38">
                  <c:v>-4.9347177137096909E-2</c:v>
                </c:pt>
                <c:pt idx="39">
                  <c:v>6.2857546868562375E-2</c:v>
                </c:pt>
                <c:pt idx="40">
                  <c:v>8.2868954505270712E-3</c:v>
                </c:pt>
                <c:pt idx="41">
                  <c:v>-3.2974189793199771E-2</c:v>
                </c:pt>
                <c:pt idx="42">
                  <c:v>-4.0663917508587E-2</c:v>
                </c:pt>
                <c:pt idx="43">
                  <c:v>-5.1887912440761963E-2</c:v>
                </c:pt>
                <c:pt idx="44">
                  <c:v>4.6202724317918387E-2</c:v>
                </c:pt>
                <c:pt idx="45">
                  <c:v>9.1706531024320394E-3</c:v>
                </c:pt>
                <c:pt idx="46">
                  <c:v>9.5125727510287916E-3</c:v>
                </c:pt>
                <c:pt idx="47">
                  <c:v>1.8882099934938164E-2</c:v>
                </c:pt>
                <c:pt idx="48">
                  <c:v>-2.3868226359904928E-2</c:v>
                </c:pt>
                <c:pt idx="49">
                  <c:v>-9.0290836616383263E-2</c:v>
                </c:pt>
                <c:pt idx="50">
                  <c:v>1.8133968080162211E-2</c:v>
                </c:pt>
                <c:pt idx="51">
                  <c:v>-7.4708057220743695E-3</c:v>
                </c:pt>
                <c:pt idx="52">
                  <c:v>7.5471834923601211E-2</c:v>
                </c:pt>
                <c:pt idx="53">
                  <c:v>5.4121073116045082E-2</c:v>
                </c:pt>
                <c:pt idx="54">
                  <c:v>-2.7131610995665193E-2</c:v>
                </c:pt>
                <c:pt idx="55">
                  <c:v>-1.752571563101446E-2</c:v>
                </c:pt>
                <c:pt idx="56">
                  <c:v>-2.6257839075269462E-2</c:v>
                </c:pt>
                <c:pt idx="57">
                  <c:v>-7.1051383336747986E-2</c:v>
                </c:pt>
                <c:pt idx="58">
                  <c:v>4.8568660587679606E-2</c:v>
                </c:pt>
                <c:pt idx="59">
                  <c:v>9.002998587418376E-2</c:v>
                </c:pt>
              </c:numCache>
            </c:numRef>
          </c:yVal>
          <c:smooth val="0"/>
          <c:extLst>
            <c:ext xmlns:c16="http://schemas.microsoft.com/office/drawing/2014/chart" uri="{C3380CC4-5D6E-409C-BE32-E72D297353CC}">
              <c16:uniqueId val="{00000001-296D-49A5-ABD6-3B36A195E395}"/>
            </c:ext>
          </c:extLst>
        </c:ser>
        <c:dLbls>
          <c:showLegendKey val="0"/>
          <c:showVal val="0"/>
          <c:showCatName val="0"/>
          <c:showSerName val="0"/>
          <c:showPercent val="0"/>
          <c:showBubbleSize val="0"/>
        </c:dLbls>
        <c:axId val="853419504"/>
        <c:axId val="853419024"/>
      </c:scatterChart>
      <c:valAx>
        <c:axId val="853419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SPY</a:t>
                </a:r>
              </a:p>
            </c:rich>
          </c:tx>
          <c:layout>
            <c:manualLayout>
              <c:xMode val="edge"/>
              <c:yMode val="edge"/>
              <c:x val="0.85695472440944875"/>
              <c:y val="0.471272965879265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024"/>
        <c:crosses val="autoZero"/>
        <c:crossBetween val="midCat"/>
      </c:valAx>
      <c:valAx>
        <c:axId val="85341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'Excess Returns and Beta'!$CJ$64</c:f>
              <c:strCache>
                <c:ptCount val="1"/>
                <c:pt idx="0">
                  <c:v>MRK</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4897086683062255"/>
                  <c:y val="-0.34613643478051481"/>
                </c:manualLayout>
              </c:layout>
              <c:numFmt formatCode="General" sourceLinked="0"/>
              <c:spPr>
                <a:solidFill>
                  <a:srgbClr val="FFFF00"/>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'Excess Returns and Beta'!$C$65:$C$124</c:f>
              <c:numCache>
                <c:formatCode>0.00%</c:formatCode>
                <c:ptCount val="60"/>
                <c:pt idx="0">
                  <c:v>-0.12668973511022014</c:v>
                </c:pt>
                <c:pt idx="1">
                  <c:v>0.12717645977958089</c:v>
                </c:pt>
                <c:pt idx="2">
                  <c:v>4.7816710710697929E-2</c:v>
                </c:pt>
                <c:pt idx="3">
                  <c:v>1.7760594009069711E-2</c:v>
                </c:pt>
                <c:pt idx="4">
                  <c:v>5.8782745903759759E-2</c:v>
                </c:pt>
                <c:pt idx="5">
                  <c:v>6.9796714935401294E-2</c:v>
                </c:pt>
                <c:pt idx="6">
                  <c:v>-3.7179343357689909E-2</c:v>
                </c:pt>
                <c:pt idx="7">
                  <c:v>-2.5042992077751399E-2</c:v>
                </c:pt>
                <c:pt idx="8">
                  <c:v>0.10888649463833196</c:v>
                </c:pt>
                <c:pt idx="9">
                  <c:v>3.7030246176686266E-2</c:v>
                </c:pt>
                <c:pt idx="10">
                  <c:v>-1.0190495727583571E-2</c:v>
                </c:pt>
                <c:pt idx="11">
                  <c:v>2.7915181947900106E-2</c:v>
                </c:pt>
                <c:pt idx="12">
                  <c:v>4.5513357330943867E-2</c:v>
                </c:pt>
                <c:pt idx="13">
                  <c:v>5.2910546230172661E-2</c:v>
                </c:pt>
                <c:pt idx="14">
                  <c:v>6.6756697224009676E-3</c:v>
                </c:pt>
                <c:pt idx="15">
                  <c:v>2.2691828709742068E-2</c:v>
                </c:pt>
                <c:pt idx="16">
                  <c:v>2.4520876081216114E-2</c:v>
                </c:pt>
                <c:pt idx="17">
                  <c:v>2.9869749332129603E-2</c:v>
                </c:pt>
                <c:pt idx="18">
                  <c:v>-4.6685072767290614E-2</c:v>
                </c:pt>
                <c:pt idx="19">
                  <c:v>7.0273177469340364E-2</c:v>
                </c:pt>
                <c:pt idx="20">
                  <c:v>-7.8155318125023854E-3</c:v>
                </c:pt>
                <c:pt idx="21">
                  <c:v>4.628842196021532E-2</c:v>
                </c:pt>
                <c:pt idx="22">
                  <c:v>-5.2741390128007382E-2</c:v>
                </c:pt>
                <c:pt idx="23">
                  <c:v>-2.929882150228369E-2</c:v>
                </c:pt>
                <c:pt idx="24">
                  <c:v>3.710201123854584E-2</c:v>
                </c:pt>
                <c:pt idx="25">
                  <c:v>-8.7660699489546912E-2</c:v>
                </c:pt>
                <c:pt idx="26">
                  <c:v>1.9295399263203894E-3</c:v>
                </c:pt>
                <c:pt idx="27">
                  <c:v>-8.3249302319187146E-2</c:v>
                </c:pt>
                <c:pt idx="28">
                  <c:v>9.1728137158472167E-2</c:v>
                </c:pt>
                <c:pt idx="29">
                  <c:v>-4.2736435911788113E-2</c:v>
                </c:pt>
                <c:pt idx="30">
                  <c:v>-9.4477534016965903E-2</c:v>
                </c:pt>
                <c:pt idx="31">
                  <c:v>7.9686033686853008E-2</c:v>
                </c:pt>
                <c:pt idx="32">
                  <c:v>5.2444963963366627E-2</c:v>
                </c:pt>
                <c:pt idx="33">
                  <c:v>-6.1206295593505877E-2</c:v>
                </c:pt>
                <c:pt idx="34">
                  <c:v>6.0044200791607771E-2</c:v>
                </c:pt>
                <c:pt idx="35">
                  <c:v>-2.8599455963258417E-2</c:v>
                </c:pt>
                <c:pt idx="36">
                  <c:v>3.3130488291521543E-2</c:v>
                </c:pt>
                <c:pt idx="37">
                  <c:v>1.2345249650641547E-2</c:v>
                </c:pt>
                <c:pt idx="38">
                  <c:v>8.6286631005805204E-4</c:v>
                </c:pt>
                <c:pt idx="39">
                  <c:v>6.0213980116390786E-2</c:v>
                </c:pt>
                <c:pt idx="40">
                  <c:v>2.8876695826464134E-2</c:v>
                </c:pt>
                <c:pt idx="41">
                  <c:v>-2.1215180619770461E-2</c:v>
                </c:pt>
                <c:pt idx="42">
                  <c:v>-5.1379574449855525E-2</c:v>
                </c:pt>
                <c:pt idx="43">
                  <c:v>-2.6020895171933511E-2</c:v>
                </c:pt>
                <c:pt idx="44">
                  <c:v>8.6665845944927877E-2</c:v>
                </c:pt>
                <c:pt idx="45">
                  <c:v>4.1383994331414486E-2</c:v>
                </c:pt>
                <c:pt idx="46">
                  <c:v>1.1658250913204601E-2</c:v>
                </c:pt>
                <c:pt idx="47">
                  <c:v>4.7742065872084183E-2</c:v>
                </c:pt>
                <c:pt idx="48">
                  <c:v>2.8622290979659182E-2</c:v>
                </c:pt>
                <c:pt idx="49">
                  <c:v>-4.4637582218316707E-2</c:v>
                </c:pt>
                <c:pt idx="50">
                  <c:v>4.6012561736342272E-2</c:v>
                </c:pt>
                <c:pt idx="51">
                  <c:v>3.1291647003876211E-2</c:v>
                </c:pt>
                <c:pt idx="52">
                  <c:v>7.6000355434144885E-3</c:v>
                </c:pt>
                <c:pt idx="53">
                  <c:v>1.8746390761422264E-2</c:v>
                </c:pt>
                <c:pt idx="54">
                  <c:v>1.6788305930405697E-2</c:v>
                </c:pt>
                <c:pt idx="55">
                  <c:v>-1.2873793584445514E-2</c:v>
                </c:pt>
                <c:pt idx="56">
                  <c:v>5.5932881365720277E-2</c:v>
                </c:pt>
                <c:pt idx="57">
                  <c:v>-2.8122780403430414E-2</c:v>
                </c:pt>
                <c:pt idx="58">
                  <c:v>2.3357062851425029E-2</c:v>
                </c:pt>
                <c:pt idx="59">
                  <c:v>-1.5929555695107459E-2</c:v>
                </c:pt>
              </c:numCache>
            </c:numRef>
          </c:xVal>
          <c:yVal>
            <c:numRef>
              <c:f>'Excess Returns and Beta'!$CJ$65:$CJ$124</c:f>
              <c:numCache>
                <c:formatCode>0.00%</c:formatCode>
                <c:ptCount val="60"/>
                <c:pt idx="0">
                  <c:v>1.0903688493245857E-2</c:v>
                </c:pt>
                <c:pt idx="1">
                  <c:v>3.1385397159076844E-2</c:v>
                </c:pt>
                <c:pt idx="2">
                  <c:v>1.7565354617845589E-2</c:v>
                </c:pt>
                <c:pt idx="3">
                  <c:v>-3.433744601910782E-2</c:v>
                </c:pt>
                <c:pt idx="4">
                  <c:v>3.7520334496176311E-2</c:v>
                </c:pt>
                <c:pt idx="5">
                  <c:v>6.2687631001926869E-2</c:v>
                </c:pt>
                <c:pt idx="6">
                  <c:v>-1.9938135544501967E-2</c:v>
                </c:pt>
                <c:pt idx="7">
                  <c:v>-9.3419396353091599E-2</c:v>
                </c:pt>
                <c:pt idx="8">
                  <c:v>6.8984535728299545E-2</c:v>
                </c:pt>
                <c:pt idx="9">
                  <c:v>2.5737538840419075E-2</c:v>
                </c:pt>
                <c:pt idx="10">
                  <c:v>-5.782422090407513E-2</c:v>
                </c:pt>
                <c:pt idx="11">
                  <c:v>-5.7629435020159492E-2</c:v>
                </c:pt>
                <c:pt idx="12">
                  <c:v>7.091144935286664E-2</c:v>
                </c:pt>
                <c:pt idx="13">
                  <c:v>-3.3597080569767623E-2</c:v>
                </c:pt>
                <c:pt idx="14">
                  <c:v>1.8766492299348795E-2</c:v>
                </c:pt>
                <c:pt idx="15">
                  <c:v>8.3433335556489463E-2</c:v>
                </c:pt>
                <c:pt idx="16">
                  <c:v>-1.1463512141193675E-2</c:v>
                </c:pt>
                <c:pt idx="17">
                  <c:v>-7.4351434536205074E-3</c:v>
                </c:pt>
                <c:pt idx="18">
                  <c:v>-6.7025214512309583E-3</c:v>
                </c:pt>
                <c:pt idx="19">
                  <c:v>0.17238952928631024</c:v>
                </c:pt>
                <c:pt idx="20">
                  <c:v>-0.149013340035309</c:v>
                </c:pt>
                <c:pt idx="21">
                  <c:v>3.266893807812532E-2</c:v>
                </c:pt>
                <c:pt idx="22">
                  <c:v>6.3153306357486283E-2</c:v>
                </c:pt>
                <c:pt idx="23">
                  <c:v>-5.9920100818878219E-2</c:v>
                </c:pt>
                <c:pt idx="24">
                  <c:v>8.0479858648009994E-2</c:v>
                </c:pt>
                <c:pt idx="25">
                  <c:v>8.1035814288895947E-2</c:v>
                </c:pt>
                <c:pt idx="26">
                  <c:v>3.733115933612674E-2</c:v>
                </c:pt>
                <c:pt idx="27">
                  <c:v>-2.035654001869891E-3</c:v>
                </c:pt>
                <c:pt idx="28">
                  <c:v>-2.0432233917181745E-2</c:v>
                </c:pt>
                <c:pt idx="29">
                  <c:v>-4.6483279867379552E-2</c:v>
                </c:pt>
                <c:pt idx="30">
                  <c:v>1.484922047903536E-2</c:v>
                </c:pt>
                <c:pt idx="31">
                  <c:v>0.17351401884173231</c:v>
                </c:pt>
                <c:pt idx="32">
                  <c:v>8.4996198984317983E-2</c:v>
                </c:pt>
                <c:pt idx="33">
                  <c:v>1.0500540750073782E-2</c:v>
                </c:pt>
                <c:pt idx="34">
                  <c:v>-3.4749523651593006E-2</c:v>
                </c:pt>
                <c:pt idx="35">
                  <c:v>-1.4349306194694876E-2</c:v>
                </c:pt>
                <c:pt idx="36">
                  <c:v>4.2512558336111894E-3</c:v>
                </c:pt>
                <c:pt idx="37">
                  <c:v>8.171595498035189E-2</c:v>
                </c:pt>
                <c:pt idx="38">
                  <c:v>-4.7574199974802174E-2</c:v>
                </c:pt>
                <c:pt idx="39">
                  <c:v>4.7525911384007635E-2</c:v>
                </c:pt>
                <c:pt idx="40">
                  <c:v>-7.9599241560512901E-2</c:v>
                </c:pt>
                <c:pt idx="41">
                  <c:v>1.6883918236238141E-2</c:v>
                </c:pt>
                <c:pt idx="42">
                  <c:v>-5.2946423985958509E-2</c:v>
                </c:pt>
                <c:pt idx="43">
                  <c:v>-6.7410729126768931E-3</c:v>
                </c:pt>
                <c:pt idx="44">
                  <c:v>-6.8202942877571004E-3</c:v>
                </c:pt>
                <c:pt idx="45">
                  <c:v>6.7275375918715463E-2</c:v>
                </c:pt>
                <c:pt idx="46">
                  <c:v>0.10360190887514072</c:v>
                </c:pt>
                <c:pt idx="47">
                  <c:v>4.8296190044287986E-2</c:v>
                </c:pt>
                <c:pt idx="48">
                  <c:v>4.0279462420465213E-2</c:v>
                </c:pt>
                <c:pt idx="49">
                  <c:v>-2.5007647207528461E-2</c:v>
                </c:pt>
                <c:pt idx="50">
                  <c:v>-3.3045134781525598E-2</c:v>
                </c:pt>
                <c:pt idx="51">
                  <c:v>-1.1897882582478592E-2</c:v>
                </c:pt>
                <c:pt idx="52">
                  <c:v>-9.0696556611384094E-2</c:v>
                </c:pt>
                <c:pt idx="53">
                  <c:v>4.2406128744313591E-2</c:v>
                </c:pt>
                <c:pt idx="54">
                  <c:v>-3.9245340782640192E-2</c:v>
                </c:pt>
                <c:pt idx="55">
                  <c:v>-0.10292899115518717</c:v>
                </c:pt>
                <c:pt idx="56">
                  <c:v>-1.0346167301060751E-2</c:v>
                </c:pt>
                <c:pt idx="57">
                  <c:v>-1.735208247153186E-2</c:v>
                </c:pt>
                <c:pt idx="58">
                  <c:v>-1.0133722969053571E-2</c:v>
                </c:pt>
                <c:pt idx="59">
                  <c:v>-6.9718915146496974E-2</c:v>
                </c:pt>
              </c:numCache>
            </c:numRef>
          </c:yVal>
          <c:smooth val="0"/>
          <c:extLst>
            <c:ext xmlns:c16="http://schemas.microsoft.com/office/drawing/2014/chart" uri="{C3380CC4-5D6E-409C-BE32-E72D297353CC}">
              <c16:uniqueId val="{00000001-9BD4-425B-8447-4F779AA366CA}"/>
            </c:ext>
          </c:extLst>
        </c:ser>
        <c:dLbls>
          <c:showLegendKey val="0"/>
          <c:showVal val="0"/>
          <c:showCatName val="0"/>
          <c:showSerName val="0"/>
          <c:showPercent val="0"/>
          <c:showBubbleSize val="0"/>
        </c:dLbls>
        <c:axId val="853419504"/>
        <c:axId val="853419024"/>
      </c:scatterChart>
      <c:valAx>
        <c:axId val="853419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SPY</a:t>
                </a:r>
              </a:p>
            </c:rich>
          </c:tx>
          <c:layout>
            <c:manualLayout>
              <c:xMode val="edge"/>
              <c:yMode val="edge"/>
              <c:x val="0.85695472440944875"/>
              <c:y val="0.471272965879265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024"/>
        <c:crosses val="autoZero"/>
        <c:crossBetween val="midCat"/>
      </c:valAx>
      <c:valAx>
        <c:axId val="85341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'Excess Returns and Beta'!$CZ$64</c:f>
              <c:strCache>
                <c:ptCount val="1"/>
                <c:pt idx="0">
                  <c:v>PFE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4688876488864094"/>
                  <c:y val="-0.37981988489970864"/>
                </c:manualLayout>
              </c:layout>
              <c:numFmt formatCode="General" sourceLinked="0"/>
              <c:spPr>
                <a:solidFill>
                  <a:srgbClr val="FFFF00"/>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'Excess Returns and Beta'!$C$65:$C$124</c:f>
              <c:numCache>
                <c:formatCode>0.00%</c:formatCode>
                <c:ptCount val="60"/>
                <c:pt idx="0">
                  <c:v>-0.12668973511022014</c:v>
                </c:pt>
                <c:pt idx="1">
                  <c:v>0.12717645977958089</c:v>
                </c:pt>
                <c:pt idx="2">
                  <c:v>4.7816710710697929E-2</c:v>
                </c:pt>
                <c:pt idx="3">
                  <c:v>1.7760594009069711E-2</c:v>
                </c:pt>
                <c:pt idx="4">
                  <c:v>5.8782745903759759E-2</c:v>
                </c:pt>
                <c:pt idx="5">
                  <c:v>6.9796714935401294E-2</c:v>
                </c:pt>
                <c:pt idx="6">
                  <c:v>-3.7179343357689909E-2</c:v>
                </c:pt>
                <c:pt idx="7">
                  <c:v>-2.5042992077751399E-2</c:v>
                </c:pt>
                <c:pt idx="8">
                  <c:v>0.10888649463833196</c:v>
                </c:pt>
                <c:pt idx="9">
                  <c:v>3.7030246176686266E-2</c:v>
                </c:pt>
                <c:pt idx="10">
                  <c:v>-1.0190495727583571E-2</c:v>
                </c:pt>
                <c:pt idx="11">
                  <c:v>2.7915181947900106E-2</c:v>
                </c:pt>
                <c:pt idx="12">
                  <c:v>4.5513357330943867E-2</c:v>
                </c:pt>
                <c:pt idx="13">
                  <c:v>5.2910546230172661E-2</c:v>
                </c:pt>
                <c:pt idx="14">
                  <c:v>6.6756697224009676E-3</c:v>
                </c:pt>
                <c:pt idx="15">
                  <c:v>2.2691828709742068E-2</c:v>
                </c:pt>
                <c:pt idx="16">
                  <c:v>2.4520876081216114E-2</c:v>
                </c:pt>
                <c:pt idx="17">
                  <c:v>2.9869749332129603E-2</c:v>
                </c:pt>
                <c:pt idx="18">
                  <c:v>-4.6685072767290614E-2</c:v>
                </c:pt>
                <c:pt idx="19">
                  <c:v>7.0273177469340364E-2</c:v>
                </c:pt>
                <c:pt idx="20">
                  <c:v>-7.8155318125023854E-3</c:v>
                </c:pt>
                <c:pt idx="21">
                  <c:v>4.628842196021532E-2</c:v>
                </c:pt>
                <c:pt idx="22">
                  <c:v>-5.2741390128007382E-2</c:v>
                </c:pt>
                <c:pt idx="23">
                  <c:v>-2.929882150228369E-2</c:v>
                </c:pt>
                <c:pt idx="24">
                  <c:v>3.710201123854584E-2</c:v>
                </c:pt>
                <c:pt idx="25">
                  <c:v>-8.7660699489546912E-2</c:v>
                </c:pt>
                <c:pt idx="26">
                  <c:v>1.9295399263203894E-3</c:v>
                </c:pt>
                <c:pt idx="27">
                  <c:v>-8.3249302319187146E-2</c:v>
                </c:pt>
                <c:pt idx="28">
                  <c:v>9.1728137158472167E-2</c:v>
                </c:pt>
                <c:pt idx="29">
                  <c:v>-4.2736435911788113E-2</c:v>
                </c:pt>
                <c:pt idx="30">
                  <c:v>-9.4477534016965903E-2</c:v>
                </c:pt>
                <c:pt idx="31">
                  <c:v>7.9686033686853008E-2</c:v>
                </c:pt>
                <c:pt idx="32">
                  <c:v>5.2444963963366627E-2</c:v>
                </c:pt>
                <c:pt idx="33">
                  <c:v>-6.1206295593505877E-2</c:v>
                </c:pt>
                <c:pt idx="34">
                  <c:v>6.0044200791607771E-2</c:v>
                </c:pt>
                <c:pt idx="35">
                  <c:v>-2.8599455963258417E-2</c:v>
                </c:pt>
                <c:pt idx="36">
                  <c:v>3.3130488291521543E-2</c:v>
                </c:pt>
                <c:pt idx="37">
                  <c:v>1.2345249650641547E-2</c:v>
                </c:pt>
                <c:pt idx="38">
                  <c:v>8.6286631005805204E-4</c:v>
                </c:pt>
                <c:pt idx="39">
                  <c:v>6.0213980116390786E-2</c:v>
                </c:pt>
                <c:pt idx="40">
                  <c:v>2.8876695826464134E-2</c:v>
                </c:pt>
                <c:pt idx="41">
                  <c:v>-2.1215180619770461E-2</c:v>
                </c:pt>
                <c:pt idx="42">
                  <c:v>-5.1379574449855525E-2</c:v>
                </c:pt>
                <c:pt idx="43">
                  <c:v>-2.6020895171933511E-2</c:v>
                </c:pt>
                <c:pt idx="44">
                  <c:v>8.6665845944927877E-2</c:v>
                </c:pt>
                <c:pt idx="45">
                  <c:v>4.1383994331414486E-2</c:v>
                </c:pt>
                <c:pt idx="46">
                  <c:v>1.1658250913204601E-2</c:v>
                </c:pt>
                <c:pt idx="47">
                  <c:v>4.7742065872084183E-2</c:v>
                </c:pt>
                <c:pt idx="48">
                  <c:v>2.8622290979659182E-2</c:v>
                </c:pt>
                <c:pt idx="49">
                  <c:v>-4.4637582218316707E-2</c:v>
                </c:pt>
                <c:pt idx="50">
                  <c:v>4.6012561736342272E-2</c:v>
                </c:pt>
                <c:pt idx="51">
                  <c:v>3.1291647003876211E-2</c:v>
                </c:pt>
                <c:pt idx="52">
                  <c:v>7.6000355434144885E-3</c:v>
                </c:pt>
                <c:pt idx="53">
                  <c:v>1.8746390761422264E-2</c:v>
                </c:pt>
                <c:pt idx="54">
                  <c:v>1.6788305930405697E-2</c:v>
                </c:pt>
                <c:pt idx="55">
                  <c:v>-1.2873793584445514E-2</c:v>
                </c:pt>
                <c:pt idx="56">
                  <c:v>5.5932881365720277E-2</c:v>
                </c:pt>
                <c:pt idx="57">
                  <c:v>-2.8122780403430414E-2</c:v>
                </c:pt>
                <c:pt idx="58">
                  <c:v>2.3357062851425029E-2</c:v>
                </c:pt>
                <c:pt idx="59">
                  <c:v>-1.5929555695107459E-2</c:v>
                </c:pt>
              </c:numCache>
            </c:numRef>
          </c:xVal>
          <c:yVal>
            <c:numRef>
              <c:f>'Excess Returns and Beta'!$CZ$65:$CZ$124</c:f>
              <c:numCache>
                <c:formatCode>0.00%</c:formatCode>
                <c:ptCount val="60"/>
                <c:pt idx="0">
                  <c:v>-2.5386546698353381E-2</c:v>
                </c:pt>
                <c:pt idx="1">
                  <c:v>0.17544133573743528</c:v>
                </c:pt>
                <c:pt idx="2">
                  <c:v>5.9753053172795223E-3</c:v>
                </c:pt>
                <c:pt idx="3">
                  <c:v>-0.14375602889095671</c:v>
                </c:pt>
                <c:pt idx="4">
                  <c:v>0.18819155778799135</c:v>
                </c:pt>
                <c:pt idx="5">
                  <c:v>-1.7932637869925491E-2</c:v>
                </c:pt>
                <c:pt idx="6">
                  <c:v>-2.8622450849661748E-2</c:v>
                </c:pt>
                <c:pt idx="7">
                  <c:v>-3.3351838580655602E-2</c:v>
                </c:pt>
                <c:pt idx="8">
                  <c:v>0.15006198804969087</c:v>
                </c:pt>
                <c:pt idx="9">
                  <c:v>-3.9188207350445925E-2</c:v>
                </c:pt>
                <c:pt idx="10">
                  <c:v>-1.4116416869989551E-2</c:v>
                </c:pt>
                <c:pt idx="11">
                  <c:v>-6.7020462255831359E-2</c:v>
                </c:pt>
                <c:pt idx="12">
                  <c:v>8.1922783979701874E-2</c:v>
                </c:pt>
                <c:pt idx="13">
                  <c:v>6.6796220466195377E-2</c:v>
                </c:pt>
                <c:pt idx="14">
                  <c:v>1.2151575329435784E-2</c:v>
                </c:pt>
                <c:pt idx="15">
                  <c:v>1.1322033826196459E-2</c:v>
                </c:pt>
                <c:pt idx="16">
                  <c:v>0.103280668342457</c:v>
                </c:pt>
                <c:pt idx="17">
                  <c:v>7.6258190113287272E-2</c:v>
                </c:pt>
                <c:pt idx="18">
                  <c:v>-6.6529483745344842E-2</c:v>
                </c:pt>
                <c:pt idx="19">
                  <c:v>1.7081271303564623E-2</c:v>
                </c:pt>
                <c:pt idx="20">
                  <c:v>0.2395403203406905</c:v>
                </c:pt>
                <c:pt idx="21">
                  <c:v>9.9013205661984571E-2</c:v>
                </c:pt>
                <c:pt idx="22">
                  <c:v>-0.1010162164720546</c:v>
                </c:pt>
                <c:pt idx="23">
                  <c:v>-0.10891107145138779</c:v>
                </c:pt>
                <c:pt idx="24">
                  <c:v>0.10244283752711666</c:v>
                </c:pt>
                <c:pt idx="25">
                  <c:v>-5.2044522937478847E-2</c:v>
                </c:pt>
                <c:pt idx="26">
                  <c:v>8.9155962528185029E-2</c:v>
                </c:pt>
                <c:pt idx="27">
                  <c:v>-1.2279814498181831E-2</c:v>
                </c:pt>
                <c:pt idx="28">
                  <c:v>-2.9381462768785175E-2</c:v>
                </c:pt>
                <c:pt idx="29">
                  <c:v>-0.10646987432313894</c:v>
                </c:pt>
                <c:pt idx="30">
                  <c:v>-3.4561768161042727E-2</c:v>
                </c:pt>
                <c:pt idx="31">
                  <c:v>6.2168501471585369E-2</c:v>
                </c:pt>
                <c:pt idx="32">
                  <c:v>8.300945853539643E-2</c:v>
                </c:pt>
                <c:pt idx="33">
                  <c:v>1.8512685071296001E-2</c:v>
                </c:pt>
                <c:pt idx="34">
                  <c:v>-0.13303111993613123</c:v>
                </c:pt>
                <c:pt idx="35">
                  <c:v>-8.4753063916826243E-2</c:v>
                </c:pt>
                <c:pt idx="36">
                  <c:v>1.6754111398962213E-3</c:v>
                </c:pt>
                <c:pt idx="37">
                  <c:v>-5.0442967650582204E-2</c:v>
                </c:pt>
                <c:pt idx="38">
                  <c:v>-1.5459407280798202E-2</c:v>
                </c:pt>
                <c:pt idx="39">
                  <c:v>-3.9843877505773118E-2</c:v>
                </c:pt>
                <c:pt idx="40">
                  <c:v>-9.6259330974280966E-3</c:v>
                </c:pt>
                <c:pt idx="41">
                  <c:v>-2.3821230204629781E-2</c:v>
                </c:pt>
                <c:pt idx="42">
                  <c:v>-6.6450332774732779E-2</c:v>
                </c:pt>
                <c:pt idx="43">
                  <c:v>-8.2997848538608143E-2</c:v>
                </c:pt>
                <c:pt idx="44">
                  <c:v>6.1509840199425198E-3</c:v>
                </c:pt>
                <c:pt idx="45">
                  <c:v>-5.9415259969748502E-2</c:v>
                </c:pt>
                <c:pt idx="46">
                  <c:v>-4.9280404119084409E-2</c:v>
                </c:pt>
                <c:pt idx="47">
                  <c:v>-2.3648356124638226E-2</c:v>
                </c:pt>
                <c:pt idx="48">
                  <c:v>4.0703931147396011E-2</c:v>
                </c:pt>
                <c:pt idx="49">
                  <c:v>-8.1075927276931248E-2</c:v>
                </c:pt>
                <c:pt idx="50">
                  <c:v>0.13076373451912765</c:v>
                </c:pt>
                <c:pt idx="51">
                  <c:v>-2.7721294548988976E-2</c:v>
                </c:pt>
                <c:pt idx="52">
                  <c:v>0.10188551819274209</c:v>
                </c:pt>
                <c:pt idx="53">
                  <c:v>-5.4717338296328855E-2</c:v>
                </c:pt>
                <c:pt idx="54">
                  <c:v>-6.6338698634852422E-3</c:v>
                </c:pt>
                <c:pt idx="55">
                  <c:v>-2.6065698943712801E-2</c:v>
                </c:pt>
                <c:pt idx="56">
                  <c:v>-6.2995821085661263E-2</c:v>
                </c:pt>
                <c:pt idx="57">
                  <c:v>8.1856179993007282E-3</c:v>
                </c:pt>
                <c:pt idx="58">
                  <c:v>1.260043777607045E-2</c:v>
                </c:pt>
                <c:pt idx="59">
                  <c:v>-6.6283948313099481E-3</c:v>
                </c:pt>
              </c:numCache>
            </c:numRef>
          </c:yVal>
          <c:smooth val="0"/>
          <c:extLst>
            <c:ext xmlns:c16="http://schemas.microsoft.com/office/drawing/2014/chart" uri="{C3380CC4-5D6E-409C-BE32-E72D297353CC}">
              <c16:uniqueId val="{00000001-1920-4135-81F5-A1632CA66A57}"/>
            </c:ext>
          </c:extLst>
        </c:ser>
        <c:dLbls>
          <c:showLegendKey val="0"/>
          <c:showVal val="0"/>
          <c:showCatName val="0"/>
          <c:showSerName val="0"/>
          <c:showPercent val="0"/>
          <c:showBubbleSize val="0"/>
        </c:dLbls>
        <c:axId val="853419504"/>
        <c:axId val="853419024"/>
      </c:scatterChart>
      <c:valAx>
        <c:axId val="853419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SPY</a:t>
                </a:r>
              </a:p>
            </c:rich>
          </c:tx>
          <c:layout>
            <c:manualLayout>
              <c:xMode val="edge"/>
              <c:yMode val="edge"/>
              <c:x val="0.85695472440944875"/>
              <c:y val="0.471272965879265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024"/>
        <c:crosses val="autoZero"/>
        <c:crossBetween val="midCat"/>
      </c:valAx>
      <c:valAx>
        <c:axId val="85341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'Excess Returns and Beta'!$AB$64</c:f>
              <c:strCache>
                <c:ptCount val="1"/>
                <c:pt idx="0">
                  <c:v>BMY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4688876488864094"/>
                  <c:y val="-0.31114257506802473"/>
                </c:manualLayout>
              </c:layout>
              <c:numFmt formatCode="General" sourceLinked="0"/>
              <c:spPr>
                <a:solidFill>
                  <a:srgbClr val="FFFF00"/>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'Excess Returns and Beta'!$C$65:$C$124</c:f>
              <c:numCache>
                <c:formatCode>0.00%</c:formatCode>
                <c:ptCount val="60"/>
                <c:pt idx="0">
                  <c:v>-0.12668973511022014</c:v>
                </c:pt>
                <c:pt idx="1">
                  <c:v>0.12717645977958089</c:v>
                </c:pt>
                <c:pt idx="2">
                  <c:v>4.7816710710697929E-2</c:v>
                </c:pt>
                <c:pt idx="3">
                  <c:v>1.7760594009069711E-2</c:v>
                </c:pt>
                <c:pt idx="4">
                  <c:v>5.8782745903759759E-2</c:v>
                </c:pt>
                <c:pt idx="5">
                  <c:v>6.9796714935401294E-2</c:v>
                </c:pt>
                <c:pt idx="6">
                  <c:v>-3.7179343357689909E-2</c:v>
                </c:pt>
                <c:pt idx="7">
                  <c:v>-2.5042992077751399E-2</c:v>
                </c:pt>
                <c:pt idx="8">
                  <c:v>0.10888649463833196</c:v>
                </c:pt>
                <c:pt idx="9">
                  <c:v>3.7030246176686266E-2</c:v>
                </c:pt>
                <c:pt idx="10">
                  <c:v>-1.0190495727583571E-2</c:v>
                </c:pt>
                <c:pt idx="11">
                  <c:v>2.7915181947900106E-2</c:v>
                </c:pt>
                <c:pt idx="12">
                  <c:v>4.5513357330943867E-2</c:v>
                </c:pt>
                <c:pt idx="13">
                  <c:v>5.2910546230172661E-2</c:v>
                </c:pt>
                <c:pt idx="14">
                  <c:v>6.6756697224009676E-3</c:v>
                </c:pt>
                <c:pt idx="15">
                  <c:v>2.2691828709742068E-2</c:v>
                </c:pt>
                <c:pt idx="16">
                  <c:v>2.4520876081216114E-2</c:v>
                </c:pt>
                <c:pt idx="17">
                  <c:v>2.9869749332129603E-2</c:v>
                </c:pt>
                <c:pt idx="18">
                  <c:v>-4.6685072767290614E-2</c:v>
                </c:pt>
                <c:pt idx="19">
                  <c:v>7.0273177469340364E-2</c:v>
                </c:pt>
                <c:pt idx="20">
                  <c:v>-7.8155318125023854E-3</c:v>
                </c:pt>
                <c:pt idx="21">
                  <c:v>4.628842196021532E-2</c:v>
                </c:pt>
                <c:pt idx="22">
                  <c:v>-5.2741390128007382E-2</c:v>
                </c:pt>
                <c:pt idx="23">
                  <c:v>-2.929882150228369E-2</c:v>
                </c:pt>
                <c:pt idx="24">
                  <c:v>3.710201123854584E-2</c:v>
                </c:pt>
                <c:pt idx="25">
                  <c:v>-8.7660699489546912E-2</c:v>
                </c:pt>
                <c:pt idx="26">
                  <c:v>1.9295399263203894E-3</c:v>
                </c:pt>
                <c:pt idx="27">
                  <c:v>-8.3249302319187146E-2</c:v>
                </c:pt>
                <c:pt idx="28">
                  <c:v>9.1728137158472167E-2</c:v>
                </c:pt>
                <c:pt idx="29">
                  <c:v>-4.2736435911788113E-2</c:v>
                </c:pt>
                <c:pt idx="30">
                  <c:v>-9.4477534016965903E-2</c:v>
                </c:pt>
                <c:pt idx="31">
                  <c:v>7.9686033686853008E-2</c:v>
                </c:pt>
                <c:pt idx="32">
                  <c:v>5.2444963963366627E-2</c:v>
                </c:pt>
                <c:pt idx="33">
                  <c:v>-6.1206295593505877E-2</c:v>
                </c:pt>
                <c:pt idx="34">
                  <c:v>6.0044200791607771E-2</c:v>
                </c:pt>
                <c:pt idx="35">
                  <c:v>-2.8599455963258417E-2</c:v>
                </c:pt>
                <c:pt idx="36">
                  <c:v>3.3130488291521543E-2</c:v>
                </c:pt>
                <c:pt idx="37">
                  <c:v>1.2345249650641547E-2</c:v>
                </c:pt>
                <c:pt idx="38">
                  <c:v>8.6286631005805204E-4</c:v>
                </c:pt>
                <c:pt idx="39">
                  <c:v>6.0213980116390786E-2</c:v>
                </c:pt>
                <c:pt idx="40">
                  <c:v>2.8876695826464134E-2</c:v>
                </c:pt>
                <c:pt idx="41">
                  <c:v>-2.1215180619770461E-2</c:v>
                </c:pt>
                <c:pt idx="42">
                  <c:v>-5.1379574449855525E-2</c:v>
                </c:pt>
                <c:pt idx="43">
                  <c:v>-2.6020895171933511E-2</c:v>
                </c:pt>
                <c:pt idx="44">
                  <c:v>8.6665845944927877E-2</c:v>
                </c:pt>
                <c:pt idx="45">
                  <c:v>4.1383994331414486E-2</c:v>
                </c:pt>
                <c:pt idx="46">
                  <c:v>1.1658250913204601E-2</c:v>
                </c:pt>
                <c:pt idx="47">
                  <c:v>4.7742065872084183E-2</c:v>
                </c:pt>
                <c:pt idx="48">
                  <c:v>2.8622290979659182E-2</c:v>
                </c:pt>
                <c:pt idx="49">
                  <c:v>-4.4637582218316707E-2</c:v>
                </c:pt>
                <c:pt idx="50">
                  <c:v>4.6012561736342272E-2</c:v>
                </c:pt>
                <c:pt idx="51">
                  <c:v>3.1291647003876211E-2</c:v>
                </c:pt>
                <c:pt idx="52">
                  <c:v>7.6000355434144885E-3</c:v>
                </c:pt>
                <c:pt idx="53">
                  <c:v>1.8746390761422264E-2</c:v>
                </c:pt>
                <c:pt idx="54">
                  <c:v>1.6788305930405697E-2</c:v>
                </c:pt>
                <c:pt idx="55">
                  <c:v>-1.2873793584445514E-2</c:v>
                </c:pt>
                <c:pt idx="56">
                  <c:v>5.5932881365720277E-2</c:v>
                </c:pt>
                <c:pt idx="57">
                  <c:v>-2.8122780403430414E-2</c:v>
                </c:pt>
                <c:pt idx="58">
                  <c:v>2.3357062851425029E-2</c:v>
                </c:pt>
                <c:pt idx="59">
                  <c:v>-1.5929555695107459E-2</c:v>
                </c:pt>
              </c:numCache>
            </c:numRef>
          </c:xVal>
          <c:yVal>
            <c:numRef>
              <c:f>'Excess Returns and Beta'!$AB$65:$AB$124</c:f>
              <c:numCache>
                <c:formatCode>0.00%</c:formatCode>
                <c:ptCount val="60"/>
                <c:pt idx="0">
                  <c:v>-5.826258215651902E-2</c:v>
                </c:pt>
                <c:pt idx="1">
                  <c:v>0.10004373543383493</c:v>
                </c:pt>
                <c:pt idx="2">
                  <c:v>-1.775200937944332E-2</c:v>
                </c:pt>
                <c:pt idx="3">
                  <c:v>-1.540639921406883E-2</c:v>
                </c:pt>
                <c:pt idx="4">
                  <c:v>5.1015266589211627E-3</c:v>
                </c:pt>
                <c:pt idx="5">
                  <c:v>6.0346490487787063E-2</c:v>
                </c:pt>
                <c:pt idx="6">
                  <c:v>-3.0487173494944005E-2</c:v>
                </c:pt>
                <c:pt idx="7">
                  <c:v>-2.3337130356227639E-2</c:v>
                </c:pt>
                <c:pt idx="8">
                  <c:v>6.768840318566649E-2</c:v>
                </c:pt>
                <c:pt idx="9">
                  <c:v>1.8878418045735754E-3</c:v>
                </c:pt>
                <c:pt idx="10">
                  <c:v>-9.6722765496413121E-3</c:v>
                </c:pt>
                <c:pt idx="11">
                  <c:v>-1.519143263953082E-3</c:v>
                </c:pt>
                <c:pt idx="12">
                  <c:v>3.7448710868795754E-2</c:v>
                </c:pt>
                <c:pt idx="13">
                  <c:v>-1.124768067898407E-2</c:v>
                </c:pt>
                <c:pt idx="14">
                  <c:v>5.2978156794178832E-2</c:v>
                </c:pt>
                <c:pt idx="15">
                  <c:v>1.6956024149894389E-2</c:v>
                </c:pt>
                <c:pt idx="16">
                  <c:v>2.3300697774434335E-2</c:v>
                </c:pt>
                <c:pt idx="17">
                  <c:v>-1.4772286268847856E-2</c:v>
                </c:pt>
                <c:pt idx="18">
                  <c:v>-0.10779627456261484</c:v>
                </c:pt>
                <c:pt idx="19">
                  <c:v>-1.2904926059644547E-2</c:v>
                </c:pt>
                <c:pt idx="20">
                  <c:v>-8.1458991106741929E-2</c:v>
                </c:pt>
                <c:pt idx="21">
                  <c:v>0.16259676113189131</c:v>
                </c:pt>
                <c:pt idx="22">
                  <c:v>4.9877964942656172E-2</c:v>
                </c:pt>
                <c:pt idx="23">
                  <c:v>5.847197359371159E-2</c:v>
                </c:pt>
                <c:pt idx="24">
                  <c:v>7.0900634650108874E-2</c:v>
                </c:pt>
                <c:pt idx="25">
                  <c:v>3.0781413705158189E-2</c:v>
                </c:pt>
                <c:pt idx="26">
                  <c:v>2.0633627136799064E-3</c:v>
                </c:pt>
                <c:pt idx="27">
                  <c:v>2.692014097191953E-2</c:v>
                </c:pt>
                <c:pt idx="28">
                  <c:v>-4.2176817615183666E-2</c:v>
                </c:pt>
                <c:pt idx="29">
                  <c:v>-8.8273077656510712E-2</c:v>
                </c:pt>
                <c:pt idx="30">
                  <c:v>5.2530395934794472E-2</c:v>
                </c:pt>
                <c:pt idx="31">
                  <c:v>9.6534055562382148E-2</c:v>
                </c:pt>
                <c:pt idx="32">
                  <c:v>3.3125183582237032E-2</c:v>
                </c:pt>
                <c:pt idx="33">
                  <c:v>-0.10739124036154511</c:v>
                </c:pt>
                <c:pt idx="34">
                  <c:v>1.4888252838347382E-2</c:v>
                </c:pt>
                <c:pt idx="35">
                  <c:v>-5.4249499014945468E-2</c:v>
                </c:pt>
                <c:pt idx="36">
                  <c:v>1.0822106007852828E-3</c:v>
                </c:pt>
                <c:pt idx="37">
                  <c:v>-3.2514937818344802E-2</c:v>
                </c:pt>
                <c:pt idx="38">
                  <c:v>-3.8648727807683469E-2</c:v>
                </c:pt>
                <c:pt idx="39">
                  <c:v>-1.2204906656768433E-2</c:v>
                </c:pt>
                <c:pt idx="40">
                  <c:v>-2.2639653519238797E-2</c:v>
                </c:pt>
                <c:pt idx="41">
                  <c:v>-1.3647101699253983E-2</c:v>
                </c:pt>
                <c:pt idx="42">
                  <c:v>-6.2542452327581599E-2</c:v>
                </c:pt>
                <c:pt idx="43">
                  <c:v>-0.10750560179842152</c:v>
                </c:pt>
                <c:pt idx="44">
                  <c:v>-4.6403278925277958E-2</c:v>
                </c:pt>
                <c:pt idx="45">
                  <c:v>3.4807927503272003E-2</c:v>
                </c:pt>
                <c:pt idx="46">
                  <c:v>-4.0841116471816652E-2</c:v>
                </c:pt>
                <c:pt idx="47">
                  <c:v>3.4023263337628284E-2</c:v>
                </c:pt>
                <c:pt idx="48">
                  <c:v>6.4470288404555154E-2</c:v>
                </c:pt>
                <c:pt idx="49">
                  <c:v>-0.18460587627169811</c:v>
                </c:pt>
                <c:pt idx="50">
                  <c:v>-6.9429323030147483E-2</c:v>
                </c:pt>
                <c:pt idx="51">
                  <c:v>6.7143268737910339E-3</c:v>
                </c:pt>
                <c:pt idx="52">
                  <c:v>0.15801208195465688</c:v>
                </c:pt>
                <c:pt idx="53">
                  <c:v>4.5633411819520527E-2</c:v>
                </c:pt>
                <c:pt idx="54">
                  <c:v>3.16165514386062E-2</c:v>
                </c:pt>
                <c:pt idx="55">
                  <c:v>8.5923944178400102E-2</c:v>
                </c:pt>
                <c:pt idx="56">
                  <c:v>5.8160646460386545E-2</c:v>
                </c:pt>
                <c:pt idx="57">
                  <c:v>-4.8940917701143394E-2</c:v>
                </c:pt>
                <c:pt idx="58">
                  <c:v>5.018026456541369E-2</c:v>
                </c:pt>
                <c:pt idx="59">
                  <c:v>8.1308343643806714E-3</c:v>
                </c:pt>
              </c:numCache>
            </c:numRef>
          </c:yVal>
          <c:smooth val="0"/>
          <c:extLst>
            <c:ext xmlns:c16="http://schemas.microsoft.com/office/drawing/2014/chart" uri="{C3380CC4-5D6E-409C-BE32-E72D297353CC}">
              <c16:uniqueId val="{00000001-C4C6-4319-AE60-D1C5A18671C6}"/>
            </c:ext>
          </c:extLst>
        </c:ser>
        <c:dLbls>
          <c:showLegendKey val="0"/>
          <c:showVal val="0"/>
          <c:showCatName val="0"/>
          <c:showSerName val="0"/>
          <c:showPercent val="0"/>
          <c:showBubbleSize val="0"/>
        </c:dLbls>
        <c:axId val="853419504"/>
        <c:axId val="853419024"/>
      </c:scatterChart>
      <c:valAx>
        <c:axId val="853419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SPY</a:t>
                </a:r>
              </a:p>
            </c:rich>
          </c:tx>
          <c:layout>
            <c:manualLayout>
              <c:xMode val="edge"/>
              <c:yMode val="edge"/>
              <c:x val="0.85695472440944875"/>
              <c:y val="0.471272965879265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024"/>
        <c:crosses val="autoZero"/>
        <c:crossBetween val="midCat"/>
      </c:valAx>
      <c:valAx>
        <c:axId val="85341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'Excess Returns and Beta'!$EI$64:$EI$74</c:f>
              <c:strCache>
                <c:ptCount val="11"/>
                <c:pt idx="0">
                  <c:v>VTRS</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24390848781697563"/>
                  <c:y val="-0.35719569457487538"/>
                </c:manualLayout>
              </c:layout>
              <c:numFmt formatCode="General" sourceLinked="0"/>
              <c:spPr>
                <a:solidFill>
                  <a:srgbClr val="FFFF00"/>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'Excess Returns and Beta'!$C$75:$C$124</c:f>
              <c:numCache>
                <c:formatCode>0.00%</c:formatCode>
                <c:ptCount val="50"/>
                <c:pt idx="0">
                  <c:v>-1.0190495727583571E-2</c:v>
                </c:pt>
                <c:pt idx="1">
                  <c:v>2.7915181947900106E-2</c:v>
                </c:pt>
                <c:pt idx="2">
                  <c:v>4.5513357330943867E-2</c:v>
                </c:pt>
                <c:pt idx="3">
                  <c:v>5.2910546230172661E-2</c:v>
                </c:pt>
                <c:pt idx="4">
                  <c:v>6.6756697224009676E-3</c:v>
                </c:pt>
                <c:pt idx="5">
                  <c:v>2.2691828709742068E-2</c:v>
                </c:pt>
                <c:pt idx="6">
                  <c:v>2.4520876081216114E-2</c:v>
                </c:pt>
                <c:pt idx="7">
                  <c:v>2.9869749332129603E-2</c:v>
                </c:pt>
                <c:pt idx="8">
                  <c:v>-4.6685072767290614E-2</c:v>
                </c:pt>
                <c:pt idx="9">
                  <c:v>7.0273177469340364E-2</c:v>
                </c:pt>
                <c:pt idx="10">
                  <c:v>-7.8155318125023854E-3</c:v>
                </c:pt>
                <c:pt idx="11">
                  <c:v>4.628842196021532E-2</c:v>
                </c:pt>
                <c:pt idx="12">
                  <c:v>-5.2741390128007382E-2</c:v>
                </c:pt>
                <c:pt idx="13">
                  <c:v>-2.929882150228369E-2</c:v>
                </c:pt>
                <c:pt idx="14">
                  <c:v>3.710201123854584E-2</c:v>
                </c:pt>
                <c:pt idx="15">
                  <c:v>-8.7660699489546912E-2</c:v>
                </c:pt>
                <c:pt idx="16">
                  <c:v>1.9295399263203894E-3</c:v>
                </c:pt>
                <c:pt idx="17">
                  <c:v>-8.3249302319187146E-2</c:v>
                </c:pt>
                <c:pt idx="18">
                  <c:v>9.1728137158472167E-2</c:v>
                </c:pt>
                <c:pt idx="19">
                  <c:v>-4.2736435911788113E-2</c:v>
                </c:pt>
                <c:pt idx="20">
                  <c:v>-9.4477534016965903E-2</c:v>
                </c:pt>
                <c:pt idx="21">
                  <c:v>7.9686033686853008E-2</c:v>
                </c:pt>
                <c:pt idx="22">
                  <c:v>5.2444963963366627E-2</c:v>
                </c:pt>
                <c:pt idx="23">
                  <c:v>-6.1206295593505877E-2</c:v>
                </c:pt>
                <c:pt idx="24">
                  <c:v>6.0044200791607771E-2</c:v>
                </c:pt>
                <c:pt idx="25">
                  <c:v>-2.8599455963258417E-2</c:v>
                </c:pt>
                <c:pt idx="26">
                  <c:v>3.3130488291521543E-2</c:v>
                </c:pt>
                <c:pt idx="27">
                  <c:v>1.2345249650641547E-2</c:v>
                </c:pt>
                <c:pt idx="28">
                  <c:v>8.6286631005805204E-4</c:v>
                </c:pt>
                <c:pt idx="29">
                  <c:v>6.0213980116390786E-2</c:v>
                </c:pt>
                <c:pt idx="30">
                  <c:v>2.8876695826464134E-2</c:v>
                </c:pt>
                <c:pt idx="31">
                  <c:v>-2.1215180619770461E-2</c:v>
                </c:pt>
                <c:pt idx="32">
                  <c:v>-5.1379574449855525E-2</c:v>
                </c:pt>
                <c:pt idx="33">
                  <c:v>-2.6020895171933511E-2</c:v>
                </c:pt>
                <c:pt idx="34">
                  <c:v>8.6665845944927877E-2</c:v>
                </c:pt>
                <c:pt idx="35">
                  <c:v>4.1383994331414486E-2</c:v>
                </c:pt>
                <c:pt idx="36">
                  <c:v>1.1658250913204601E-2</c:v>
                </c:pt>
                <c:pt idx="37">
                  <c:v>4.7742065872084183E-2</c:v>
                </c:pt>
                <c:pt idx="38">
                  <c:v>2.8622290979659182E-2</c:v>
                </c:pt>
                <c:pt idx="39">
                  <c:v>-4.4637582218316707E-2</c:v>
                </c:pt>
                <c:pt idx="40">
                  <c:v>4.6012561736342272E-2</c:v>
                </c:pt>
                <c:pt idx="41">
                  <c:v>3.1291647003876211E-2</c:v>
                </c:pt>
                <c:pt idx="42">
                  <c:v>7.6000355434144885E-3</c:v>
                </c:pt>
                <c:pt idx="43">
                  <c:v>1.8746390761422264E-2</c:v>
                </c:pt>
                <c:pt idx="44">
                  <c:v>1.6788305930405697E-2</c:v>
                </c:pt>
                <c:pt idx="45">
                  <c:v>-1.2873793584445514E-2</c:v>
                </c:pt>
                <c:pt idx="46">
                  <c:v>5.5932881365720277E-2</c:v>
                </c:pt>
                <c:pt idx="47">
                  <c:v>-2.8122780403430414E-2</c:v>
                </c:pt>
                <c:pt idx="48">
                  <c:v>2.3357062851425029E-2</c:v>
                </c:pt>
                <c:pt idx="49">
                  <c:v>-1.5929555695107459E-2</c:v>
                </c:pt>
              </c:numCache>
            </c:numRef>
          </c:xVal>
          <c:yVal>
            <c:numRef>
              <c:f>'Excess Returns and Beta'!$EI$75:$EI$124</c:f>
              <c:numCache>
                <c:formatCode>0.00%</c:formatCode>
                <c:ptCount val="50"/>
                <c:pt idx="0">
                  <c:v>-9.3385923856973974E-2</c:v>
                </c:pt>
                <c:pt idx="1">
                  <c:v>-0.12584881736015394</c:v>
                </c:pt>
                <c:pt idx="2">
                  <c:v>-5.9145711919737838E-2</c:v>
                </c:pt>
                <c:pt idx="3">
                  <c:v>-4.7965435182528493E-2</c:v>
                </c:pt>
                <c:pt idx="4">
                  <c:v>0.15421623009372717</c:v>
                </c:pt>
                <c:pt idx="5">
                  <c:v>-6.2121378860483634E-2</c:v>
                </c:pt>
                <c:pt idx="6">
                  <c:v>-1.5282244119403935E-2</c:v>
                </c:pt>
                <c:pt idx="7">
                  <c:v>4.7652256688575756E-2</c:v>
                </c:pt>
                <c:pt idx="8">
                  <c:v>-7.3924626283176198E-2</c:v>
                </c:pt>
                <c:pt idx="9">
                  <c:v>-1.4655229658065646E-2</c:v>
                </c:pt>
                <c:pt idx="10">
                  <c:v>-6.9951048399217175E-2</c:v>
                </c:pt>
                <c:pt idx="11">
                  <c:v>9.9108037026290896E-2</c:v>
                </c:pt>
                <c:pt idx="12">
                  <c:v>0.1064275495605969</c:v>
                </c:pt>
                <c:pt idx="13">
                  <c:v>-0.25814402773198608</c:v>
                </c:pt>
                <c:pt idx="14">
                  <c:v>-1.2263446802181392E-2</c:v>
                </c:pt>
                <c:pt idx="15">
                  <c:v>-5.0446571143050067E-2</c:v>
                </c:pt>
                <c:pt idx="16">
                  <c:v>0.19972969078121297</c:v>
                </c:pt>
                <c:pt idx="17">
                  <c:v>-0.1474765231226299</c:v>
                </c:pt>
                <c:pt idx="18">
                  <c:v>-7.4857202137376344E-2</c:v>
                </c:pt>
                <c:pt idx="19">
                  <c:v>-4.735558269144402E-3</c:v>
                </c:pt>
                <c:pt idx="20">
                  <c:v>-0.1099106721953904</c:v>
                </c:pt>
                <c:pt idx="21">
                  <c:v>0.18738279910065822</c:v>
                </c:pt>
                <c:pt idx="22">
                  <c:v>9.7501346544083267E-2</c:v>
                </c:pt>
                <c:pt idx="23">
                  <c:v>5.4316767016049372E-3</c:v>
                </c:pt>
                <c:pt idx="24">
                  <c:v>8.9697055025673045E-2</c:v>
                </c:pt>
                <c:pt idx="25">
                  <c:v>-6.5953429906710603E-2</c:v>
                </c:pt>
                <c:pt idx="26">
                  <c:v>-0.15054984533755209</c:v>
                </c:pt>
                <c:pt idx="27">
                  <c:v>-3.3769181759882083E-2</c:v>
                </c:pt>
                <c:pt idx="28">
                  <c:v>-1.0315329314815047E-2</c:v>
                </c:pt>
                <c:pt idx="29">
                  <c:v>8.6117927481230039E-2</c:v>
                </c:pt>
                <c:pt idx="30">
                  <c:v>5.1253323859473454E-2</c:v>
                </c:pt>
                <c:pt idx="31">
                  <c:v>2.706651277422778E-2</c:v>
                </c:pt>
                <c:pt idx="32">
                  <c:v>-8.6784315407782309E-2</c:v>
                </c:pt>
                <c:pt idx="33">
                  <c:v>-0.10166582699638949</c:v>
                </c:pt>
                <c:pt idx="34">
                  <c:v>3.9981961227817386E-2</c:v>
                </c:pt>
                <c:pt idx="35">
                  <c:v>0.17546355312205364</c:v>
                </c:pt>
                <c:pt idx="36">
                  <c:v>8.2524553568042558E-2</c:v>
                </c:pt>
                <c:pt idx="37">
                  <c:v>4.6533036577711684E-2</c:v>
                </c:pt>
                <c:pt idx="38">
                  <c:v>-2.9410831105045387E-2</c:v>
                </c:pt>
                <c:pt idx="39">
                  <c:v>-3.531174688993155E-2</c:v>
                </c:pt>
                <c:pt idx="40">
                  <c:v>-7.7956731125847445E-2</c:v>
                </c:pt>
                <c:pt idx="41">
                  <c:v>-1.169363404059709E-3</c:v>
                </c:pt>
                <c:pt idx="42">
                  <c:v>0.13001993033732798</c:v>
                </c:pt>
                <c:pt idx="43">
                  <c:v>7.2599569299396337E-3</c:v>
                </c:pt>
                <c:pt idx="44">
                  <c:v>-4.3127443333595195E-2</c:v>
                </c:pt>
                <c:pt idx="45">
                  <c:v>-4.8126994206353357E-3</c:v>
                </c:pt>
                <c:pt idx="46">
                  <c:v>0.1348746359162567</c:v>
                </c:pt>
                <c:pt idx="47">
                  <c:v>-5.2914085387999465E-2</c:v>
                </c:pt>
                <c:pt idx="48">
                  <c:v>-9.7474755289225667E-2</c:v>
                </c:pt>
                <c:pt idx="49">
                  <c:v>-0.18496966813406301</c:v>
                </c:pt>
              </c:numCache>
            </c:numRef>
          </c:yVal>
          <c:smooth val="0"/>
          <c:extLst>
            <c:ext xmlns:c16="http://schemas.microsoft.com/office/drawing/2014/chart" uri="{C3380CC4-5D6E-409C-BE32-E72D297353CC}">
              <c16:uniqueId val="{00000001-F34E-4446-B6F1-71289F9698D9}"/>
            </c:ext>
          </c:extLst>
        </c:ser>
        <c:dLbls>
          <c:showLegendKey val="0"/>
          <c:showVal val="0"/>
          <c:showCatName val="0"/>
          <c:showSerName val="0"/>
          <c:showPercent val="0"/>
          <c:showBubbleSize val="0"/>
        </c:dLbls>
        <c:axId val="853419504"/>
        <c:axId val="853419024"/>
      </c:scatterChart>
      <c:valAx>
        <c:axId val="853419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SPY</a:t>
                </a:r>
              </a:p>
            </c:rich>
          </c:tx>
          <c:layout>
            <c:manualLayout>
              <c:xMode val="edge"/>
              <c:yMode val="edge"/>
              <c:x val="0.85695472440944875"/>
              <c:y val="0.471272965879265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024"/>
        <c:crosses val="autoZero"/>
        <c:crossBetween val="midCat"/>
      </c:valAx>
      <c:valAx>
        <c:axId val="85341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'Excess Returns and Beta'!$EN$64</c:f>
              <c:strCache>
                <c:ptCount val="1"/>
                <c:pt idx="0">
                  <c:v>ZTS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433892023339603"/>
                  <c:y val="-0.24817163909557177"/>
                </c:manualLayout>
              </c:layout>
              <c:numFmt formatCode="General" sourceLinked="0"/>
              <c:spPr>
                <a:solidFill>
                  <a:srgbClr val="FFFF00"/>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'Excess Returns and Beta'!$C$65:$C$124</c:f>
              <c:numCache>
                <c:formatCode>0.00%</c:formatCode>
                <c:ptCount val="60"/>
                <c:pt idx="0">
                  <c:v>-0.12668973511022014</c:v>
                </c:pt>
                <c:pt idx="1">
                  <c:v>0.12717645977958089</c:v>
                </c:pt>
                <c:pt idx="2">
                  <c:v>4.7816710710697929E-2</c:v>
                </c:pt>
                <c:pt idx="3">
                  <c:v>1.7760594009069711E-2</c:v>
                </c:pt>
                <c:pt idx="4">
                  <c:v>5.8782745903759759E-2</c:v>
                </c:pt>
                <c:pt idx="5">
                  <c:v>6.9796714935401294E-2</c:v>
                </c:pt>
                <c:pt idx="6">
                  <c:v>-3.7179343357689909E-2</c:v>
                </c:pt>
                <c:pt idx="7">
                  <c:v>-2.5042992077751399E-2</c:v>
                </c:pt>
                <c:pt idx="8">
                  <c:v>0.10888649463833196</c:v>
                </c:pt>
                <c:pt idx="9">
                  <c:v>3.7030246176686266E-2</c:v>
                </c:pt>
                <c:pt idx="10">
                  <c:v>-1.0190495727583571E-2</c:v>
                </c:pt>
                <c:pt idx="11">
                  <c:v>2.7915181947900106E-2</c:v>
                </c:pt>
                <c:pt idx="12">
                  <c:v>4.5513357330943867E-2</c:v>
                </c:pt>
                <c:pt idx="13">
                  <c:v>5.2910546230172661E-2</c:v>
                </c:pt>
                <c:pt idx="14">
                  <c:v>6.6756697224009676E-3</c:v>
                </c:pt>
                <c:pt idx="15">
                  <c:v>2.2691828709742068E-2</c:v>
                </c:pt>
                <c:pt idx="16">
                  <c:v>2.4520876081216114E-2</c:v>
                </c:pt>
                <c:pt idx="17">
                  <c:v>2.9869749332129603E-2</c:v>
                </c:pt>
                <c:pt idx="18">
                  <c:v>-4.6685072767290614E-2</c:v>
                </c:pt>
                <c:pt idx="19">
                  <c:v>7.0273177469340364E-2</c:v>
                </c:pt>
                <c:pt idx="20">
                  <c:v>-7.8155318125023854E-3</c:v>
                </c:pt>
                <c:pt idx="21">
                  <c:v>4.628842196021532E-2</c:v>
                </c:pt>
                <c:pt idx="22">
                  <c:v>-5.2741390128007382E-2</c:v>
                </c:pt>
                <c:pt idx="23">
                  <c:v>-2.929882150228369E-2</c:v>
                </c:pt>
                <c:pt idx="24">
                  <c:v>3.710201123854584E-2</c:v>
                </c:pt>
                <c:pt idx="25">
                  <c:v>-8.7660699489546912E-2</c:v>
                </c:pt>
                <c:pt idx="26">
                  <c:v>1.9295399263203894E-3</c:v>
                </c:pt>
                <c:pt idx="27">
                  <c:v>-8.3249302319187146E-2</c:v>
                </c:pt>
                <c:pt idx="28">
                  <c:v>9.1728137158472167E-2</c:v>
                </c:pt>
                <c:pt idx="29">
                  <c:v>-4.2736435911788113E-2</c:v>
                </c:pt>
                <c:pt idx="30">
                  <c:v>-9.4477534016965903E-2</c:v>
                </c:pt>
                <c:pt idx="31">
                  <c:v>7.9686033686853008E-2</c:v>
                </c:pt>
                <c:pt idx="32">
                  <c:v>5.2444963963366627E-2</c:v>
                </c:pt>
                <c:pt idx="33">
                  <c:v>-6.1206295593505877E-2</c:v>
                </c:pt>
                <c:pt idx="34">
                  <c:v>6.0044200791607771E-2</c:v>
                </c:pt>
                <c:pt idx="35">
                  <c:v>-2.8599455963258417E-2</c:v>
                </c:pt>
                <c:pt idx="36">
                  <c:v>3.3130488291521543E-2</c:v>
                </c:pt>
                <c:pt idx="37">
                  <c:v>1.2345249650641547E-2</c:v>
                </c:pt>
                <c:pt idx="38">
                  <c:v>8.6286631005805204E-4</c:v>
                </c:pt>
                <c:pt idx="39">
                  <c:v>6.0213980116390786E-2</c:v>
                </c:pt>
                <c:pt idx="40">
                  <c:v>2.8876695826464134E-2</c:v>
                </c:pt>
                <c:pt idx="41">
                  <c:v>-2.1215180619770461E-2</c:v>
                </c:pt>
                <c:pt idx="42">
                  <c:v>-5.1379574449855525E-2</c:v>
                </c:pt>
                <c:pt idx="43">
                  <c:v>-2.6020895171933511E-2</c:v>
                </c:pt>
                <c:pt idx="44">
                  <c:v>8.6665845944927877E-2</c:v>
                </c:pt>
                <c:pt idx="45">
                  <c:v>4.1383994331414486E-2</c:v>
                </c:pt>
                <c:pt idx="46">
                  <c:v>1.1658250913204601E-2</c:v>
                </c:pt>
                <c:pt idx="47">
                  <c:v>4.7742065872084183E-2</c:v>
                </c:pt>
                <c:pt idx="48">
                  <c:v>2.8622290979659182E-2</c:v>
                </c:pt>
                <c:pt idx="49">
                  <c:v>-4.4637582218316707E-2</c:v>
                </c:pt>
                <c:pt idx="50">
                  <c:v>4.6012561736342272E-2</c:v>
                </c:pt>
                <c:pt idx="51">
                  <c:v>3.1291647003876211E-2</c:v>
                </c:pt>
                <c:pt idx="52">
                  <c:v>7.6000355434144885E-3</c:v>
                </c:pt>
                <c:pt idx="53">
                  <c:v>1.8746390761422264E-2</c:v>
                </c:pt>
                <c:pt idx="54">
                  <c:v>1.6788305930405697E-2</c:v>
                </c:pt>
                <c:pt idx="55">
                  <c:v>-1.2873793584445514E-2</c:v>
                </c:pt>
                <c:pt idx="56">
                  <c:v>5.5932881365720277E-2</c:v>
                </c:pt>
                <c:pt idx="57">
                  <c:v>-2.8122780403430414E-2</c:v>
                </c:pt>
                <c:pt idx="58">
                  <c:v>2.3357062851425029E-2</c:v>
                </c:pt>
                <c:pt idx="59">
                  <c:v>-1.5929555695107459E-2</c:v>
                </c:pt>
              </c:numCache>
            </c:numRef>
          </c:xVal>
          <c:yVal>
            <c:numRef>
              <c:f>'Excess Returns and Beta'!$EN$65:$EN$124</c:f>
              <c:numCache>
                <c:formatCode>0.00%</c:formatCode>
                <c:ptCount val="60"/>
                <c:pt idx="0">
                  <c:v>-0.11868788756253654</c:v>
                </c:pt>
                <c:pt idx="1">
                  <c:v>0.1006507570335312</c:v>
                </c:pt>
                <c:pt idx="2">
                  <c:v>7.8123461769415092E-2</c:v>
                </c:pt>
                <c:pt idx="3">
                  <c:v>-1.6858777392348308E-2</c:v>
                </c:pt>
                <c:pt idx="4">
                  <c:v>0.10826937506425005</c:v>
                </c:pt>
                <c:pt idx="5">
                  <c:v>5.5510981778817303E-2</c:v>
                </c:pt>
                <c:pt idx="6">
                  <c:v>3.3136627373193783E-2</c:v>
                </c:pt>
                <c:pt idx="7">
                  <c:v>-4.0150139818496237E-2</c:v>
                </c:pt>
                <c:pt idx="8">
                  <c:v>1.1651729788902164E-2</c:v>
                </c:pt>
                <c:pt idx="9">
                  <c:v>3.1888487878175553E-2</c:v>
                </c:pt>
                <c:pt idx="10">
                  <c:v>-6.6542346522904028E-2</c:v>
                </c:pt>
                <c:pt idx="11">
                  <c:v>6.5276797990280189E-3</c:v>
                </c:pt>
                <c:pt idx="12">
                  <c:v>1.4537384758664285E-2</c:v>
                </c:pt>
                <c:pt idx="13">
                  <c:v>0.10037054419781601</c:v>
                </c:pt>
                <c:pt idx="14">
                  <c:v>2.1204344127817024E-2</c:v>
                </c:pt>
                <c:pt idx="15">
                  <c:v>5.5007902243952578E-2</c:v>
                </c:pt>
                <c:pt idx="16">
                  <c:v>8.9147000641679019E-2</c:v>
                </c:pt>
                <c:pt idx="17">
                  <c:v>9.2855295223910339E-3</c:v>
                </c:pt>
                <c:pt idx="18">
                  <c:v>-5.1048375772706371E-2</c:v>
                </c:pt>
                <c:pt idx="19">
                  <c:v>0.11504851825235154</c:v>
                </c:pt>
                <c:pt idx="20">
                  <c:v>2.7231292712123881E-2</c:v>
                </c:pt>
                <c:pt idx="21">
                  <c:v>9.9035884213357628E-2</c:v>
                </c:pt>
                <c:pt idx="22">
                  <c:v>-0.17996243785177601</c:v>
                </c:pt>
                <c:pt idx="23">
                  <c:v>-3.0513952415395233E-2</c:v>
                </c:pt>
                <c:pt idx="24">
                  <c:v>-2.6583466412590569E-2</c:v>
                </c:pt>
                <c:pt idx="25">
                  <c:v>-5.8395492777733697E-2</c:v>
                </c:pt>
                <c:pt idx="26">
                  <c:v>-3.5983323897780466E-2</c:v>
                </c:pt>
                <c:pt idx="27">
                  <c:v>4.8361774734197996E-3</c:v>
                </c:pt>
                <c:pt idx="28">
                  <c:v>6.3615434893913303E-2</c:v>
                </c:pt>
                <c:pt idx="29">
                  <c:v>-0.14447094815752265</c:v>
                </c:pt>
                <c:pt idx="30">
                  <c:v>-5.4702906470898371E-2</c:v>
                </c:pt>
                <c:pt idx="31">
                  <c:v>1.7393580078965746E-2</c:v>
                </c:pt>
                <c:pt idx="32">
                  <c:v>1.9137983422117033E-2</c:v>
                </c:pt>
                <c:pt idx="33">
                  <c:v>-5.2871535753343357E-2</c:v>
                </c:pt>
                <c:pt idx="34">
                  <c:v>0.12901101566416179</c:v>
                </c:pt>
                <c:pt idx="35">
                  <c:v>5.6676256199372776E-3</c:v>
                </c:pt>
                <c:pt idx="36">
                  <c:v>-7.3482407441833875E-3</c:v>
                </c:pt>
                <c:pt idx="37">
                  <c:v>5.4757796908313727E-2</c:v>
                </c:pt>
                <c:pt idx="38">
                  <c:v>-7.6401058943822098E-2</c:v>
                </c:pt>
                <c:pt idx="39">
                  <c:v>5.1837757529994428E-2</c:v>
                </c:pt>
                <c:pt idx="40">
                  <c:v>9.0743471311908408E-2</c:v>
                </c:pt>
                <c:pt idx="41">
                  <c:v>7.9029378503965297E-3</c:v>
                </c:pt>
                <c:pt idx="42">
                  <c:v>-9.0753483216545083E-2</c:v>
                </c:pt>
                <c:pt idx="43">
                  <c:v>-9.9754306904081491E-2</c:v>
                </c:pt>
                <c:pt idx="44">
                  <c:v>0.12060849124947848</c:v>
                </c:pt>
                <c:pt idx="45">
                  <c:v>0.11288978387277675</c:v>
                </c:pt>
                <c:pt idx="46">
                  <c:v>-5.0547386401990968E-2</c:v>
                </c:pt>
                <c:pt idx="47">
                  <c:v>5.1569170642874251E-2</c:v>
                </c:pt>
                <c:pt idx="48">
                  <c:v>-0.1509278541612282</c:v>
                </c:pt>
                <c:pt idx="49">
                  <c:v>-6.0583393353898507E-2</c:v>
                </c:pt>
                <c:pt idx="50">
                  <c:v>6.0240757581367488E-2</c:v>
                </c:pt>
                <c:pt idx="51">
                  <c:v>1.8417966922156474E-2</c:v>
                </c:pt>
                <c:pt idx="52">
                  <c:v>3.6526875860908074E-2</c:v>
                </c:pt>
                <c:pt idx="53">
                  <c:v>1.4543037819718444E-2</c:v>
                </c:pt>
                <c:pt idx="54">
                  <c:v>6.0578048079017233E-2</c:v>
                </c:pt>
                <c:pt idx="55">
                  <c:v>-8.6701682715576545E-2</c:v>
                </c:pt>
                <c:pt idx="56">
                  <c:v>-2.3445554724946135E-2</c:v>
                </c:pt>
                <c:pt idx="57">
                  <c:v>-7.4322380574351588E-2</c:v>
                </c:pt>
                <c:pt idx="58">
                  <c:v>4.854778789002645E-2</c:v>
                </c:pt>
                <c:pt idx="59">
                  <c:v>-2.4650762440639348E-2</c:v>
                </c:pt>
              </c:numCache>
            </c:numRef>
          </c:yVal>
          <c:smooth val="0"/>
          <c:extLst>
            <c:ext xmlns:c16="http://schemas.microsoft.com/office/drawing/2014/chart" uri="{C3380CC4-5D6E-409C-BE32-E72D297353CC}">
              <c16:uniqueId val="{00000001-839A-47D2-AAA8-47DA6CA8C867}"/>
            </c:ext>
          </c:extLst>
        </c:ser>
        <c:dLbls>
          <c:showLegendKey val="0"/>
          <c:showVal val="0"/>
          <c:showCatName val="0"/>
          <c:showSerName val="0"/>
          <c:showPercent val="0"/>
          <c:showBubbleSize val="0"/>
        </c:dLbls>
        <c:axId val="853419504"/>
        <c:axId val="853419024"/>
      </c:scatterChart>
      <c:valAx>
        <c:axId val="853419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SPY</a:t>
                </a:r>
              </a:p>
            </c:rich>
          </c:tx>
          <c:layout>
            <c:manualLayout>
              <c:xMode val="edge"/>
              <c:yMode val="edge"/>
              <c:x val="0.85695472440944875"/>
              <c:y val="0.471272965879265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024"/>
        <c:crosses val="autoZero"/>
        <c:crossBetween val="midCat"/>
      </c:valAx>
      <c:valAx>
        <c:axId val="85341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'Excess Returns and Beta'!$CR$64:$CR$80</c:f>
              <c:strCache>
                <c:ptCount val="17"/>
                <c:pt idx="0">
                  <c:v>OGN</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24740805037165631"/>
                  <c:y val="-0.36939536227696307"/>
                </c:manualLayout>
              </c:layout>
              <c:numFmt formatCode="General" sourceLinked="0"/>
              <c:spPr>
                <a:solidFill>
                  <a:srgbClr val="FFFF00"/>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'Excess Returns and Beta'!$C$81:$C$124</c:f>
              <c:numCache>
                <c:formatCode>0.00%</c:formatCode>
                <c:ptCount val="44"/>
                <c:pt idx="0">
                  <c:v>2.4520876081216114E-2</c:v>
                </c:pt>
                <c:pt idx="1">
                  <c:v>2.9869749332129603E-2</c:v>
                </c:pt>
                <c:pt idx="2">
                  <c:v>-4.6685072767290614E-2</c:v>
                </c:pt>
                <c:pt idx="3">
                  <c:v>7.0273177469340364E-2</c:v>
                </c:pt>
                <c:pt idx="4">
                  <c:v>-7.8155318125023854E-3</c:v>
                </c:pt>
                <c:pt idx="5">
                  <c:v>4.628842196021532E-2</c:v>
                </c:pt>
                <c:pt idx="6">
                  <c:v>-5.2741390128007382E-2</c:v>
                </c:pt>
                <c:pt idx="7">
                  <c:v>-2.929882150228369E-2</c:v>
                </c:pt>
                <c:pt idx="8">
                  <c:v>3.710201123854584E-2</c:v>
                </c:pt>
                <c:pt idx="9">
                  <c:v>-8.7660699489546912E-2</c:v>
                </c:pt>
                <c:pt idx="10">
                  <c:v>1.9295399263203894E-3</c:v>
                </c:pt>
                <c:pt idx="11">
                  <c:v>-8.3249302319187146E-2</c:v>
                </c:pt>
                <c:pt idx="12">
                  <c:v>9.1728137158472167E-2</c:v>
                </c:pt>
                <c:pt idx="13">
                  <c:v>-4.2736435911788113E-2</c:v>
                </c:pt>
                <c:pt idx="14">
                  <c:v>-9.4477534016965903E-2</c:v>
                </c:pt>
                <c:pt idx="15">
                  <c:v>7.9686033686853008E-2</c:v>
                </c:pt>
                <c:pt idx="16">
                  <c:v>5.2444963963366627E-2</c:v>
                </c:pt>
                <c:pt idx="17">
                  <c:v>-6.1206295593505877E-2</c:v>
                </c:pt>
                <c:pt idx="18">
                  <c:v>6.0044200791607771E-2</c:v>
                </c:pt>
                <c:pt idx="19">
                  <c:v>-2.8599455963258417E-2</c:v>
                </c:pt>
                <c:pt idx="20">
                  <c:v>3.3130488291521543E-2</c:v>
                </c:pt>
                <c:pt idx="21">
                  <c:v>1.2345249650641547E-2</c:v>
                </c:pt>
                <c:pt idx="22">
                  <c:v>8.6286631005805204E-4</c:v>
                </c:pt>
                <c:pt idx="23">
                  <c:v>6.0213980116390786E-2</c:v>
                </c:pt>
                <c:pt idx="24">
                  <c:v>2.8876695826464134E-2</c:v>
                </c:pt>
                <c:pt idx="25">
                  <c:v>-2.1215180619770461E-2</c:v>
                </c:pt>
                <c:pt idx="26">
                  <c:v>-5.1379574449855525E-2</c:v>
                </c:pt>
                <c:pt idx="27">
                  <c:v>-2.6020895171933511E-2</c:v>
                </c:pt>
                <c:pt idx="28">
                  <c:v>8.6665845944927877E-2</c:v>
                </c:pt>
                <c:pt idx="29">
                  <c:v>4.1383994331414486E-2</c:v>
                </c:pt>
                <c:pt idx="30">
                  <c:v>1.1658250913204601E-2</c:v>
                </c:pt>
                <c:pt idx="31">
                  <c:v>4.7742065872084183E-2</c:v>
                </c:pt>
                <c:pt idx="32">
                  <c:v>2.8622290979659182E-2</c:v>
                </c:pt>
                <c:pt idx="33">
                  <c:v>-4.4637582218316707E-2</c:v>
                </c:pt>
                <c:pt idx="34">
                  <c:v>4.6012561736342272E-2</c:v>
                </c:pt>
                <c:pt idx="35">
                  <c:v>3.1291647003876211E-2</c:v>
                </c:pt>
                <c:pt idx="36">
                  <c:v>7.6000355434144885E-3</c:v>
                </c:pt>
                <c:pt idx="37">
                  <c:v>1.8746390761422264E-2</c:v>
                </c:pt>
                <c:pt idx="38">
                  <c:v>1.6788305930405697E-2</c:v>
                </c:pt>
                <c:pt idx="39">
                  <c:v>-1.2873793584445514E-2</c:v>
                </c:pt>
                <c:pt idx="40">
                  <c:v>5.5932881365720277E-2</c:v>
                </c:pt>
                <c:pt idx="41">
                  <c:v>-2.8122780403430414E-2</c:v>
                </c:pt>
                <c:pt idx="42">
                  <c:v>2.3357062851425029E-2</c:v>
                </c:pt>
                <c:pt idx="43">
                  <c:v>-1.5929555695107459E-2</c:v>
                </c:pt>
              </c:numCache>
            </c:numRef>
          </c:xVal>
          <c:yVal>
            <c:numRef>
              <c:f>'Excess Returns and Beta'!$CR$81:$CR$124</c:f>
              <c:numCache>
                <c:formatCode>0.00%</c:formatCode>
                <c:ptCount val="44"/>
                <c:pt idx="0">
                  <c:v>-4.1199186680489948E-2</c:v>
                </c:pt>
                <c:pt idx="1">
                  <c:v>0.17817461694078895</c:v>
                </c:pt>
                <c:pt idx="2">
                  <c:v>-3.2567736981600204E-2</c:v>
                </c:pt>
                <c:pt idx="3">
                  <c:v>0.12087640888769835</c:v>
                </c:pt>
                <c:pt idx="4">
                  <c:v>-0.19727834099177932</c:v>
                </c:pt>
                <c:pt idx="5">
                  <c:v>4.1735484949696262E-2</c:v>
                </c:pt>
                <c:pt idx="6">
                  <c:v>4.7947699113312092E-2</c:v>
                </c:pt>
                <c:pt idx="7">
                  <c:v>0.17879213075424641</c:v>
                </c:pt>
                <c:pt idx="8">
                  <c:v>-6.4746105494495332E-2</c:v>
                </c:pt>
                <c:pt idx="9">
                  <c:v>-7.432620175166893E-2</c:v>
                </c:pt>
                <c:pt idx="10">
                  <c:v>0.18322277861864489</c:v>
                </c:pt>
                <c:pt idx="11">
                  <c:v>-0.1116858637663279</c:v>
                </c:pt>
                <c:pt idx="12">
                  <c:v>-6.0507283679498425E-2</c:v>
                </c:pt>
                <c:pt idx="13">
                  <c:v>-9.4377667883055905E-2</c:v>
                </c:pt>
                <c:pt idx="14">
                  <c:v>-0.18186935345010369</c:v>
                </c:pt>
                <c:pt idx="15">
                  <c:v>0.1172109510068631</c:v>
                </c:pt>
                <c:pt idx="16">
                  <c:v>2.0036691373412903E-3</c:v>
                </c:pt>
                <c:pt idx="17">
                  <c:v>6.9775366228213676E-2</c:v>
                </c:pt>
                <c:pt idx="18">
                  <c:v>7.5925329650809115E-2</c:v>
                </c:pt>
                <c:pt idx="19">
                  <c:v>-0.18175025926385113</c:v>
                </c:pt>
                <c:pt idx="20">
                  <c:v>-4.3602028224076217E-2</c:v>
                </c:pt>
                <c:pt idx="21">
                  <c:v>4.3561525591551797E-2</c:v>
                </c:pt>
                <c:pt idx="22">
                  <c:v>-0.20594112743004656</c:v>
                </c:pt>
                <c:pt idx="23">
                  <c:v>6.863653403463732E-2</c:v>
                </c:pt>
                <c:pt idx="24">
                  <c:v>5.2367526417610659E-2</c:v>
                </c:pt>
                <c:pt idx="25">
                  <c:v>6.5913463510303104E-3</c:v>
                </c:pt>
                <c:pt idx="26">
                  <c:v>-0.21345870301097822</c:v>
                </c:pt>
                <c:pt idx="27">
                  <c:v>-0.15235527079776531</c:v>
                </c:pt>
                <c:pt idx="28">
                  <c:v>-0.22002157510421533</c:v>
                </c:pt>
                <c:pt idx="29">
                  <c:v>0.26957216462095146</c:v>
                </c:pt>
                <c:pt idx="30">
                  <c:v>0.15037771008808362</c:v>
                </c:pt>
                <c:pt idx="31">
                  <c:v>5.7025729857333562E-2</c:v>
                </c:pt>
                <c:pt idx="32">
                  <c:v>7.5738641344787583E-2</c:v>
                </c:pt>
                <c:pt idx="33">
                  <c:v>-1.442378624887908E-2</c:v>
                </c:pt>
                <c:pt idx="34">
                  <c:v>0.15731007821131307</c:v>
                </c:pt>
                <c:pt idx="35">
                  <c:v>-3.3531447197477804E-2</c:v>
                </c:pt>
                <c:pt idx="36">
                  <c:v>5.153150196999956E-2</c:v>
                </c:pt>
                <c:pt idx="37">
                  <c:v>3.1862970637922761E-2</c:v>
                </c:pt>
                <c:pt idx="38">
                  <c:v>-0.14829285080664756</c:v>
                </c:pt>
                <c:pt idx="39">
                  <c:v>-2.224866681920112E-2</c:v>
                </c:pt>
                <c:pt idx="40">
                  <c:v>-0.14346351356990431</c:v>
                </c:pt>
                <c:pt idx="41">
                  <c:v>-6.388555266272089E-2</c:v>
                </c:pt>
                <c:pt idx="42">
                  <c:v>3.9400752163140318E-2</c:v>
                </c:pt>
                <c:pt idx="43">
                  <c:v>-2.721943811210004E-2</c:v>
                </c:pt>
              </c:numCache>
            </c:numRef>
          </c:yVal>
          <c:smooth val="0"/>
          <c:extLst>
            <c:ext xmlns:c16="http://schemas.microsoft.com/office/drawing/2014/chart" uri="{C3380CC4-5D6E-409C-BE32-E72D297353CC}">
              <c16:uniqueId val="{00000001-3F79-4FAC-820F-DF0341592BAE}"/>
            </c:ext>
          </c:extLst>
        </c:ser>
        <c:dLbls>
          <c:showLegendKey val="0"/>
          <c:showVal val="0"/>
          <c:showCatName val="0"/>
          <c:showSerName val="0"/>
          <c:showPercent val="0"/>
          <c:showBubbleSize val="0"/>
        </c:dLbls>
        <c:axId val="853419504"/>
        <c:axId val="853419024"/>
      </c:scatterChart>
      <c:valAx>
        <c:axId val="853419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SPY</a:t>
                </a:r>
              </a:p>
            </c:rich>
          </c:tx>
          <c:layout>
            <c:manualLayout>
              <c:xMode val="edge"/>
              <c:yMode val="edge"/>
              <c:x val="0.85695472440944875"/>
              <c:y val="0.471272965879265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024"/>
        <c:crosses val="autoZero"/>
        <c:crossBetween val="midCat"/>
      </c:valAx>
      <c:valAx>
        <c:axId val="85341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'Excess Returns and Beta'!$BW$64</c:f>
              <c:strCache>
                <c:ptCount val="1"/>
                <c:pt idx="0">
                  <c:v>JAZZ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5038832744332156"/>
                  <c:y val="-0.36571215295335791"/>
                </c:manualLayout>
              </c:layout>
              <c:numFmt formatCode="General" sourceLinked="0"/>
              <c:spPr>
                <a:solidFill>
                  <a:srgbClr val="FFFF00"/>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'Excess Returns and Beta'!$C$65:$C$124</c:f>
              <c:numCache>
                <c:formatCode>0.00%</c:formatCode>
                <c:ptCount val="60"/>
                <c:pt idx="0">
                  <c:v>-0.12668973511022014</c:v>
                </c:pt>
                <c:pt idx="1">
                  <c:v>0.12717645977958089</c:v>
                </c:pt>
                <c:pt idx="2">
                  <c:v>4.7816710710697929E-2</c:v>
                </c:pt>
                <c:pt idx="3">
                  <c:v>1.7760594009069711E-2</c:v>
                </c:pt>
                <c:pt idx="4">
                  <c:v>5.8782745903759759E-2</c:v>
                </c:pt>
                <c:pt idx="5">
                  <c:v>6.9796714935401294E-2</c:v>
                </c:pt>
                <c:pt idx="6">
                  <c:v>-3.7179343357689909E-2</c:v>
                </c:pt>
                <c:pt idx="7">
                  <c:v>-2.5042992077751399E-2</c:v>
                </c:pt>
                <c:pt idx="8">
                  <c:v>0.10888649463833196</c:v>
                </c:pt>
                <c:pt idx="9">
                  <c:v>3.7030246176686266E-2</c:v>
                </c:pt>
                <c:pt idx="10">
                  <c:v>-1.0190495727583571E-2</c:v>
                </c:pt>
                <c:pt idx="11">
                  <c:v>2.7915181947900106E-2</c:v>
                </c:pt>
                <c:pt idx="12">
                  <c:v>4.5513357330943867E-2</c:v>
                </c:pt>
                <c:pt idx="13">
                  <c:v>5.2910546230172661E-2</c:v>
                </c:pt>
                <c:pt idx="14">
                  <c:v>6.6756697224009676E-3</c:v>
                </c:pt>
                <c:pt idx="15">
                  <c:v>2.2691828709742068E-2</c:v>
                </c:pt>
                <c:pt idx="16">
                  <c:v>2.4520876081216114E-2</c:v>
                </c:pt>
                <c:pt idx="17">
                  <c:v>2.9869749332129603E-2</c:v>
                </c:pt>
                <c:pt idx="18">
                  <c:v>-4.6685072767290614E-2</c:v>
                </c:pt>
                <c:pt idx="19">
                  <c:v>7.0273177469340364E-2</c:v>
                </c:pt>
                <c:pt idx="20">
                  <c:v>-7.8155318125023854E-3</c:v>
                </c:pt>
                <c:pt idx="21">
                  <c:v>4.628842196021532E-2</c:v>
                </c:pt>
                <c:pt idx="22">
                  <c:v>-5.2741390128007382E-2</c:v>
                </c:pt>
                <c:pt idx="23">
                  <c:v>-2.929882150228369E-2</c:v>
                </c:pt>
                <c:pt idx="24">
                  <c:v>3.710201123854584E-2</c:v>
                </c:pt>
                <c:pt idx="25">
                  <c:v>-8.7660699489546912E-2</c:v>
                </c:pt>
                <c:pt idx="26">
                  <c:v>1.9295399263203894E-3</c:v>
                </c:pt>
                <c:pt idx="27">
                  <c:v>-8.3249302319187146E-2</c:v>
                </c:pt>
                <c:pt idx="28">
                  <c:v>9.1728137158472167E-2</c:v>
                </c:pt>
                <c:pt idx="29">
                  <c:v>-4.2736435911788113E-2</c:v>
                </c:pt>
                <c:pt idx="30">
                  <c:v>-9.4477534016965903E-2</c:v>
                </c:pt>
                <c:pt idx="31">
                  <c:v>7.9686033686853008E-2</c:v>
                </c:pt>
                <c:pt idx="32">
                  <c:v>5.2444963963366627E-2</c:v>
                </c:pt>
                <c:pt idx="33">
                  <c:v>-6.1206295593505877E-2</c:v>
                </c:pt>
                <c:pt idx="34">
                  <c:v>6.0044200791607771E-2</c:v>
                </c:pt>
                <c:pt idx="35">
                  <c:v>-2.8599455963258417E-2</c:v>
                </c:pt>
                <c:pt idx="36">
                  <c:v>3.3130488291521543E-2</c:v>
                </c:pt>
                <c:pt idx="37">
                  <c:v>1.2345249650641547E-2</c:v>
                </c:pt>
                <c:pt idx="38">
                  <c:v>8.6286631005805204E-4</c:v>
                </c:pt>
                <c:pt idx="39">
                  <c:v>6.0213980116390786E-2</c:v>
                </c:pt>
                <c:pt idx="40">
                  <c:v>2.8876695826464134E-2</c:v>
                </c:pt>
                <c:pt idx="41">
                  <c:v>-2.1215180619770461E-2</c:v>
                </c:pt>
                <c:pt idx="42">
                  <c:v>-5.1379574449855525E-2</c:v>
                </c:pt>
                <c:pt idx="43">
                  <c:v>-2.6020895171933511E-2</c:v>
                </c:pt>
                <c:pt idx="44">
                  <c:v>8.6665845944927877E-2</c:v>
                </c:pt>
                <c:pt idx="45">
                  <c:v>4.1383994331414486E-2</c:v>
                </c:pt>
                <c:pt idx="46">
                  <c:v>1.1658250913204601E-2</c:v>
                </c:pt>
                <c:pt idx="47">
                  <c:v>4.7742065872084183E-2</c:v>
                </c:pt>
                <c:pt idx="48">
                  <c:v>2.8622290979659182E-2</c:v>
                </c:pt>
                <c:pt idx="49">
                  <c:v>-4.4637582218316707E-2</c:v>
                </c:pt>
                <c:pt idx="50">
                  <c:v>4.6012561736342272E-2</c:v>
                </c:pt>
                <c:pt idx="51">
                  <c:v>3.1291647003876211E-2</c:v>
                </c:pt>
                <c:pt idx="52">
                  <c:v>7.6000355434144885E-3</c:v>
                </c:pt>
                <c:pt idx="53">
                  <c:v>1.8746390761422264E-2</c:v>
                </c:pt>
                <c:pt idx="54">
                  <c:v>1.6788305930405697E-2</c:v>
                </c:pt>
                <c:pt idx="55">
                  <c:v>-1.2873793584445514E-2</c:v>
                </c:pt>
                <c:pt idx="56">
                  <c:v>5.5932881365720277E-2</c:v>
                </c:pt>
                <c:pt idx="57">
                  <c:v>-2.8122780403430414E-2</c:v>
                </c:pt>
                <c:pt idx="58">
                  <c:v>2.3357062851425029E-2</c:v>
                </c:pt>
                <c:pt idx="59">
                  <c:v>-1.5929555695107459E-2</c:v>
                </c:pt>
              </c:numCache>
            </c:numRef>
          </c:xVal>
          <c:yVal>
            <c:numRef>
              <c:f>'Excess Returns and Beta'!$BW$65:$BW$124</c:f>
            </c:numRef>
          </c:yVal>
          <c:smooth val="0"/>
          <c:extLst>
            <c:ext xmlns:c16="http://schemas.microsoft.com/office/drawing/2014/chart" uri="{C3380CC4-5D6E-409C-BE32-E72D297353CC}">
              <c16:uniqueId val="{00000001-6582-4D70-A0A7-6A3EBC9F8464}"/>
            </c:ext>
          </c:extLst>
        </c:ser>
        <c:dLbls>
          <c:showLegendKey val="0"/>
          <c:showVal val="0"/>
          <c:showCatName val="0"/>
          <c:showSerName val="0"/>
          <c:showPercent val="0"/>
          <c:showBubbleSize val="0"/>
        </c:dLbls>
        <c:axId val="853419504"/>
        <c:axId val="853419024"/>
      </c:scatterChart>
      <c:valAx>
        <c:axId val="853419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SPY</a:t>
                </a:r>
              </a:p>
            </c:rich>
          </c:tx>
          <c:layout>
            <c:manualLayout>
              <c:xMode val="edge"/>
              <c:yMode val="edge"/>
              <c:x val="0.85695472440944875"/>
              <c:y val="0.471272965879265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024"/>
        <c:crosses val="autoZero"/>
        <c:crossBetween val="midCat"/>
      </c:valAx>
      <c:valAx>
        <c:axId val="85341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87270341207349"/>
          <c:y val="0.15674587988970889"/>
          <c:w val="0.75979396325459325"/>
          <c:h val="0.70751925535532811"/>
        </c:manualLayout>
      </c:layout>
      <c:barChart>
        <c:barDir val="col"/>
        <c:grouping val="clustered"/>
        <c:varyColors val="0"/>
        <c:ser>
          <c:idx val="0"/>
          <c:order val="0"/>
          <c:tx>
            <c:strRef>
              <c:f>Industry!$D$3</c:f>
              <c:strCache>
                <c:ptCount val="1"/>
                <c:pt idx="0">
                  <c:v>Size ($bn)</c:v>
                </c:pt>
              </c:strCache>
            </c:strRef>
          </c:tx>
          <c:spPr>
            <a:solidFill>
              <a:schemeClr val="accent1"/>
            </a:solidFill>
            <a:ln>
              <a:noFill/>
            </a:ln>
            <a:effectLst/>
          </c:spPr>
          <c:invertIfNegative val="0"/>
          <c:dLbls>
            <c:dLbl>
              <c:idx val="0"/>
              <c:layout>
                <c:manualLayout>
                  <c:x val="3.4542314335060447E-3"/>
                  <c:y val="2.41984224915000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3D-464F-A078-D0248E22C9FE}"/>
                </c:ext>
              </c:extLst>
            </c:dLbl>
            <c:dLbl>
              <c:idx val="1"/>
              <c:layout>
                <c:manualLayout>
                  <c:x val="0"/>
                  <c:y val="1.4519053494900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3D-464F-A078-D0248E22C9F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Industry!$C$4:$C$9</c:f>
              <c:strCache>
                <c:ptCount val="6"/>
                <c:pt idx="0">
                  <c:v>2023</c:v>
                </c:pt>
                <c:pt idx="1">
                  <c:v>2024</c:v>
                </c:pt>
                <c:pt idx="2">
                  <c:v>2025E</c:v>
                </c:pt>
                <c:pt idx="3">
                  <c:v>2026E</c:v>
                </c:pt>
                <c:pt idx="5">
                  <c:v>2033E</c:v>
                </c:pt>
              </c:strCache>
            </c:strRef>
          </c:cat>
          <c:val>
            <c:numRef>
              <c:f>Industry!$D$4:$D$9</c:f>
              <c:numCache>
                <c:formatCode>_(* #,##0_);_(* \(#,##0\);_(* "-"??_);_(@_)</c:formatCode>
                <c:ptCount val="6"/>
                <c:pt idx="0">
                  <c:v>1559.53</c:v>
                </c:pt>
                <c:pt idx="1">
                  <c:v>1655.44</c:v>
                </c:pt>
                <c:pt idx="2">
                  <c:v>1757.25</c:v>
                </c:pt>
                <c:pt idx="3">
                  <c:v>1865.32</c:v>
                </c:pt>
                <c:pt idx="5">
                  <c:v>2832.66</c:v>
                </c:pt>
              </c:numCache>
            </c:numRef>
          </c:val>
          <c:extLst>
            <c:ext xmlns:c16="http://schemas.microsoft.com/office/drawing/2014/chart" uri="{C3380CC4-5D6E-409C-BE32-E72D297353CC}">
              <c16:uniqueId val="{00000000-DD3D-464F-A078-D0248E22C9FE}"/>
            </c:ext>
          </c:extLst>
        </c:ser>
        <c:dLbls>
          <c:dLblPos val="outEnd"/>
          <c:showLegendKey val="0"/>
          <c:showVal val="1"/>
          <c:showCatName val="0"/>
          <c:showSerName val="0"/>
          <c:showPercent val="0"/>
          <c:showBubbleSize val="0"/>
        </c:dLbls>
        <c:gapWidth val="219"/>
        <c:overlap val="-27"/>
        <c:axId val="1119089520"/>
        <c:axId val="1119091440"/>
      </c:barChart>
      <c:catAx>
        <c:axId val="111908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19091440"/>
        <c:crosses val="autoZero"/>
        <c:auto val="1"/>
        <c:lblAlgn val="ctr"/>
        <c:lblOffset val="100"/>
        <c:noMultiLvlLbl val="0"/>
      </c:catAx>
      <c:valAx>
        <c:axId val="1119091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Size ($bn)</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19089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E8-4D08-B867-DC86C3346A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E8-4D08-B867-DC86C3346A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E8-4D08-B867-DC86C3346A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E8-4D08-B867-DC86C3346AF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Industry!$K$3:$K$6</c:f>
              <c:strCache>
                <c:ptCount val="4"/>
                <c:pt idx="0">
                  <c:v>North America</c:v>
                </c:pt>
                <c:pt idx="1">
                  <c:v>Europe</c:v>
                </c:pt>
                <c:pt idx="2">
                  <c:v>APAC</c:v>
                </c:pt>
                <c:pt idx="3">
                  <c:v>Latin America</c:v>
                </c:pt>
              </c:strCache>
            </c:strRef>
          </c:cat>
          <c:val>
            <c:numRef>
              <c:f>Industry!$L$3:$L$6</c:f>
              <c:numCache>
                <c:formatCode>0%</c:formatCode>
                <c:ptCount val="4"/>
                <c:pt idx="0">
                  <c:v>0.4</c:v>
                </c:pt>
                <c:pt idx="1">
                  <c:v>0.3</c:v>
                </c:pt>
                <c:pt idx="2">
                  <c:v>0.25</c:v>
                </c:pt>
                <c:pt idx="3">
                  <c:v>0.05</c:v>
                </c:pt>
              </c:numCache>
            </c:numRef>
          </c:val>
          <c:extLst>
            <c:ext xmlns:c16="http://schemas.microsoft.com/office/drawing/2014/chart" uri="{C3380CC4-5D6E-409C-BE32-E72D297353CC}">
              <c16:uniqueId val="{00000000-3477-4A50-A2E2-DA78DDA3803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87270341207349"/>
          <c:y val="0.15674587988970889"/>
          <c:w val="0.75979396325459325"/>
          <c:h val="0.70751925535532811"/>
        </c:manualLayout>
      </c:layout>
      <c:barChart>
        <c:barDir val="col"/>
        <c:grouping val="clustered"/>
        <c:varyColors val="0"/>
        <c:ser>
          <c:idx val="0"/>
          <c:order val="0"/>
          <c:tx>
            <c:strRef>
              <c:f>Industry!$D$37</c:f>
              <c:strCache>
                <c:ptCount val="1"/>
                <c:pt idx="0">
                  <c:v>Size ($m)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Industry!$C$38:$C$41</c:f>
              <c:strCache>
                <c:ptCount val="4"/>
                <c:pt idx="0">
                  <c:v>2023</c:v>
                </c:pt>
                <c:pt idx="1">
                  <c:v>2024</c:v>
                </c:pt>
                <c:pt idx="2">
                  <c:v>2025E</c:v>
                </c:pt>
                <c:pt idx="3">
                  <c:v>2026E</c:v>
                </c:pt>
              </c:strCache>
            </c:strRef>
          </c:cat>
          <c:val>
            <c:numRef>
              <c:f>Industry!$D$38:$D$41</c:f>
              <c:numCache>
                <c:formatCode>General</c:formatCode>
                <c:ptCount val="4"/>
                <c:pt idx="0">
                  <c:v>34124</c:v>
                </c:pt>
                <c:pt idx="1">
                  <c:v>45043</c:v>
                </c:pt>
                <c:pt idx="2">
                  <c:v>60000</c:v>
                </c:pt>
                <c:pt idx="3">
                  <c:v>71000</c:v>
                </c:pt>
              </c:numCache>
            </c:numRef>
          </c:val>
          <c:extLst>
            <c:ext xmlns:c16="http://schemas.microsoft.com/office/drawing/2014/chart" uri="{C3380CC4-5D6E-409C-BE32-E72D297353CC}">
              <c16:uniqueId val="{00000002-2A72-43A3-B91A-5AF8399FDE1B}"/>
            </c:ext>
          </c:extLst>
        </c:ser>
        <c:dLbls>
          <c:dLblPos val="outEnd"/>
          <c:showLegendKey val="0"/>
          <c:showVal val="1"/>
          <c:showCatName val="0"/>
          <c:showSerName val="0"/>
          <c:showPercent val="0"/>
          <c:showBubbleSize val="0"/>
        </c:dLbls>
        <c:gapWidth val="219"/>
        <c:overlap val="-27"/>
        <c:axId val="1119089520"/>
        <c:axId val="1119091440"/>
      </c:barChart>
      <c:catAx>
        <c:axId val="111908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19091440"/>
        <c:crosses val="autoZero"/>
        <c:auto val="1"/>
        <c:lblAlgn val="ctr"/>
        <c:lblOffset val="100"/>
        <c:noMultiLvlLbl val="0"/>
      </c:catAx>
      <c:valAx>
        <c:axId val="111909144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Revenue</a:t>
                </a:r>
                <a:r>
                  <a:rPr lang="en-US" sz="1100" b="1" baseline="0"/>
                  <a:t> </a:t>
                </a:r>
                <a:r>
                  <a:rPr lang="en-US" sz="1100" b="1"/>
                  <a:t> ($m)</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19089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A4-4BDA-A732-92D1EFCEAA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A4-4BDA-A732-92D1EFCEAA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A4-4BDA-A732-92D1EFCEAA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A4-4BDA-A732-92D1EFCEAA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70-43F2-ABEE-9B60AB23AB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770-43F2-ABEE-9B60AB23AB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770-43F2-ABEE-9B60AB23AB6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Industry!$AC$37:$AC$43</c:f>
              <c:strCache>
                <c:ptCount val="7"/>
                <c:pt idx="0">
                  <c:v>Mounjaro</c:v>
                </c:pt>
                <c:pt idx="1">
                  <c:v>Zepbound</c:v>
                </c:pt>
                <c:pt idx="2">
                  <c:v>Other Cardiometabolic</c:v>
                </c:pt>
                <c:pt idx="3">
                  <c:v>Oncology</c:v>
                </c:pt>
                <c:pt idx="4">
                  <c:v>Immunology</c:v>
                </c:pt>
                <c:pt idx="5">
                  <c:v>Neuroscience</c:v>
                </c:pt>
                <c:pt idx="6">
                  <c:v>Other</c:v>
                </c:pt>
              </c:strCache>
            </c:strRef>
          </c:cat>
          <c:val>
            <c:numRef>
              <c:f>Industry!$AD$37:$AD$43</c:f>
              <c:numCache>
                <c:formatCode>General</c:formatCode>
                <c:ptCount val="7"/>
                <c:pt idx="0" formatCode="_(* #,##0_);_(* \(#,##0\);_(* &quot;-&quot;??_);_(@_)">
                  <c:v>11540.099999999999</c:v>
                </c:pt>
                <c:pt idx="1">
                  <c:v>4925.7</c:v>
                </c:pt>
                <c:pt idx="2" formatCode="_(* #,##0_);_(* \(#,##0\);_(* &quot;-&quot;??_);_(@_)">
                  <c:v>13055.099999999999</c:v>
                </c:pt>
                <c:pt idx="3" formatCode="_(* #,##0_);_(* \(#,##0\);_(* &quot;-&quot;??_);_(@_)">
                  <c:v>8752.4</c:v>
                </c:pt>
                <c:pt idx="4" formatCode="_(* #,##0_);_(* \(#,##0\);_(* &quot;-&quot;??_);_(@_)">
                  <c:v>4392.8999999999996</c:v>
                </c:pt>
                <c:pt idx="5" formatCode="_(* #,##0_);_(* \(#,##0\);_(* &quot;-&quot;??_);_(@_)">
                  <c:v>1473.4</c:v>
                </c:pt>
                <c:pt idx="6" formatCode="_(* #,##0_);_(* \(#,##0\);_(* &quot;-&quot;??_);_(@_)">
                  <c:v>903</c:v>
                </c:pt>
              </c:numCache>
            </c:numRef>
          </c:val>
          <c:extLst>
            <c:ext xmlns:c16="http://schemas.microsoft.com/office/drawing/2014/chart" uri="{C3380CC4-5D6E-409C-BE32-E72D297353CC}">
              <c16:uniqueId val="{00000008-54A4-4BDA-A732-92D1EFCEAA59}"/>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87270341207349"/>
          <c:y val="0.15674587988970889"/>
          <c:w val="0.75979396325459325"/>
          <c:h val="0.70751925535532811"/>
        </c:manualLayout>
      </c:layout>
      <c:barChart>
        <c:barDir val="col"/>
        <c:grouping val="clustered"/>
        <c:varyColors val="0"/>
        <c:ser>
          <c:idx val="0"/>
          <c:order val="0"/>
          <c:tx>
            <c:strRef>
              <c:f>Industry!$K$37</c:f>
              <c:strCache>
                <c:ptCount val="1"/>
                <c:pt idx="0">
                  <c:v>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Industry!$J$38:$J$41</c:f>
              <c:strCache>
                <c:ptCount val="4"/>
                <c:pt idx="0">
                  <c:v>2023</c:v>
                </c:pt>
                <c:pt idx="1">
                  <c:v>2024</c:v>
                </c:pt>
                <c:pt idx="2">
                  <c:v>2025E</c:v>
                </c:pt>
                <c:pt idx="3">
                  <c:v>2026E</c:v>
                </c:pt>
              </c:strCache>
            </c:strRef>
          </c:cat>
          <c:val>
            <c:numRef>
              <c:f>Industry!$K$38:$K$41</c:f>
              <c:numCache>
                <c:formatCode>0.0%</c:formatCode>
                <c:ptCount val="4"/>
                <c:pt idx="0">
                  <c:v>0.317</c:v>
                </c:pt>
                <c:pt idx="1">
                  <c:v>0.376</c:v>
                </c:pt>
                <c:pt idx="2">
                  <c:v>0.42</c:v>
                </c:pt>
                <c:pt idx="3">
                  <c:v>0.44500000000000001</c:v>
                </c:pt>
              </c:numCache>
            </c:numRef>
          </c:val>
          <c:extLst>
            <c:ext xmlns:c16="http://schemas.microsoft.com/office/drawing/2014/chart" uri="{C3380CC4-5D6E-409C-BE32-E72D297353CC}">
              <c16:uniqueId val="{00000000-A836-4EC1-AB26-EE442FB62342}"/>
            </c:ext>
          </c:extLst>
        </c:ser>
        <c:dLbls>
          <c:dLblPos val="outEnd"/>
          <c:showLegendKey val="0"/>
          <c:showVal val="1"/>
          <c:showCatName val="0"/>
          <c:showSerName val="0"/>
          <c:showPercent val="0"/>
          <c:showBubbleSize val="0"/>
        </c:dLbls>
        <c:gapWidth val="219"/>
        <c:overlap val="-27"/>
        <c:axId val="1119089520"/>
        <c:axId val="1119091440"/>
      </c:barChart>
      <c:catAx>
        <c:axId val="111908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19091440"/>
        <c:crosses val="autoZero"/>
        <c:auto val="1"/>
        <c:lblAlgn val="ctr"/>
        <c:lblOffset val="100"/>
        <c:noMultiLvlLbl val="0"/>
      </c:catAx>
      <c:valAx>
        <c:axId val="111909144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Operating Margin (%)</a:t>
                </a:r>
              </a:p>
              <a:p>
                <a:pPr>
                  <a:defRPr sz="1100" b="1"/>
                </a:pPr>
                <a:endParaRPr lang="en-US" sz="1100" b="1"/>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1119089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87270341207349"/>
          <c:y val="0.15674587988970889"/>
          <c:w val="0.75979396325459325"/>
          <c:h val="0.70751925535532811"/>
        </c:manualLayout>
      </c:layout>
      <c:barChart>
        <c:barDir val="col"/>
        <c:grouping val="clustered"/>
        <c:varyColors val="0"/>
        <c:ser>
          <c:idx val="0"/>
          <c:order val="0"/>
          <c:tx>
            <c:strRef>
              <c:f>Industry!$R$37</c:f>
              <c:strCache>
                <c:ptCount val="1"/>
                <c:pt idx="0">
                  <c:v>EPS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Industry!$Q$38:$Q$41</c:f>
              <c:strCache>
                <c:ptCount val="4"/>
                <c:pt idx="0">
                  <c:v>2023</c:v>
                </c:pt>
                <c:pt idx="1">
                  <c:v>2024</c:v>
                </c:pt>
                <c:pt idx="2">
                  <c:v>2025E</c:v>
                </c:pt>
                <c:pt idx="3">
                  <c:v>2026E</c:v>
                </c:pt>
              </c:strCache>
            </c:strRef>
          </c:cat>
          <c:val>
            <c:numRef>
              <c:f>Industry!$R$38:$R$41</c:f>
              <c:numCache>
                <c:formatCode>General</c:formatCode>
                <c:ptCount val="4"/>
                <c:pt idx="0">
                  <c:v>6.32</c:v>
                </c:pt>
                <c:pt idx="1">
                  <c:v>12.99</c:v>
                </c:pt>
                <c:pt idx="2">
                  <c:v>23.3</c:v>
                </c:pt>
                <c:pt idx="3">
                  <c:v>29.4</c:v>
                </c:pt>
              </c:numCache>
            </c:numRef>
          </c:val>
          <c:extLst>
            <c:ext xmlns:c16="http://schemas.microsoft.com/office/drawing/2014/chart" uri="{C3380CC4-5D6E-409C-BE32-E72D297353CC}">
              <c16:uniqueId val="{00000000-F567-4B2F-9D50-927FB0622BBE}"/>
            </c:ext>
          </c:extLst>
        </c:ser>
        <c:dLbls>
          <c:dLblPos val="outEnd"/>
          <c:showLegendKey val="0"/>
          <c:showVal val="1"/>
          <c:showCatName val="0"/>
          <c:showSerName val="0"/>
          <c:showPercent val="0"/>
          <c:showBubbleSize val="0"/>
        </c:dLbls>
        <c:gapWidth val="219"/>
        <c:overlap val="-27"/>
        <c:axId val="1119089520"/>
        <c:axId val="1119091440"/>
      </c:barChart>
      <c:catAx>
        <c:axId val="111908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19091440"/>
        <c:crosses val="autoZero"/>
        <c:auto val="1"/>
        <c:lblAlgn val="ctr"/>
        <c:lblOffset val="100"/>
        <c:noMultiLvlLbl val="0"/>
      </c:catAx>
      <c:valAx>
        <c:axId val="111909144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EPS ($)</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19089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57728</xdr:colOff>
      <xdr:row>19</xdr:row>
      <xdr:rowOff>67349</xdr:rowOff>
    </xdr:from>
    <xdr:to>
      <xdr:col>12</xdr:col>
      <xdr:colOff>253275</xdr:colOff>
      <xdr:row>23</xdr:row>
      <xdr:rowOff>96297</xdr:rowOff>
    </xdr:to>
    <xdr:pic>
      <xdr:nvPicPr>
        <xdr:cNvPr id="3" name="Picture 2">
          <a:extLst>
            <a:ext uri="{FF2B5EF4-FFF2-40B4-BE49-F238E27FC236}">
              <a16:creationId xmlns:a16="http://schemas.microsoft.com/office/drawing/2014/main" id="{4E758F14-CAB6-E37D-FD64-8E17AADCA0C5}"/>
            </a:ext>
          </a:extLst>
        </xdr:cNvPr>
        <xdr:cNvPicPr>
          <a:picLocks noChangeAspect="1"/>
        </xdr:cNvPicPr>
      </xdr:nvPicPr>
      <xdr:blipFill>
        <a:blip xmlns:r="http://schemas.openxmlformats.org/officeDocument/2006/relationships" r:embed="rId1"/>
        <a:stretch>
          <a:fillRect/>
        </a:stretch>
      </xdr:blipFill>
      <xdr:spPr>
        <a:xfrm>
          <a:off x="57728" y="3723410"/>
          <a:ext cx="8681456" cy="798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C7D8F595-E6C4-4AFD-9756-823B5C66F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145</xdr:col>
      <xdr:colOff>604836</xdr:colOff>
      <xdr:row>63</xdr:row>
      <xdr:rowOff>9525</xdr:rowOff>
    </xdr:from>
    <xdr:to>
      <xdr:col>151</xdr:col>
      <xdr:colOff>576261</xdr:colOff>
      <xdr:row>73</xdr:row>
      <xdr:rowOff>180975</xdr:rowOff>
    </xdr:to>
    <xdr:graphicFrame macro="">
      <xdr:nvGraphicFramePr>
        <xdr:cNvPr id="2" name="Chart 1">
          <a:extLst>
            <a:ext uri="{FF2B5EF4-FFF2-40B4-BE49-F238E27FC236}">
              <a16:creationId xmlns:a16="http://schemas.microsoft.com/office/drawing/2014/main" id="{79297DE1-813A-44A8-949F-9DDEC77D1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153</xdr:col>
      <xdr:colOff>609599</xdr:colOff>
      <xdr:row>63</xdr:row>
      <xdr:rowOff>0</xdr:rowOff>
    </xdr:from>
    <xdr:to>
      <xdr:col>159</xdr:col>
      <xdr:colOff>581024</xdr:colOff>
      <xdr:row>73</xdr:row>
      <xdr:rowOff>171450</xdr:rowOff>
    </xdr:to>
    <xdr:graphicFrame macro="">
      <xdr:nvGraphicFramePr>
        <xdr:cNvPr id="3" name="Chart 2">
          <a:extLst>
            <a:ext uri="{FF2B5EF4-FFF2-40B4-BE49-F238E27FC236}">
              <a16:creationId xmlns:a16="http://schemas.microsoft.com/office/drawing/2014/main" id="{1BB0BC10-A080-4C4D-93E3-0A46F3505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145</xdr:col>
      <xdr:colOff>604836</xdr:colOff>
      <xdr:row>78</xdr:row>
      <xdr:rowOff>95250</xdr:rowOff>
    </xdr:from>
    <xdr:to>
      <xdr:col>151</xdr:col>
      <xdr:colOff>576261</xdr:colOff>
      <xdr:row>89</xdr:row>
      <xdr:rowOff>76200</xdr:rowOff>
    </xdr:to>
    <xdr:graphicFrame macro="">
      <xdr:nvGraphicFramePr>
        <xdr:cNvPr id="4" name="Chart 3">
          <a:extLst>
            <a:ext uri="{FF2B5EF4-FFF2-40B4-BE49-F238E27FC236}">
              <a16:creationId xmlns:a16="http://schemas.microsoft.com/office/drawing/2014/main" id="{AAEFF138-AFAC-482C-B675-B3D451FC9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153</xdr:col>
      <xdr:colOff>609599</xdr:colOff>
      <xdr:row>78</xdr:row>
      <xdr:rowOff>85725</xdr:rowOff>
    </xdr:from>
    <xdr:to>
      <xdr:col>159</xdr:col>
      <xdr:colOff>581024</xdr:colOff>
      <xdr:row>89</xdr:row>
      <xdr:rowOff>66675</xdr:rowOff>
    </xdr:to>
    <xdr:graphicFrame macro="">
      <xdr:nvGraphicFramePr>
        <xdr:cNvPr id="5" name="Chart 4">
          <a:extLst>
            <a:ext uri="{FF2B5EF4-FFF2-40B4-BE49-F238E27FC236}">
              <a16:creationId xmlns:a16="http://schemas.microsoft.com/office/drawing/2014/main" id="{E943BFED-1F2B-4608-961E-151BF2D9D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145</xdr:col>
      <xdr:colOff>609599</xdr:colOff>
      <xdr:row>94</xdr:row>
      <xdr:rowOff>9525</xdr:rowOff>
    </xdr:from>
    <xdr:to>
      <xdr:col>151</xdr:col>
      <xdr:colOff>581024</xdr:colOff>
      <xdr:row>104</xdr:row>
      <xdr:rowOff>180975</xdr:rowOff>
    </xdr:to>
    <xdr:graphicFrame macro="">
      <xdr:nvGraphicFramePr>
        <xdr:cNvPr id="6" name="Chart 5">
          <a:extLst>
            <a:ext uri="{FF2B5EF4-FFF2-40B4-BE49-F238E27FC236}">
              <a16:creationId xmlns:a16="http://schemas.microsoft.com/office/drawing/2014/main" id="{1C5E8210-6DAB-4C05-B303-55888F647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154</xdr:col>
      <xdr:colOff>4762</xdr:colOff>
      <xdr:row>94</xdr:row>
      <xdr:rowOff>0</xdr:rowOff>
    </xdr:from>
    <xdr:to>
      <xdr:col>159</xdr:col>
      <xdr:colOff>585787</xdr:colOff>
      <xdr:row>104</xdr:row>
      <xdr:rowOff>171450</xdr:rowOff>
    </xdr:to>
    <xdr:graphicFrame macro="">
      <xdr:nvGraphicFramePr>
        <xdr:cNvPr id="7" name="Chart 6">
          <a:extLst>
            <a:ext uri="{FF2B5EF4-FFF2-40B4-BE49-F238E27FC236}">
              <a16:creationId xmlns:a16="http://schemas.microsoft.com/office/drawing/2014/main" id="{B79D35AC-48B9-42F3-AB1F-190EE40E5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145</xdr:col>
      <xdr:colOff>609599</xdr:colOff>
      <xdr:row>110</xdr:row>
      <xdr:rowOff>9525</xdr:rowOff>
    </xdr:from>
    <xdr:to>
      <xdr:col>151</xdr:col>
      <xdr:colOff>581024</xdr:colOff>
      <xdr:row>120</xdr:row>
      <xdr:rowOff>180975</xdr:rowOff>
    </xdr:to>
    <xdr:graphicFrame macro="">
      <xdr:nvGraphicFramePr>
        <xdr:cNvPr id="8" name="Chart 7">
          <a:extLst>
            <a:ext uri="{FF2B5EF4-FFF2-40B4-BE49-F238E27FC236}">
              <a16:creationId xmlns:a16="http://schemas.microsoft.com/office/drawing/2014/main" id="{1829CCA2-5834-4399-83E7-08D8F5B9F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154</xdr:col>
      <xdr:colOff>4762</xdr:colOff>
      <xdr:row>110</xdr:row>
      <xdr:rowOff>0</xdr:rowOff>
    </xdr:from>
    <xdr:to>
      <xdr:col>159</xdr:col>
      <xdr:colOff>585787</xdr:colOff>
      <xdr:row>120</xdr:row>
      <xdr:rowOff>171450</xdr:rowOff>
    </xdr:to>
    <xdr:graphicFrame macro="">
      <xdr:nvGraphicFramePr>
        <xdr:cNvPr id="9" name="Chart 8">
          <a:extLst>
            <a:ext uri="{FF2B5EF4-FFF2-40B4-BE49-F238E27FC236}">
              <a16:creationId xmlns:a16="http://schemas.microsoft.com/office/drawing/2014/main" id="{066B4142-49D9-4FDC-8CD3-2C846AE00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9D10BCD8-6682-4FBD-9705-041F7350C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600075</xdr:colOff>
      <xdr:row>12</xdr:row>
      <xdr:rowOff>14287</xdr:rowOff>
    </xdr:from>
    <xdr:to>
      <xdr:col>8</xdr:col>
      <xdr:colOff>9525</xdr:colOff>
      <xdr:row>25</xdr:row>
      <xdr:rowOff>161925</xdr:rowOff>
    </xdr:to>
    <xdr:graphicFrame macro="">
      <xdr:nvGraphicFramePr>
        <xdr:cNvPr id="2" name="Chart 1">
          <a:extLst>
            <a:ext uri="{FF2B5EF4-FFF2-40B4-BE49-F238E27FC236}">
              <a16:creationId xmlns:a16="http://schemas.microsoft.com/office/drawing/2014/main" id="{9FF9525A-04CA-2FF3-46F3-93D056A1B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xdr:colOff>
      <xdr:row>12</xdr:row>
      <xdr:rowOff>14286</xdr:rowOff>
    </xdr:from>
    <xdr:to>
      <xdr:col>13</xdr:col>
      <xdr:colOff>561975</xdr:colOff>
      <xdr:row>25</xdr:row>
      <xdr:rowOff>171449</xdr:rowOff>
    </xdr:to>
    <xdr:graphicFrame macro="">
      <xdr:nvGraphicFramePr>
        <xdr:cNvPr id="4" name="Chart 3">
          <a:extLst>
            <a:ext uri="{FF2B5EF4-FFF2-40B4-BE49-F238E27FC236}">
              <a16:creationId xmlns:a16="http://schemas.microsoft.com/office/drawing/2014/main" id="{1DFDBA76-54CF-AEF3-B913-CD8B7B42E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600075</xdr:colOff>
      <xdr:row>46</xdr:row>
      <xdr:rowOff>14287</xdr:rowOff>
    </xdr:from>
    <xdr:to>
      <xdr:col>8</xdr:col>
      <xdr:colOff>9525</xdr:colOff>
      <xdr:row>59</xdr:row>
      <xdr:rowOff>161925</xdr:rowOff>
    </xdr:to>
    <xdr:graphicFrame macro="">
      <xdr:nvGraphicFramePr>
        <xdr:cNvPr id="5" name="Chart 4">
          <a:extLst>
            <a:ext uri="{FF2B5EF4-FFF2-40B4-BE49-F238E27FC236}">
              <a16:creationId xmlns:a16="http://schemas.microsoft.com/office/drawing/2014/main" id="{EDD76DFD-ADA6-4519-BDAE-C6D821F8A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28575</xdr:colOff>
      <xdr:row>46</xdr:row>
      <xdr:rowOff>14286</xdr:rowOff>
    </xdr:from>
    <xdr:to>
      <xdr:col>31</xdr:col>
      <xdr:colOff>561975</xdr:colOff>
      <xdr:row>59</xdr:row>
      <xdr:rowOff>171449</xdr:rowOff>
    </xdr:to>
    <xdr:graphicFrame macro="">
      <xdr:nvGraphicFramePr>
        <xdr:cNvPr id="6" name="Chart 5">
          <a:extLst>
            <a:ext uri="{FF2B5EF4-FFF2-40B4-BE49-F238E27FC236}">
              <a16:creationId xmlns:a16="http://schemas.microsoft.com/office/drawing/2014/main" id="{85053541-7061-4358-8ED9-6D185FF3F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600075</xdr:colOff>
      <xdr:row>46</xdr:row>
      <xdr:rowOff>14287</xdr:rowOff>
    </xdr:from>
    <xdr:to>
      <xdr:col>15</xdr:col>
      <xdr:colOff>9525</xdr:colOff>
      <xdr:row>59</xdr:row>
      <xdr:rowOff>161925</xdr:rowOff>
    </xdr:to>
    <xdr:graphicFrame macro="">
      <xdr:nvGraphicFramePr>
        <xdr:cNvPr id="7" name="Chart 6">
          <a:extLst>
            <a:ext uri="{FF2B5EF4-FFF2-40B4-BE49-F238E27FC236}">
              <a16:creationId xmlns:a16="http://schemas.microsoft.com/office/drawing/2014/main" id="{888F5B27-6A8E-42F5-8588-04B665621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600075</xdr:colOff>
      <xdr:row>46</xdr:row>
      <xdr:rowOff>14287</xdr:rowOff>
    </xdr:from>
    <xdr:to>
      <xdr:col>22</xdr:col>
      <xdr:colOff>9525</xdr:colOff>
      <xdr:row>59</xdr:row>
      <xdr:rowOff>161925</xdr:rowOff>
    </xdr:to>
    <xdr:graphicFrame macro="">
      <xdr:nvGraphicFramePr>
        <xdr:cNvPr id="9" name="Chart 8">
          <a:extLst>
            <a:ext uri="{FF2B5EF4-FFF2-40B4-BE49-F238E27FC236}">
              <a16:creationId xmlns:a16="http://schemas.microsoft.com/office/drawing/2014/main" id="{561BE807-9BB8-4EB9-8B4D-0A72488F5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0.18015</cdr:x>
      <cdr:y>0.28494</cdr:y>
    </cdr:from>
    <cdr:to>
      <cdr:x>0.60668</cdr:x>
      <cdr:y>0.39856</cdr:y>
    </cdr:to>
    <cdr:cxnSp macro="">
      <cdr:nvCxnSpPr>
        <cdr:cNvPr id="3" name="Straight Arrow Connector 2">
          <a:extLst xmlns:a="http://schemas.openxmlformats.org/drawingml/2006/main">
            <a:ext uri="{FF2B5EF4-FFF2-40B4-BE49-F238E27FC236}">
              <a16:creationId xmlns:a16="http://schemas.microsoft.com/office/drawing/2014/main" id="{F63D52CA-E15A-E7F0-F2E8-038FAB8583AD}"/>
            </a:ext>
          </a:extLst>
        </cdr:cNvPr>
        <cdr:cNvCxnSpPr/>
      </cdr:nvCxnSpPr>
      <cdr:spPr>
        <a:xfrm xmlns:a="http://schemas.openxmlformats.org/drawingml/2006/main" flipV="1">
          <a:off x="667504" y="747713"/>
          <a:ext cx="1580396" cy="298175"/>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0.16967</cdr:x>
      <cdr:y>0.03063</cdr:y>
    </cdr:from>
    <cdr:to>
      <cdr:x>0.62725</cdr:x>
      <cdr:y>0.13132</cdr:y>
    </cdr:to>
    <cdr:sp macro="" textlink="">
      <cdr:nvSpPr>
        <cdr:cNvPr id="4" name="TextBox 3">
          <a:extLst xmlns:a="http://schemas.openxmlformats.org/drawingml/2006/main">
            <a:ext uri="{FF2B5EF4-FFF2-40B4-BE49-F238E27FC236}">
              <a16:creationId xmlns:a16="http://schemas.microsoft.com/office/drawing/2014/main" id="{BEBB368D-C3F7-1FE0-D64C-74EA842E47CB}"/>
            </a:ext>
          </a:extLst>
        </cdr:cNvPr>
        <cdr:cNvSpPr txBox="1"/>
      </cdr:nvSpPr>
      <cdr:spPr>
        <a:xfrm xmlns:a="http://schemas.openxmlformats.org/drawingml/2006/main">
          <a:off x="628650" y="80375"/>
          <a:ext cx="1695450" cy="2642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'23 - '33E CAGR: 6.2%</a:t>
          </a:r>
        </a:p>
      </cdr:txBody>
    </cdr:sp>
  </cdr:relSizeAnchor>
  <cdr:relSizeAnchor xmlns:cdr="http://schemas.openxmlformats.org/drawingml/2006/chartDrawing">
    <cdr:from>
      <cdr:x>0.17052</cdr:x>
      <cdr:y>0.049</cdr:y>
    </cdr:from>
    <cdr:to>
      <cdr:x>0.81234</cdr:x>
      <cdr:y>0.2201</cdr:y>
    </cdr:to>
    <cdr:cxnSp macro="">
      <cdr:nvCxnSpPr>
        <cdr:cNvPr id="6" name="Straight Arrow Connector 5">
          <a:extLst xmlns:a="http://schemas.openxmlformats.org/drawingml/2006/main">
            <a:ext uri="{FF2B5EF4-FFF2-40B4-BE49-F238E27FC236}">
              <a16:creationId xmlns:a16="http://schemas.microsoft.com/office/drawing/2014/main" id="{677E20C8-AEFC-B5FF-FF8B-D7CE929D5BAD}"/>
            </a:ext>
          </a:extLst>
        </cdr:cNvPr>
        <cdr:cNvCxnSpPr/>
      </cdr:nvCxnSpPr>
      <cdr:spPr>
        <a:xfrm xmlns:a="http://schemas.openxmlformats.org/drawingml/2006/main" flipV="1">
          <a:off x="631825" y="128588"/>
          <a:ext cx="2378075" cy="448987"/>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0.13196</cdr:x>
      <cdr:y>0.23351</cdr:y>
    </cdr:from>
    <cdr:to>
      <cdr:x>0.54499</cdr:x>
      <cdr:y>0.33421</cdr:y>
    </cdr:to>
    <cdr:sp macro="" textlink="">
      <cdr:nvSpPr>
        <cdr:cNvPr id="8" name="TextBox 1">
          <a:extLst xmlns:a="http://schemas.openxmlformats.org/drawingml/2006/main">
            <a:ext uri="{FF2B5EF4-FFF2-40B4-BE49-F238E27FC236}">
              <a16:creationId xmlns:a16="http://schemas.microsoft.com/office/drawing/2014/main" id="{D0F0B55D-7A5A-10CC-0343-0A7DF8D06D70}"/>
            </a:ext>
          </a:extLst>
        </cdr:cNvPr>
        <cdr:cNvSpPr txBox="1"/>
      </cdr:nvSpPr>
      <cdr:spPr>
        <a:xfrm xmlns:a="http://schemas.openxmlformats.org/drawingml/2006/main">
          <a:off x="488950" y="612775"/>
          <a:ext cx="1530350" cy="26423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b="1" kern="1200"/>
            <a:t>'23 - '26E CAGR: 6.1%</a:t>
          </a:r>
        </a:p>
      </cdr:txBody>
    </cdr:sp>
  </cdr:relSizeAnchor>
</c:userShapes>
</file>

<file path=xl/drawings/drawing7.xml><?xml version="1.0" encoding="utf-8"?>
<c:userShapes xmlns:c="http://schemas.openxmlformats.org/drawingml/2006/chart">
  <cdr:relSizeAnchor xmlns:cdr="http://schemas.openxmlformats.org/drawingml/2006/chartDrawing">
    <cdr:from>
      <cdr:x>0.18272</cdr:x>
      <cdr:y>0.11555</cdr:y>
    </cdr:from>
    <cdr:to>
      <cdr:x>0.77314</cdr:x>
      <cdr:y>0.38042</cdr:y>
    </cdr:to>
    <cdr:cxnSp macro="">
      <cdr:nvCxnSpPr>
        <cdr:cNvPr id="3" name="Straight Arrow Connector 2">
          <a:extLst xmlns:a="http://schemas.openxmlformats.org/drawingml/2006/main">
            <a:ext uri="{FF2B5EF4-FFF2-40B4-BE49-F238E27FC236}">
              <a16:creationId xmlns:a16="http://schemas.microsoft.com/office/drawing/2014/main" id="{F63D52CA-E15A-E7F0-F2E8-038FAB8583AD}"/>
            </a:ext>
          </a:extLst>
        </cdr:cNvPr>
        <cdr:cNvCxnSpPr/>
      </cdr:nvCxnSpPr>
      <cdr:spPr>
        <a:xfrm xmlns:a="http://schemas.openxmlformats.org/drawingml/2006/main" flipV="1">
          <a:off x="681078" y="303213"/>
          <a:ext cx="2200764" cy="695056"/>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0.157</cdr:x>
      <cdr:y>0.10443</cdr:y>
    </cdr:from>
    <cdr:to>
      <cdr:x>0.60599</cdr:x>
      <cdr:y>0.20512</cdr:y>
    </cdr:to>
    <cdr:sp macro="" textlink="">
      <cdr:nvSpPr>
        <cdr:cNvPr id="4" name="TextBox 3">
          <a:extLst xmlns:a="http://schemas.openxmlformats.org/drawingml/2006/main">
            <a:ext uri="{FF2B5EF4-FFF2-40B4-BE49-F238E27FC236}">
              <a16:creationId xmlns:a16="http://schemas.microsoft.com/office/drawing/2014/main" id="{BEBB368D-C3F7-1FE0-D64C-74EA842E47CB}"/>
            </a:ext>
          </a:extLst>
        </cdr:cNvPr>
        <cdr:cNvSpPr txBox="1"/>
      </cdr:nvSpPr>
      <cdr:spPr>
        <a:xfrm xmlns:a="http://schemas.openxmlformats.org/drawingml/2006/main">
          <a:off x="585228" y="274049"/>
          <a:ext cx="1673581" cy="264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'23 - '26E CAGR: 27.7%</a:t>
          </a:r>
        </a:p>
      </cdr:txBody>
    </cdr:sp>
  </cdr:relSizeAnchor>
</c:userShapes>
</file>

<file path=xl/drawings/drawing8.xml><?xml version="1.0" encoding="utf-8"?>
<c:userShapes xmlns:c="http://schemas.openxmlformats.org/drawingml/2006/chart">
  <cdr:relSizeAnchor xmlns:cdr="http://schemas.openxmlformats.org/drawingml/2006/chartDrawing">
    <cdr:from>
      <cdr:x>0.18272</cdr:x>
      <cdr:y>0.11555</cdr:y>
    </cdr:from>
    <cdr:to>
      <cdr:x>0.77314</cdr:x>
      <cdr:y>0.38042</cdr:y>
    </cdr:to>
    <cdr:cxnSp macro="">
      <cdr:nvCxnSpPr>
        <cdr:cNvPr id="3" name="Straight Arrow Connector 2">
          <a:extLst xmlns:a="http://schemas.openxmlformats.org/drawingml/2006/main">
            <a:ext uri="{FF2B5EF4-FFF2-40B4-BE49-F238E27FC236}">
              <a16:creationId xmlns:a16="http://schemas.microsoft.com/office/drawing/2014/main" id="{F63D52CA-E15A-E7F0-F2E8-038FAB8583AD}"/>
            </a:ext>
          </a:extLst>
        </cdr:cNvPr>
        <cdr:cNvCxnSpPr/>
      </cdr:nvCxnSpPr>
      <cdr:spPr>
        <a:xfrm xmlns:a="http://schemas.openxmlformats.org/drawingml/2006/main" flipV="1">
          <a:off x="681078" y="303213"/>
          <a:ext cx="2200764" cy="695056"/>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0.157</cdr:x>
      <cdr:y>0.10443</cdr:y>
    </cdr:from>
    <cdr:to>
      <cdr:x>0.60599</cdr:x>
      <cdr:y>0.20512</cdr:y>
    </cdr:to>
    <cdr:sp macro="" textlink="">
      <cdr:nvSpPr>
        <cdr:cNvPr id="4" name="TextBox 3">
          <a:extLst xmlns:a="http://schemas.openxmlformats.org/drawingml/2006/main">
            <a:ext uri="{FF2B5EF4-FFF2-40B4-BE49-F238E27FC236}">
              <a16:creationId xmlns:a16="http://schemas.microsoft.com/office/drawing/2014/main" id="{BEBB368D-C3F7-1FE0-D64C-74EA842E47CB}"/>
            </a:ext>
          </a:extLst>
        </cdr:cNvPr>
        <cdr:cNvSpPr txBox="1"/>
      </cdr:nvSpPr>
      <cdr:spPr>
        <a:xfrm xmlns:a="http://schemas.openxmlformats.org/drawingml/2006/main">
          <a:off x="585228" y="274049"/>
          <a:ext cx="1673581" cy="264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'23 - '26E CAGR: 66.9%</a:t>
          </a:r>
        </a:p>
      </cdr:txBody>
    </cdr:sp>
  </cdr:relSizeAnchor>
</c:userShapes>
</file>

<file path=xl/persons/person.xml><?xml version="1.0" encoding="utf-8"?>
<personList xmlns="http://schemas.microsoft.com/office/spreadsheetml/2018/threadedcomments" xmlns:x="http://schemas.openxmlformats.org/spreadsheetml/2006/main">
  <person displayName="Clayton, Grant" id="{31ECC65B-BA20-4DC3-AED3-F01C821D760C}" userId="S::grant.c@wustl.edu::c2623f8b-cef7-47ef-9990-b1ac4781bd3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9" dT="2024-04-10T16:09:47.22" personId="{31ECC65B-BA20-4DC3-AED3-F01C821D760C}" id="{CCA33E17-7DA5-435D-805B-C9E310445348}">
    <text>Note that these will be larger than the actual taxes paid.  Why?  Because these taxes are not incorporating the deduction of interest expense.  We will reflect that deduction in our WACC.</text>
  </threadedComment>
  <threadedComment ref="A35" dT="2024-04-10T16:15:28.53" personId="{31ECC65B-BA20-4DC3-AED3-F01C821D760C}" id="{8DD83298-2620-426B-8637-5AD21A5251AE}">
    <text>We're only getting a portion of the 2025 numbers, since we are at 3/31/2025 (not 1/1/2025)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2BBA1-F4DC-43DA-BC6A-730E345FC2D1}">
  <sheetPr>
    <tabColor rgb="FF00B050"/>
    <pageSetUpPr fitToPage="1"/>
  </sheetPr>
  <dimension ref="A1:J17"/>
  <sheetViews>
    <sheetView tabSelected="1" zoomScale="99" zoomScaleNormal="99" zoomScaleSheetLayoutView="100" workbookViewId="0">
      <selection activeCell="A25" sqref="A25"/>
    </sheetView>
  </sheetViews>
  <sheetFormatPr defaultRowHeight="15" x14ac:dyDescent="0.25"/>
  <cols>
    <col min="1" max="1" width="14.140625" customWidth="1"/>
    <col min="2" max="2" width="10.5703125" style="34" customWidth="1"/>
    <col min="3" max="3" width="3.7109375" customWidth="1"/>
    <col min="4" max="4" width="24.140625" bestFit="1" customWidth="1"/>
    <col min="5" max="5" width="9.7109375" customWidth="1"/>
    <col min="6" max="6" width="5.42578125" customWidth="1"/>
    <col min="8" max="8" width="14.140625" customWidth="1"/>
  </cols>
  <sheetData>
    <row r="1" spans="1:10" x14ac:dyDescent="0.25">
      <c r="A1" s="41" t="s">
        <v>846</v>
      </c>
    </row>
    <row r="2" spans="1:10" x14ac:dyDescent="0.25">
      <c r="A2" t="s">
        <v>847</v>
      </c>
      <c r="B2" s="70">
        <v>45747</v>
      </c>
    </row>
    <row r="4" spans="1:10" x14ac:dyDescent="0.25">
      <c r="A4" s="41" t="s">
        <v>848</v>
      </c>
      <c r="B4" s="40"/>
      <c r="D4" s="41" t="s">
        <v>849</v>
      </c>
      <c r="G4" s="41" t="s">
        <v>850</v>
      </c>
    </row>
    <row r="5" spans="1:10" x14ac:dyDescent="0.25">
      <c r="G5" s="71"/>
    </row>
    <row r="6" spans="1:10" x14ac:dyDescent="0.25">
      <c r="B6" s="40" t="s">
        <v>851</v>
      </c>
      <c r="E6" s="40" t="s">
        <v>851</v>
      </c>
    </row>
    <row r="7" spans="1:10" x14ac:dyDescent="0.25">
      <c r="B7" s="40" t="s">
        <v>852</v>
      </c>
      <c r="E7" s="40" t="s">
        <v>852</v>
      </c>
      <c r="G7" t="s">
        <v>853</v>
      </c>
      <c r="I7" s="116">
        <v>825.91</v>
      </c>
    </row>
    <row r="8" spans="1:10" x14ac:dyDescent="0.25">
      <c r="A8" t="s">
        <v>854</v>
      </c>
      <c r="B8" s="72">
        <f ca="1">'Multiples Valuation'!I42</f>
        <v>143.59047279097013</v>
      </c>
      <c r="D8" t="s">
        <v>855</v>
      </c>
      <c r="E8" s="73">
        <f ca="1">'Free Cash Flow Valuation'!G52</f>
        <v>828.44993325783878</v>
      </c>
    </row>
    <row r="9" spans="1:10" x14ac:dyDescent="0.25">
      <c r="A9" t="s">
        <v>856</v>
      </c>
      <c r="B9" s="74">
        <f ca="1">'Multiples Valuation'!J42</f>
        <v>201.33898739191625</v>
      </c>
      <c r="D9" t="s">
        <v>857</v>
      </c>
      <c r="E9" s="75">
        <f>'Free Cash Flow Valuation'!R50</f>
        <v>1002.3837068968617</v>
      </c>
      <c r="G9" s="41" t="s">
        <v>858</v>
      </c>
    </row>
    <row r="10" spans="1:10" x14ac:dyDescent="0.25">
      <c r="A10" t="s">
        <v>859</v>
      </c>
      <c r="B10" s="76">
        <f>'Multiples Valuation'!I32</f>
        <v>204.60998642056023</v>
      </c>
      <c r="D10" t="s">
        <v>860</v>
      </c>
      <c r="E10" s="75">
        <f>'Free Cash Flow Valuation'!P50</f>
        <v>709.11311634178981</v>
      </c>
    </row>
    <row r="11" spans="1:10" x14ac:dyDescent="0.25">
      <c r="D11" t="s">
        <v>861</v>
      </c>
      <c r="E11" s="75">
        <f>'Free Cash Flow Valuation'!Q51</f>
        <v>693.64482632102931</v>
      </c>
      <c r="G11" t="s">
        <v>862</v>
      </c>
      <c r="I11" s="77"/>
    </row>
    <row r="12" spans="1:10" x14ac:dyDescent="0.25">
      <c r="A12" s="78" t="s">
        <v>863</v>
      </c>
      <c r="B12" s="72">
        <f ca="1">MIN($B$8:$B$10)</f>
        <v>143.59047279097013</v>
      </c>
      <c r="D12" t="s">
        <v>864</v>
      </c>
      <c r="E12" s="79">
        <f>'Free Cash Flow Valuation'!Q49</f>
        <v>1024.8969314654164</v>
      </c>
      <c r="G12" t="s">
        <v>865</v>
      </c>
      <c r="I12" s="80"/>
    </row>
    <row r="13" spans="1:10" x14ac:dyDescent="0.25">
      <c r="A13" s="78" t="s">
        <v>866</v>
      </c>
      <c r="B13" s="74">
        <f ca="1">MAX($B$8:$B$10)</f>
        <v>204.60998642056023</v>
      </c>
      <c r="G13" t="s">
        <v>867</v>
      </c>
      <c r="I13" s="80" t="s">
        <v>984</v>
      </c>
      <c r="J13" t="s">
        <v>1007</v>
      </c>
    </row>
    <row r="14" spans="1:10" x14ac:dyDescent="0.25">
      <c r="A14" s="78" t="s">
        <v>868</v>
      </c>
      <c r="B14" s="74">
        <f ca="1">AVERAGE($B$8:$B$10)</f>
        <v>183.17981553448217</v>
      </c>
      <c r="D14" s="78" t="s">
        <v>863</v>
      </c>
      <c r="E14" s="81">
        <f ca="1">MIN($E$8:$E$12)</f>
        <v>693.64482632102931</v>
      </c>
      <c r="G14" t="s">
        <v>869</v>
      </c>
      <c r="I14" s="80"/>
    </row>
    <row r="15" spans="1:10" x14ac:dyDescent="0.25">
      <c r="A15" s="78" t="s">
        <v>870</v>
      </c>
      <c r="B15" s="76">
        <f ca="1">MEDIAN($B$8:$B$10)</f>
        <v>201.33898739191625</v>
      </c>
      <c r="D15" s="78" t="s">
        <v>866</v>
      </c>
      <c r="E15" s="82">
        <f ca="1">MAX($E$8:$E$12)</f>
        <v>1024.8969314654164</v>
      </c>
      <c r="G15" t="s">
        <v>871</v>
      </c>
      <c r="I15" s="83" t="s">
        <v>984</v>
      </c>
      <c r="J15" t="s">
        <v>1006</v>
      </c>
    </row>
    <row r="16" spans="1:10" x14ac:dyDescent="0.25">
      <c r="D16" s="78" t="s">
        <v>868</v>
      </c>
      <c r="E16" s="82">
        <f ca="1">AVERAGE($E$8:$E$12)</f>
        <v>851.69770285658706</v>
      </c>
    </row>
    <row r="17" spans="4:5" x14ac:dyDescent="0.25">
      <c r="D17" s="78" t="s">
        <v>870</v>
      </c>
      <c r="E17" s="84">
        <f ca="1">MEDIAN($E$8:$E$12)</f>
        <v>828.44993325783878</v>
      </c>
    </row>
  </sheetData>
  <pageMargins left="0.7" right="0.7" top="0.75" bottom="0.75" header="0.3" footer="0.3"/>
  <pageSetup scale="9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C8F07-D452-4A80-B6B9-4DD4AD151B51}">
  <sheetPr>
    <tabColor rgb="FF00B050"/>
    <pageSetUpPr fitToPage="1"/>
  </sheetPr>
  <dimension ref="A1:S64"/>
  <sheetViews>
    <sheetView topLeftCell="A4" zoomScale="66" zoomScaleNormal="115" workbookViewId="0">
      <selection activeCell="C46" sqref="C46"/>
    </sheetView>
  </sheetViews>
  <sheetFormatPr defaultRowHeight="15" x14ac:dyDescent="0.25"/>
  <cols>
    <col min="1" max="1" width="37.42578125" customWidth="1"/>
    <col min="2" max="9" width="13.85546875" style="34" customWidth="1"/>
    <col min="10" max="10" width="12.7109375" customWidth="1"/>
  </cols>
  <sheetData>
    <row r="1" spans="1:19" x14ac:dyDescent="0.25">
      <c r="A1" s="41" t="s">
        <v>848</v>
      </c>
      <c r="P1" t="s">
        <v>59</v>
      </c>
      <c r="S1" t="s">
        <v>481</v>
      </c>
    </row>
    <row r="2" spans="1:19" x14ac:dyDescent="0.25">
      <c r="A2" s="41"/>
      <c r="P2">
        <v>825.91</v>
      </c>
    </row>
    <row r="3" spans="1:19" x14ac:dyDescent="0.25">
      <c r="A3" s="41" t="s">
        <v>872</v>
      </c>
      <c r="P3" cm="1">
        <f t="array" aca="1" ref="P3" ca="1">INDIRECT("'"&amp;S1&amp;"'!C9")</f>
        <v>898</v>
      </c>
    </row>
    <row r="4" spans="1:19" x14ac:dyDescent="0.25">
      <c r="C4" s="117" t="s">
        <v>985</v>
      </c>
      <c r="E4" s="34" t="s">
        <v>873</v>
      </c>
      <c r="H4" s="34" t="s">
        <v>874</v>
      </c>
      <c r="I4" s="34" t="s">
        <v>875</v>
      </c>
    </row>
    <row r="5" spans="1:19" s="41" customFormat="1" x14ac:dyDescent="0.25">
      <c r="C5" s="40" t="s">
        <v>851</v>
      </c>
      <c r="D5" s="40" t="s">
        <v>876</v>
      </c>
      <c r="E5" s="40" t="s">
        <v>877</v>
      </c>
      <c r="F5" s="40" t="s">
        <v>878</v>
      </c>
      <c r="G5" s="40" t="s">
        <v>879</v>
      </c>
      <c r="H5" s="40" t="s">
        <v>880</v>
      </c>
      <c r="I5" s="40" t="s">
        <v>881</v>
      </c>
    </row>
    <row r="6" spans="1:19" s="41" customFormat="1" x14ac:dyDescent="0.25">
      <c r="A6" s="41" t="s">
        <v>882</v>
      </c>
      <c r="B6" s="40" t="s">
        <v>476</v>
      </c>
      <c r="C6" s="40" t="s">
        <v>852</v>
      </c>
      <c r="D6" s="40" t="s">
        <v>883</v>
      </c>
      <c r="E6" s="40" t="s">
        <v>884</v>
      </c>
      <c r="F6" s="40" t="s">
        <v>885</v>
      </c>
      <c r="G6" s="40" t="s">
        <v>886</v>
      </c>
      <c r="H6" s="40" t="s">
        <v>885</v>
      </c>
      <c r="I6" s="40" t="s">
        <v>887</v>
      </c>
    </row>
    <row r="7" spans="1:19" s="41" customFormat="1" x14ac:dyDescent="0.25">
      <c r="A7" t="s">
        <v>6</v>
      </c>
      <c r="B7" s="34" t="s">
        <v>477</v>
      </c>
      <c r="C7" s="118">
        <v>165.84</v>
      </c>
      <c r="D7" s="86" cm="1">
        <f t="array" aca="1" ref="D7" ca="1">INDIRECT("'"&amp;B7&amp;"'!C9")</f>
        <v>2409.8000000000002</v>
      </c>
      <c r="E7" s="87">
        <f ca="1">C7*D7</f>
        <v>399641.23200000002</v>
      </c>
      <c r="F7" s="87">
        <f>VLOOKUP($A7,Screening!$A$8:$S$149,15,FALSE)</f>
        <v>37834</v>
      </c>
      <c r="G7" s="87">
        <f>VLOOKUP($A7,Screening!$A$8:$S$149,14,FALSE)</f>
        <v>24522</v>
      </c>
      <c r="H7" s="87">
        <f>F7-G7</f>
        <v>13312</v>
      </c>
      <c r="I7" s="87">
        <f ca="1">E7+H7</f>
        <v>412953.23200000002</v>
      </c>
    </row>
    <row r="8" spans="1:19" s="41" customFormat="1" x14ac:dyDescent="0.25">
      <c r="A8" t="s">
        <v>2</v>
      </c>
      <c r="B8" s="34" t="s">
        <v>478</v>
      </c>
      <c r="C8" s="118">
        <v>89.76</v>
      </c>
      <c r="D8" s="86" cm="1">
        <f t="array" aca="1" ref="D8" ca="1">INDIRECT("'"&amp;B8&amp;"'!C9")</f>
        <v>2516.4</v>
      </c>
      <c r="E8" s="87">
        <f t="shared" ref="E8:E14" ca="1" si="0">C8*D8</f>
        <v>225872.06400000001</v>
      </c>
      <c r="F8" s="87">
        <f>VLOOKUP($A8,Screening!$A$8:$S$149,15,FALSE)</f>
        <v>38270</v>
      </c>
      <c r="G8" s="87">
        <f>VLOOKUP($A8,Screening!$A$8:$S$149,14,FALSE)</f>
        <v>13689</v>
      </c>
      <c r="H8" s="87">
        <f t="shared" ref="H8:H14" si="1">F8-G8</f>
        <v>24581</v>
      </c>
      <c r="I8" s="87">
        <f t="shared" ref="I8:I14" ca="1" si="2">E8+H8</f>
        <v>250453.06400000001</v>
      </c>
    </row>
    <row r="9" spans="1:19" s="41" customFormat="1" x14ac:dyDescent="0.25">
      <c r="A9" t="s">
        <v>3</v>
      </c>
      <c r="B9" s="34" t="s">
        <v>479</v>
      </c>
      <c r="C9" s="118">
        <v>25.34</v>
      </c>
      <c r="D9" s="86" cm="1">
        <f t="array" aca="1" ref="D9" ca="1">INDIRECT("'"&amp;B9&amp;"'!C9")</f>
        <v>5671.5</v>
      </c>
      <c r="E9" s="87">
        <f t="shared" ca="1" si="0"/>
        <v>143715.81</v>
      </c>
      <c r="F9" s="87">
        <f>VLOOKUP($A9,Screening!$A$8:$S$149,15,FALSE)</f>
        <v>67418</v>
      </c>
      <c r="G9" s="87">
        <f>VLOOKUP($A9,Screening!$A$8:$S$149,14,FALSE)</f>
        <v>20477</v>
      </c>
      <c r="H9" s="87">
        <f t="shared" si="1"/>
        <v>46941</v>
      </c>
      <c r="I9" s="87">
        <f t="shared" ca="1" si="2"/>
        <v>190656.81</v>
      </c>
    </row>
    <row r="10" spans="1:19" s="41" customFormat="1" x14ac:dyDescent="0.25">
      <c r="A10" t="s">
        <v>4</v>
      </c>
      <c r="B10" s="34" t="s">
        <v>480</v>
      </c>
      <c r="C10" s="118">
        <v>60.99</v>
      </c>
      <c r="D10" s="86" cm="1">
        <f t="array" aca="1" ref="D10" ca="1">INDIRECT("'"&amp;B10&amp;"'!C9")</f>
        <v>2034.8</v>
      </c>
      <c r="E10" s="87">
        <f t="shared" ca="1" si="0"/>
        <v>124102.452</v>
      </c>
      <c r="F10" s="87">
        <f>VLOOKUP($A10,Screening!$A$8:$S$149,15,FALSE)</f>
        <v>51257</v>
      </c>
      <c r="G10" s="87">
        <f>VLOOKUP($A10,Screening!$A$8:$S$149,14,FALSE)</f>
        <v>10859</v>
      </c>
      <c r="H10" s="87">
        <f t="shared" si="1"/>
        <v>40398</v>
      </c>
      <c r="I10" s="87">
        <f t="shared" ca="1" si="2"/>
        <v>164500.45199999999</v>
      </c>
    </row>
    <row r="11" spans="1:19" s="41" customFormat="1" x14ac:dyDescent="0.25">
      <c r="A11" t="s">
        <v>9</v>
      </c>
      <c r="B11" s="34" t="s">
        <v>482</v>
      </c>
      <c r="C11" s="118">
        <v>164.65</v>
      </c>
      <c r="D11" s="86">
        <v>448.47307000000001</v>
      </c>
      <c r="E11" s="87">
        <f t="shared" si="0"/>
        <v>73841.090975500003</v>
      </c>
      <c r="F11" s="87">
        <f>VLOOKUP($A11,Screening!$A$8:$S$149,15,FALSE)</f>
        <v>6829</v>
      </c>
      <c r="G11" s="87">
        <f>VLOOKUP($A11,Screening!$A$8:$S$149,14,FALSE)</f>
        <v>1987</v>
      </c>
      <c r="H11" s="87">
        <f t="shared" ref="H11" si="3">F11-G11</f>
        <v>4842</v>
      </c>
      <c r="I11" s="87">
        <f t="shared" ref="I11" si="4">E11+H11</f>
        <v>78683.090975500003</v>
      </c>
    </row>
    <row r="12" spans="1:19" s="41" customFormat="1" x14ac:dyDescent="0.25">
      <c r="A12" t="s">
        <v>7</v>
      </c>
      <c r="B12" s="34" t="s">
        <v>606</v>
      </c>
      <c r="C12" s="118">
        <v>8.7100000000000009</v>
      </c>
      <c r="D12" s="86" cm="1">
        <f t="array" aca="1" ref="D12" ca="1">INDIRECT("'"&amp;B12&amp;"'!C9")</f>
        <v>1193.7</v>
      </c>
      <c r="E12" s="87">
        <f t="shared" ca="1" si="0"/>
        <v>10397.127000000002</v>
      </c>
      <c r="F12" s="87">
        <f>VLOOKUP($A12,Screening!$A$8:$S$149,15,FALSE)</f>
        <v>14305.9</v>
      </c>
      <c r="G12" s="87">
        <f>VLOOKUP($A12,Screening!$A$8:$S$149,14,FALSE)</f>
        <v>1089.9000000000001</v>
      </c>
      <c r="H12" s="87">
        <f t="shared" si="1"/>
        <v>13216</v>
      </c>
      <c r="I12" s="87">
        <f t="shared" ca="1" si="2"/>
        <v>23613.127</v>
      </c>
    </row>
    <row r="13" spans="1:19" s="41" customFormat="1" x14ac:dyDescent="0.25">
      <c r="A13" t="s">
        <v>8</v>
      </c>
      <c r="B13" s="34" t="s">
        <v>483</v>
      </c>
      <c r="C13" s="118">
        <v>14.89</v>
      </c>
      <c r="D13" s="86" cm="1">
        <f t="array" aca="1" ref="D13" ca="1">INDIRECT("'"&amp;B13&amp;"'!C9")</f>
        <v>258</v>
      </c>
      <c r="E13" s="87">
        <f t="shared" ca="1" si="0"/>
        <v>3841.6200000000003</v>
      </c>
      <c r="F13" s="87">
        <f>VLOOKUP($A13,Screening!$A$8:$S$149,15,FALSE)</f>
        <v>9036</v>
      </c>
      <c r="G13" s="87">
        <f>VLOOKUP($A13,Screening!$A$8:$S$149,14,FALSE)</f>
        <v>675</v>
      </c>
      <c r="H13" s="87">
        <f t="shared" si="1"/>
        <v>8361</v>
      </c>
      <c r="I13" s="87">
        <f t="shared" ca="1" si="2"/>
        <v>12202.62</v>
      </c>
    </row>
    <row r="14" spans="1:19" s="41" customFormat="1" x14ac:dyDescent="0.25">
      <c r="A14" t="s">
        <v>78</v>
      </c>
      <c r="B14" s="34" t="s">
        <v>610</v>
      </c>
      <c r="C14" s="118">
        <v>124.15</v>
      </c>
      <c r="D14" s="86">
        <v>60.631</v>
      </c>
      <c r="E14" s="87">
        <f t="shared" si="0"/>
        <v>7527.3386500000006</v>
      </c>
      <c r="F14" s="87">
        <f>VLOOKUP($A14,Screening!$A$8:$S$149,15,FALSE)</f>
        <v>6166.9</v>
      </c>
      <c r="G14" s="87">
        <f>VLOOKUP($A14,Screening!$A$8:$S$149,14,FALSE)</f>
        <v>2993.8</v>
      </c>
      <c r="H14" s="87">
        <f t="shared" si="1"/>
        <v>3173.0999999999995</v>
      </c>
      <c r="I14" s="87">
        <f t="shared" si="2"/>
        <v>10700.43865</v>
      </c>
    </row>
    <row r="15" spans="1:19" s="41" customFormat="1" x14ac:dyDescent="0.25">
      <c r="A15"/>
      <c r="B15" s="34"/>
      <c r="C15" s="85"/>
      <c r="D15" s="86"/>
      <c r="E15" s="87"/>
      <c r="F15" s="87"/>
      <c r="G15" s="87"/>
      <c r="H15" s="87"/>
      <c r="I15" s="5"/>
    </row>
    <row r="16" spans="1:19" s="41" customFormat="1" x14ac:dyDescent="0.25">
      <c r="C16" s="85"/>
      <c r="D16" s="85"/>
      <c r="E16" s="87"/>
      <c r="F16" s="87"/>
      <c r="G16" s="87"/>
      <c r="H16" s="87"/>
      <c r="I16" s="5"/>
    </row>
    <row r="17" spans="1:10" s="41" customFormat="1" x14ac:dyDescent="0.25">
      <c r="A17" s="41" t="s">
        <v>888</v>
      </c>
      <c r="C17" s="34"/>
      <c r="D17" s="34"/>
      <c r="E17" s="34"/>
      <c r="F17" s="34"/>
      <c r="G17" s="34"/>
      <c r="H17" s="34"/>
      <c r="I17" s="34"/>
      <c r="J17" s="34"/>
    </row>
    <row r="18" spans="1:10" x14ac:dyDescent="0.25">
      <c r="A18" s="41"/>
      <c r="B18" s="40"/>
      <c r="C18" s="40" t="s">
        <v>889</v>
      </c>
      <c r="D18" s="40" t="s">
        <v>890</v>
      </c>
      <c r="E18" s="40" t="s">
        <v>890</v>
      </c>
      <c r="J18" s="40"/>
    </row>
    <row r="19" spans="1:10" x14ac:dyDescent="0.25">
      <c r="A19" s="41" t="s">
        <v>882</v>
      </c>
      <c r="B19" s="40" t="s">
        <v>476</v>
      </c>
      <c r="C19" s="40" t="s">
        <v>891</v>
      </c>
      <c r="D19" s="40" t="s">
        <v>891</v>
      </c>
      <c r="E19" s="40" t="s">
        <v>892</v>
      </c>
      <c r="J19" s="40"/>
    </row>
    <row r="20" spans="1:10" x14ac:dyDescent="0.25">
      <c r="A20" t="str">
        <f t="shared" ref="A20:B27" si="5">A7</f>
        <v>Johnson &amp; Johnson (NYSE:JNJ)</v>
      </c>
      <c r="B20" s="34" t="str">
        <f t="shared" si="5"/>
        <v>JNJ</v>
      </c>
      <c r="C20" s="87">
        <f>VLOOKUP($A20,Screening!$A$8:$S$149,5,FALSE)</f>
        <v>29940</v>
      </c>
      <c r="D20" s="87">
        <f>VLOOKUP($A20,Screening!$A$8:$S$149,10,FALSE)</f>
        <v>33182.800000000003</v>
      </c>
      <c r="E20" s="86">
        <f>VLOOKUP($A20,Screening!$A$8:$S$149,13,FALSE)</f>
        <v>10.6</v>
      </c>
      <c r="F20" s="40"/>
      <c r="J20" s="40"/>
    </row>
    <row r="21" spans="1:10" x14ac:dyDescent="0.25">
      <c r="A21" t="str">
        <f t="shared" si="5"/>
        <v>Merck &amp; Co., Inc. (NYSE:MRK)</v>
      </c>
      <c r="B21" s="34" t="str">
        <f t="shared" si="5"/>
        <v>MRK</v>
      </c>
      <c r="C21" s="87">
        <f>VLOOKUP($A21,Screening!$A$8:$S$149,5,FALSE)</f>
        <v>29134</v>
      </c>
      <c r="D21" s="87">
        <f>VLOOKUP($A21,Screening!$A$8:$S$149,10,FALSE)</f>
        <v>30606.3</v>
      </c>
      <c r="E21" s="86">
        <f>VLOOKUP($A21,Screening!$A$8:$S$149,13,FALSE)</f>
        <v>8.98</v>
      </c>
      <c r="F21" s="40"/>
      <c r="J21" s="40"/>
    </row>
    <row r="22" spans="1:10" x14ac:dyDescent="0.25">
      <c r="A22" t="str">
        <f t="shared" si="5"/>
        <v>Pfizer Inc. (NYSE:PFE)</v>
      </c>
      <c r="B22" s="34" t="str">
        <f t="shared" si="5"/>
        <v>PFE</v>
      </c>
      <c r="C22" s="87">
        <f>VLOOKUP($A22,Screening!$A$8:$S$149,5,FALSE)</f>
        <v>23322</v>
      </c>
      <c r="D22" s="87">
        <f>VLOOKUP($A22,Screening!$A$8:$S$149,10,FALSE)</f>
        <v>26638.799999999999</v>
      </c>
      <c r="E22" s="86">
        <f>VLOOKUP($A22,Screening!$A$8:$S$149,13,FALSE)</f>
        <v>2.95</v>
      </c>
      <c r="F22" s="40"/>
      <c r="J22" s="40"/>
    </row>
    <row r="23" spans="1:10" x14ac:dyDescent="0.25">
      <c r="A23" t="str">
        <f t="shared" si="5"/>
        <v>Bristol-Myers Squibb Company (NYSE:BMY)</v>
      </c>
      <c r="B23" s="34" t="str">
        <f t="shared" si="5"/>
        <v>BMY</v>
      </c>
      <c r="C23" s="87">
        <f>VLOOKUP($A23,Screening!$A$8:$S$149,5,FALSE)</f>
        <v>19407</v>
      </c>
      <c r="D23" s="87">
        <f>VLOOKUP($A23,Screening!$A$8:$S$149,10,FALSE)</f>
        <v>17661.400000000001</v>
      </c>
      <c r="E23" s="86">
        <f>VLOOKUP($A23,Screening!$A$8:$S$149,13,FALSE)</f>
        <v>6.74</v>
      </c>
      <c r="F23" s="40"/>
      <c r="J23" s="40"/>
    </row>
    <row r="24" spans="1:10" x14ac:dyDescent="0.25">
      <c r="A24" t="str">
        <f t="shared" si="5"/>
        <v>Zoetis Inc. (NYSE:ZTS)</v>
      </c>
      <c r="B24" s="34" t="str">
        <f t="shared" si="5"/>
        <v>ZTS</v>
      </c>
      <c r="C24" s="87">
        <f>VLOOKUP($A24,Screening!$A$8:$S$149,5,FALSE)</f>
        <v>3829</v>
      </c>
      <c r="D24" s="87">
        <f>VLOOKUP($A24,Screening!$A$8:$S$149,10,FALSE)</f>
        <v>4194.1000000000004</v>
      </c>
      <c r="E24" s="86">
        <f>VLOOKUP($A24,Screening!$A$8:$S$149,13,FALSE)</f>
        <v>6.07</v>
      </c>
      <c r="F24" s="40"/>
      <c r="J24" s="40"/>
    </row>
    <row r="25" spans="1:10" x14ac:dyDescent="0.25">
      <c r="A25" t="str">
        <f t="shared" si="5"/>
        <v>Viatris Inc. (NasdaqGS:VTRS)</v>
      </c>
      <c r="B25" s="34" t="str">
        <f t="shared" si="5"/>
        <v>VTRS</v>
      </c>
      <c r="C25" s="87">
        <f>VLOOKUP($A25,Screening!$A$8:$S$149,5,FALSE)</f>
        <v>4483.2</v>
      </c>
      <c r="D25" s="87">
        <f>VLOOKUP($A25,Screening!$A$8:$S$149,10,FALSE)</f>
        <v>4019.4</v>
      </c>
      <c r="E25" s="86">
        <f>VLOOKUP($A25,Screening!$A$8:$S$149,13,FALSE)</f>
        <v>2.2000000000000002</v>
      </c>
      <c r="F25" s="40"/>
      <c r="J25" s="40"/>
    </row>
    <row r="26" spans="1:10" ht="15.75" thickBot="1" x14ac:dyDescent="0.3">
      <c r="A26" t="str">
        <f t="shared" si="5"/>
        <v>Organon &amp; Co. (NYSE:OGN)</v>
      </c>
      <c r="B26" s="34" t="str">
        <f t="shared" si="5"/>
        <v>OGN</v>
      </c>
      <c r="C26" s="87">
        <f>VLOOKUP($A26,Screening!$A$8:$S$149,5,FALSE)</f>
        <v>1765</v>
      </c>
      <c r="D26" s="87">
        <f>VLOOKUP($A26,Screening!$A$8:$S$149,10,FALSE)</f>
        <v>1965.1</v>
      </c>
      <c r="E26" s="86">
        <f>VLOOKUP($A26,Screening!$A$8:$S$149,13,FALSE)</f>
        <v>3.85</v>
      </c>
      <c r="F26" s="40"/>
      <c r="J26" s="40"/>
    </row>
    <row r="27" spans="1:10" x14ac:dyDescent="0.25">
      <c r="A27" t="str">
        <f t="shared" si="5"/>
        <v>Jazz Pharmaceuticals plc (NasdaqGS:JAZZ)</v>
      </c>
      <c r="B27" s="34" t="str">
        <f t="shared" si="5"/>
        <v>JAZZ</v>
      </c>
      <c r="C27" s="87">
        <f>VLOOKUP($A27,Screening!$A$8:$S$149,5,FALSE)</f>
        <v>1521.7</v>
      </c>
      <c r="D27" s="87">
        <f>VLOOKUP($A27,Screening!$A$8:$S$149,10,FALSE)</f>
        <v>1970.5</v>
      </c>
      <c r="E27" s="86">
        <f>VLOOKUP($A27,Screening!$A$8:$S$149,13,FALSE)</f>
        <v>23.4</v>
      </c>
      <c r="F27" s="40"/>
      <c r="G27" s="175" t="s">
        <v>896</v>
      </c>
      <c r="H27" s="176"/>
      <c r="I27" s="176"/>
      <c r="J27" s="177"/>
    </row>
    <row r="28" spans="1:10" x14ac:dyDescent="0.25">
      <c r="G28" s="59"/>
      <c r="I28" s="40" t="s">
        <v>890</v>
      </c>
      <c r="J28" s="178"/>
    </row>
    <row r="29" spans="1:10" x14ac:dyDescent="0.25">
      <c r="A29" s="41" t="s">
        <v>893</v>
      </c>
      <c r="G29" s="59"/>
      <c r="I29" s="40" t="s">
        <v>892</v>
      </c>
      <c r="J29" s="178"/>
    </row>
    <row r="30" spans="1:10" x14ac:dyDescent="0.25">
      <c r="C30" s="40" t="s">
        <v>894</v>
      </c>
      <c r="D30" s="40" t="s">
        <v>894</v>
      </c>
      <c r="E30" s="40" t="s">
        <v>895</v>
      </c>
      <c r="G30" s="59" t="s">
        <v>897</v>
      </c>
      <c r="I30" s="179">
        <f>VLOOKUP(P1,Screening!$A$8:$S$149,13,FALSE)</f>
        <v>23.2</v>
      </c>
      <c r="J30" s="178"/>
    </row>
    <row r="31" spans="1:10" x14ac:dyDescent="0.25">
      <c r="A31" s="41"/>
      <c r="B31" s="40"/>
      <c r="C31" s="40" t="s">
        <v>889</v>
      </c>
      <c r="D31" s="40" t="s">
        <v>890</v>
      </c>
      <c r="E31" s="40" t="s">
        <v>890</v>
      </c>
      <c r="G31" s="59" t="s">
        <v>898</v>
      </c>
      <c r="I31" s="180">
        <f>E42</f>
        <v>8.8193959664034587</v>
      </c>
      <c r="J31" s="178"/>
    </row>
    <row r="32" spans="1:10" x14ac:dyDescent="0.25">
      <c r="A32" s="41" t="s">
        <v>882</v>
      </c>
      <c r="B32" s="40" t="s">
        <v>476</v>
      </c>
      <c r="C32" s="40" t="s">
        <v>891</v>
      </c>
      <c r="D32" s="40" t="s">
        <v>891</v>
      </c>
      <c r="E32" s="40" t="s">
        <v>892</v>
      </c>
      <c r="G32" s="181" t="s">
        <v>899</v>
      </c>
      <c r="I32" s="179">
        <f>I30*I31</f>
        <v>204.60998642056023</v>
      </c>
      <c r="J32" s="178"/>
    </row>
    <row r="33" spans="1:10" x14ac:dyDescent="0.25">
      <c r="A33" t="str">
        <f t="shared" ref="A33:B40" si="6">A7</f>
        <v>Johnson &amp; Johnson (NYSE:JNJ)</v>
      </c>
      <c r="B33" s="34" t="str">
        <f t="shared" si="6"/>
        <v>JNJ</v>
      </c>
      <c r="C33" s="108">
        <f t="shared" ref="C33:D40" ca="1" si="7">$I7/C20</f>
        <v>13.792693119572478</v>
      </c>
      <c r="D33" s="108">
        <f t="shared" ca="1" si="7"/>
        <v>12.444797666260833</v>
      </c>
      <c r="E33" s="108">
        <f t="shared" ref="E33:E40" si="8">$C7/E20</f>
        <v>15.645283018867925</v>
      </c>
      <c r="F33" s="40"/>
      <c r="G33" s="59"/>
      <c r="J33" s="178"/>
    </row>
    <row r="34" spans="1:10" x14ac:dyDescent="0.25">
      <c r="A34" t="str">
        <f t="shared" si="6"/>
        <v>Merck &amp; Co., Inc. (NYSE:MRK)</v>
      </c>
      <c r="B34" s="34" t="str">
        <f t="shared" si="6"/>
        <v>MRK</v>
      </c>
      <c r="C34" s="108">
        <f t="shared" ca="1" si="7"/>
        <v>8.5965903755062811</v>
      </c>
      <c r="D34" s="108">
        <f t="shared" ca="1" si="7"/>
        <v>8.1830559067904325</v>
      </c>
      <c r="E34" s="108">
        <f t="shared" si="8"/>
        <v>9.9955456570155903</v>
      </c>
      <c r="F34" s="40"/>
      <c r="G34" s="181"/>
      <c r="I34" s="40" t="s">
        <v>889</v>
      </c>
      <c r="J34" s="182" t="s">
        <v>890</v>
      </c>
    </row>
    <row r="35" spans="1:10" x14ac:dyDescent="0.25">
      <c r="A35" t="str">
        <f t="shared" si="6"/>
        <v>Pfizer Inc. (NYSE:PFE)</v>
      </c>
      <c r="B35" s="34" t="str">
        <f t="shared" si="6"/>
        <v>PFE</v>
      </c>
      <c r="C35" s="108">
        <f t="shared" ca="1" si="7"/>
        <v>8.1749768458965786</v>
      </c>
      <c r="D35" s="108">
        <f t="shared" ca="1" si="7"/>
        <v>7.1571095544844363</v>
      </c>
      <c r="E35" s="108">
        <f t="shared" si="8"/>
        <v>8.5898305084745754</v>
      </c>
      <c r="F35" s="40"/>
      <c r="G35" s="181"/>
      <c r="I35" s="40" t="s">
        <v>891</v>
      </c>
      <c r="J35" s="182" t="s">
        <v>891</v>
      </c>
    </row>
    <row r="36" spans="1:10" x14ac:dyDescent="0.25">
      <c r="A36" t="str">
        <f t="shared" si="6"/>
        <v>Bristol-Myers Squibb Company (NYSE:BMY)</v>
      </c>
      <c r="B36" s="34" t="str">
        <f t="shared" si="6"/>
        <v>BMY</v>
      </c>
      <c r="C36" s="108">
        <f t="shared" ca="1" si="7"/>
        <v>8.4763462668109444</v>
      </c>
      <c r="D36" s="108">
        <f t="shared" ca="1" si="7"/>
        <v>9.3141230027064665</v>
      </c>
      <c r="E36" s="108">
        <f t="shared" si="8"/>
        <v>9.0489614243323437</v>
      </c>
      <c r="F36" s="40"/>
      <c r="G36" s="59" t="s">
        <v>891</v>
      </c>
      <c r="I36" s="183">
        <f>VLOOKUP($P1,Screening!$A$8:$S$149,5,FALSE)</f>
        <v>19268.3</v>
      </c>
      <c r="J36" s="184">
        <f>VLOOKUP($P1,Screening!$A$8:$S$149,10,FALSE)</f>
        <v>27676.3</v>
      </c>
    </row>
    <row r="37" spans="1:10" x14ac:dyDescent="0.25">
      <c r="A37" t="str">
        <f t="shared" si="6"/>
        <v>Zoetis Inc. (NYSE:ZTS)</v>
      </c>
      <c r="B37" s="34" t="str">
        <f t="shared" si="6"/>
        <v>ZTS</v>
      </c>
      <c r="C37" s="108">
        <f t="shared" si="7"/>
        <v>20.5492533234526</v>
      </c>
      <c r="D37" s="108">
        <f t="shared" si="7"/>
        <v>18.760423207720368</v>
      </c>
      <c r="E37" s="108">
        <f t="shared" si="8"/>
        <v>27.125205930807248</v>
      </c>
      <c r="F37" s="40"/>
      <c r="G37" s="59" t="s">
        <v>898</v>
      </c>
      <c r="I37" s="105">
        <f ca="1">C42</f>
        <v>8.3256615563537615</v>
      </c>
      <c r="J37" s="185">
        <f ca="1">D42</f>
        <v>7.670082730637434</v>
      </c>
    </row>
    <row r="38" spans="1:10" x14ac:dyDescent="0.25">
      <c r="A38" t="str">
        <f t="shared" si="6"/>
        <v>Viatris Inc. (NasdaqGS:VTRS)</v>
      </c>
      <c r="B38" s="34" t="str">
        <f t="shared" si="6"/>
        <v>VTRS</v>
      </c>
      <c r="C38" s="108">
        <f t="shared" ca="1" si="7"/>
        <v>5.2670251159885799</v>
      </c>
      <c r="D38" s="108">
        <f t="shared" ca="1" si="7"/>
        <v>5.874789023237299</v>
      </c>
      <c r="E38" s="108">
        <f t="shared" si="8"/>
        <v>3.959090909090909</v>
      </c>
      <c r="F38" s="40"/>
      <c r="G38" s="181" t="s">
        <v>900</v>
      </c>
      <c r="I38" s="186">
        <f ca="1">I36*I37</f>
        <v>160421.34456629117</v>
      </c>
      <c r="J38" s="187">
        <f t="shared" ref="J38" ca="1" si="9">J36*J37</f>
        <v>212279.51067794079</v>
      </c>
    </row>
    <row r="39" spans="1:10" x14ac:dyDescent="0.25">
      <c r="A39" t="str">
        <f t="shared" si="6"/>
        <v>Organon &amp; Co. (NYSE:OGN)</v>
      </c>
      <c r="B39" s="34" t="str">
        <f t="shared" si="6"/>
        <v>OGN</v>
      </c>
      <c r="C39" s="108">
        <f t="shared" ca="1" si="7"/>
        <v>6.9136657223796041</v>
      </c>
      <c r="D39" s="108">
        <f t="shared" ca="1" si="7"/>
        <v>6.2096687191491533</v>
      </c>
      <c r="E39" s="108">
        <f t="shared" si="8"/>
        <v>3.8675324675324676</v>
      </c>
      <c r="F39" s="40"/>
      <c r="G39" s="59" t="s">
        <v>901</v>
      </c>
      <c r="I39" s="183">
        <f>VLOOKUP($P1,Screening!$A$8:$S$149,15,FALSE)-VLOOKUP($P1,Screening!$A$8:$S$149,14,FALSE)</f>
        <v>31477.1</v>
      </c>
      <c r="J39" s="184">
        <f>VLOOKUP($P1,Screening!$A$8:$S$149,15,FALSE)-VLOOKUP($P1,Screening!$A$8:$S$149,14,FALSE)</f>
        <v>31477.1</v>
      </c>
    </row>
    <row r="40" spans="1:10" x14ac:dyDescent="0.25">
      <c r="A40" t="str">
        <f t="shared" si="6"/>
        <v>Jazz Pharmaceuticals plc (NasdaqGS:JAZZ)</v>
      </c>
      <c r="B40" s="34" t="str">
        <f t="shared" si="6"/>
        <v>JAZZ</v>
      </c>
      <c r="C40" s="108">
        <f t="shared" si="7"/>
        <v>7.0318976473680754</v>
      </c>
      <c r="D40" s="108">
        <f t="shared" si="7"/>
        <v>5.4303164932758188</v>
      </c>
      <c r="E40" s="108">
        <f t="shared" si="8"/>
        <v>5.3055555555555562</v>
      </c>
      <c r="F40" s="88"/>
      <c r="G40" s="59" t="s">
        <v>902</v>
      </c>
      <c r="I40" s="188">
        <f ca="1">I38-I39</f>
        <v>128944.24456629116</v>
      </c>
      <c r="J40" s="189">
        <f t="shared" ref="J40" ca="1" si="10">J38-J39</f>
        <v>180802.41067794079</v>
      </c>
    </row>
    <row r="41" spans="1:10" x14ac:dyDescent="0.25">
      <c r="G41" s="59" t="s">
        <v>903</v>
      </c>
      <c r="I41" s="179">
        <f>LLY!$C$9</f>
        <v>898</v>
      </c>
      <c r="J41" s="190">
        <f>LLY!$C$9</f>
        <v>898</v>
      </c>
    </row>
    <row r="42" spans="1:10" ht="15.75" thickBot="1" x14ac:dyDescent="0.3">
      <c r="A42" s="41" t="s">
        <v>870</v>
      </c>
      <c r="C42" s="108">
        <f ca="1">MEDIAN(C33:C40)</f>
        <v>8.3256615563537615</v>
      </c>
      <c r="D42" s="108">
        <f ca="1">MEDIAN(D33:D40)</f>
        <v>7.670082730637434</v>
      </c>
      <c r="E42" s="108">
        <f>MEDIAN(E33:E40)</f>
        <v>8.8193959664034587</v>
      </c>
      <c r="F42" s="88"/>
      <c r="G42" s="191" t="s">
        <v>904</v>
      </c>
      <c r="H42" s="192"/>
      <c r="I42" s="193">
        <f ca="1">I40/I41</f>
        <v>143.59047279097013</v>
      </c>
      <c r="J42" s="194">
        <f ca="1">J40/J41</f>
        <v>201.33898739191625</v>
      </c>
    </row>
    <row r="43" spans="1:10" x14ac:dyDescent="0.25">
      <c r="A43" s="41"/>
      <c r="C43" s="88"/>
      <c r="D43" s="88"/>
      <c r="E43" s="88"/>
      <c r="F43" s="88"/>
      <c r="G43" s="88"/>
      <c r="H43" s="88"/>
      <c r="I43" s="88"/>
      <c r="J43" s="88"/>
    </row>
    <row r="48" spans="1:10" x14ac:dyDescent="0.25">
      <c r="D48" s="85"/>
      <c r="E48" s="85"/>
    </row>
    <row r="49" spans="2:6" x14ac:dyDescent="0.25">
      <c r="D49" s="88"/>
      <c r="E49" s="88"/>
    </row>
    <row r="50" spans="2:6" x14ac:dyDescent="0.25">
      <c r="D50" s="89"/>
      <c r="E50" s="89"/>
    </row>
    <row r="52" spans="2:6" x14ac:dyDescent="0.25">
      <c r="D52" s="40"/>
      <c r="E52" s="40"/>
    </row>
    <row r="53" spans="2:6" x14ac:dyDescent="0.25">
      <c r="D53" s="40"/>
      <c r="E53" s="40"/>
    </row>
    <row r="54" spans="2:6" x14ac:dyDescent="0.25">
      <c r="D54" s="90"/>
      <c r="E54" s="90"/>
      <c r="F54" s="90"/>
    </row>
    <row r="55" spans="2:6" x14ac:dyDescent="0.25">
      <c r="D55" s="88"/>
      <c r="E55" s="88"/>
      <c r="F55" s="88"/>
    </row>
    <row r="56" spans="2:6" x14ac:dyDescent="0.25">
      <c r="D56" s="91"/>
      <c r="E56" s="91"/>
      <c r="F56" s="91"/>
    </row>
    <row r="57" spans="2:6" x14ac:dyDescent="0.25">
      <c r="D57" s="90"/>
      <c r="E57" s="90"/>
      <c r="F57" s="90"/>
    </row>
    <row r="58" spans="2:6" x14ac:dyDescent="0.25">
      <c r="D58" s="90"/>
      <c r="E58" s="90"/>
      <c r="F58" s="90"/>
    </row>
    <row r="59" spans="2:6" x14ac:dyDescent="0.25">
      <c r="D59" s="85"/>
      <c r="E59" s="85"/>
      <c r="F59" s="85"/>
    </row>
    <row r="60" spans="2:6" x14ac:dyDescent="0.25">
      <c r="D60" s="89"/>
      <c r="E60" s="89"/>
      <c r="F60" s="89"/>
    </row>
    <row r="63" spans="2:6" x14ac:dyDescent="0.25">
      <c r="B63" s="115"/>
    </row>
    <row r="64" spans="2:6" x14ac:dyDescent="0.25">
      <c r="B64" s="115"/>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7EE1-C32D-412A-95AA-B5473A7DB855}">
  <sheetPr>
    <tabColor rgb="FF00B050"/>
    <pageSetUpPr fitToPage="1"/>
  </sheetPr>
  <dimension ref="A1:I46"/>
  <sheetViews>
    <sheetView topLeftCell="A10" zoomScaleNormal="100" workbookViewId="0">
      <selection activeCell="E53" sqref="E53"/>
    </sheetView>
  </sheetViews>
  <sheetFormatPr defaultRowHeight="15" x14ac:dyDescent="0.25"/>
  <cols>
    <col min="1" max="1" width="39.28515625" customWidth="1"/>
    <col min="2" max="2" width="8.85546875" customWidth="1"/>
    <col min="3" max="3" width="11.28515625" style="34" customWidth="1"/>
    <col min="4" max="7" width="11.28515625" customWidth="1"/>
    <col min="8" max="8" width="11.28515625" style="34" customWidth="1"/>
    <col min="9" max="9" width="11.28515625" customWidth="1"/>
  </cols>
  <sheetData>
    <row r="1" spans="1:9" x14ac:dyDescent="0.25">
      <c r="A1" s="41" t="s">
        <v>905</v>
      </c>
    </row>
    <row r="3" spans="1:9" x14ac:dyDescent="0.25">
      <c r="A3" s="41" t="s">
        <v>906</v>
      </c>
      <c r="C3"/>
      <c r="D3" s="34"/>
      <c r="I3" s="34"/>
    </row>
    <row r="4" spans="1:9" x14ac:dyDescent="0.25">
      <c r="D4" s="34" t="s">
        <v>907</v>
      </c>
      <c r="E4" s="34" t="s">
        <v>907</v>
      </c>
      <c r="G4" s="34"/>
    </row>
    <row r="5" spans="1:9" x14ac:dyDescent="0.25">
      <c r="D5" s="34" t="s">
        <v>908</v>
      </c>
      <c r="E5" s="34" t="s">
        <v>908</v>
      </c>
      <c r="F5" s="34" t="s">
        <v>909</v>
      </c>
      <c r="G5" s="34"/>
    </row>
    <row r="6" spans="1:9" x14ac:dyDescent="0.25">
      <c r="H6" s="40" t="s">
        <v>910</v>
      </c>
    </row>
    <row r="7" spans="1:9" x14ac:dyDescent="0.25">
      <c r="A7" s="41" t="s">
        <v>882</v>
      </c>
      <c r="B7" s="40" t="s">
        <v>476</v>
      </c>
      <c r="C7" s="40" t="s">
        <v>911</v>
      </c>
      <c r="D7" s="40" t="s">
        <v>901</v>
      </c>
      <c r="E7" s="40" t="s">
        <v>912</v>
      </c>
      <c r="F7" s="40" t="s">
        <v>913</v>
      </c>
      <c r="G7" s="40" t="s">
        <v>914</v>
      </c>
      <c r="H7" s="40" t="s">
        <v>915</v>
      </c>
    </row>
    <row r="8" spans="1:9" x14ac:dyDescent="0.25">
      <c r="A8" t="str">
        <f>'Multiples Valuation'!A7</f>
        <v>Johnson &amp; Johnson (NYSE:JNJ)</v>
      </c>
      <c r="B8" s="34" t="str">
        <f>'Multiples Valuation'!B7</f>
        <v>JNJ</v>
      </c>
      <c r="C8" s="86">
        <f>HLOOKUP(B8,'Excess Returns and Beta'!$AB$64:$EN$126,63,FALSE)</f>
        <v>0.47642870203833154</v>
      </c>
      <c r="D8" s="87">
        <f>'Multiples Valuation'!H7</f>
        <v>13312</v>
      </c>
      <c r="E8" s="87">
        <f ca="1">'Multiples Valuation'!E7</f>
        <v>399641.23200000002</v>
      </c>
      <c r="F8" s="86">
        <f ca="1">D8/E8</f>
        <v>3.3309876294245831E-2</v>
      </c>
      <c r="G8" s="3" cm="1">
        <f t="array" aca="1" ref="G8" ca="1">INDIRECT("'"&amp;B8&amp;"'!D5")</f>
        <v>0.16639999999999999</v>
      </c>
      <c r="H8" s="85">
        <f ca="1">C8/(1+F8*(1-G8))</f>
        <v>0.46355706080515158</v>
      </c>
    </row>
    <row r="9" spans="1:9" x14ac:dyDescent="0.25">
      <c r="A9" t="str">
        <f>'Multiples Valuation'!A8</f>
        <v>Merck &amp; Co., Inc. (NYSE:MRK)</v>
      </c>
      <c r="B9" s="34" t="str">
        <f>'Multiples Valuation'!B8</f>
        <v>MRK</v>
      </c>
      <c r="C9" s="86">
        <f>HLOOKUP(B9,'Excess Returns and Beta'!$AB$64:$EN$126,63,FALSE)</f>
        <v>0.35092769279755459</v>
      </c>
      <c r="D9" s="87">
        <f>'Multiples Valuation'!H8</f>
        <v>24581</v>
      </c>
      <c r="E9" s="87">
        <f ca="1">'Multiples Valuation'!E8</f>
        <v>225872.06400000001</v>
      </c>
      <c r="F9" s="86">
        <f t="shared" ref="F9:F15" ca="1" si="0">D9/E9</f>
        <v>0.10882709249072961</v>
      </c>
      <c r="G9" s="3" cm="1">
        <f t="array" aca="1" ref="G9" ca="1">INDIRECT("'"&amp;B9&amp;"'!D5")</f>
        <v>0.16669999999999999</v>
      </c>
      <c r="H9" s="85">
        <f t="shared" ref="H9:H15" ca="1" si="1">C9/(1+F9*(1-G9))</f>
        <v>0.32174962940195662</v>
      </c>
    </row>
    <row r="10" spans="1:9" x14ac:dyDescent="0.25">
      <c r="A10" t="str">
        <f>'Multiples Valuation'!A9</f>
        <v>Pfizer Inc. (NYSE:PFE)</v>
      </c>
      <c r="B10" s="34" t="str">
        <f>'Multiples Valuation'!B9</f>
        <v>PFE</v>
      </c>
      <c r="C10" s="86">
        <f>HLOOKUP(B10,'Excess Returns and Beta'!$AB$64:$EN$126,63,FALSE)</f>
        <v>0.63078467783904413</v>
      </c>
      <c r="D10" s="87">
        <f>'Multiples Valuation'!H9</f>
        <v>46941</v>
      </c>
      <c r="E10" s="87">
        <f ca="1">'Multiples Valuation'!E9</f>
        <v>143715.81</v>
      </c>
      <c r="F10" s="86">
        <f t="shared" ca="1" si="0"/>
        <v>0.32662377229060602</v>
      </c>
      <c r="G10" s="3" cm="1">
        <f t="array" aca="1" ref="G10" ca="1">INDIRECT("'"&amp;B10&amp;"'!D5")</f>
        <v>0.1482</v>
      </c>
      <c r="H10" s="85">
        <f t="shared" ca="1" si="1"/>
        <v>0.4934875068745167</v>
      </c>
    </row>
    <row r="11" spans="1:9" x14ac:dyDescent="0.25">
      <c r="A11" t="str">
        <f>'Multiples Valuation'!A10</f>
        <v>Bristol-Myers Squibb Company (NYSE:BMY)</v>
      </c>
      <c r="B11" s="34" t="str">
        <f>'Multiples Valuation'!B10</f>
        <v>BMY</v>
      </c>
      <c r="C11" s="86">
        <f>HLOOKUP(B11,'Excess Returns and Beta'!$AB$64:$EN$126,63,FALSE)</f>
        <v>0.44306941885926027</v>
      </c>
      <c r="D11" s="87">
        <f>'Multiples Valuation'!H10</f>
        <v>40398</v>
      </c>
      <c r="E11" s="87">
        <f ca="1">'Multiples Valuation'!E10</f>
        <v>124102.452</v>
      </c>
      <c r="F11" s="86">
        <f t="shared" ref="F11" ca="1" si="2">D11/E11</f>
        <v>0.32552136842550056</v>
      </c>
      <c r="G11" s="3" cm="1">
        <f t="array" aca="1" ref="G11" ca="1">INDIRECT("'"&amp;B11&amp;"'!D5")</f>
        <v>0.18010000000000001</v>
      </c>
      <c r="H11" s="85">
        <f t="shared" ref="H11" ca="1" si="3">C11/(1+F11*(1-G11))</f>
        <v>0.34972861157466661</v>
      </c>
    </row>
    <row r="12" spans="1:9" x14ac:dyDescent="0.25">
      <c r="A12" t="str">
        <f>'Multiples Valuation'!A11</f>
        <v>Zoetis Inc. (NYSE:ZTS)</v>
      </c>
      <c r="B12" s="34" t="str">
        <f>'Multiples Valuation'!B11</f>
        <v>ZTS</v>
      </c>
      <c r="C12" s="86">
        <f>HLOOKUP(B12,'Excess Returns and Beta'!$AB$64:$EN$126,63,FALSE)</f>
        <v>0.94650828077512417</v>
      </c>
      <c r="D12" s="87">
        <f>'Multiples Valuation'!H11</f>
        <v>4842</v>
      </c>
      <c r="E12" s="87">
        <f>'Multiples Valuation'!E11</f>
        <v>73841.090975500003</v>
      </c>
      <c r="F12" s="86">
        <f t="shared" si="0"/>
        <v>6.5573245682496006E-2</v>
      </c>
      <c r="G12" s="3">
        <v>0.20899999999999999</v>
      </c>
      <c r="H12" s="85">
        <f t="shared" si="1"/>
        <v>0.89983523336180338</v>
      </c>
    </row>
    <row r="13" spans="1:9" x14ac:dyDescent="0.25">
      <c r="A13" t="str">
        <f>'Multiples Valuation'!A12</f>
        <v>Viatris Inc. (NasdaqGS:VTRS)</v>
      </c>
      <c r="B13" s="34" t="str">
        <f>'Multiples Valuation'!B12</f>
        <v>VTRS</v>
      </c>
      <c r="C13" s="86">
        <f>HLOOKUP(B13,'Excess Returns and Beta'!$AB$64:$EN$126,63,FALSE)</f>
        <v>0.81254761316336488</v>
      </c>
      <c r="D13" s="87">
        <f>'Multiples Valuation'!H12</f>
        <v>13216</v>
      </c>
      <c r="E13" s="87">
        <f ca="1">'Multiples Valuation'!E12</f>
        <v>10397.127000000002</v>
      </c>
      <c r="F13" s="86">
        <f t="shared" ca="1" si="0"/>
        <v>1.2711203777735904</v>
      </c>
      <c r="G13" s="3" cm="1">
        <f t="array" aca="1" ref="G13" ca="1">INDIRECT("'"&amp;B13&amp;"'!D5")</f>
        <v>0.17499999999999999</v>
      </c>
      <c r="H13" s="85">
        <f t="shared" ca="1" si="1"/>
        <v>0.39662117523390034</v>
      </c>
    </row>
    <row r="14" spans="1:9" x14ac:dyDescent="0.25">
      <c r="A14" t="str">
        <f>'Multiples Valuation'!A13</f>
        <v>Organon &amp; Co. (NYSE:OGN)</v>
      </c>
      <c r="B14" s="34" t="str">
        <f>'Multiples Valuation'!B13</f>
        <v>OGN</v>
      </c>
      <c r="C14" s="86">
        <f>HLOOKUP(B14,'Excess Returns and Beta'!$AB$64:$EN$126,63,FALSE)</f>
        <v>0.77500293256268271</v>
      </c>
      <c r="D14" s="87">
        <f>'Multiples Valuation'!H13</f>
        <v>8361</v>
      </c>
      <c r="E14" s="87">
        <f ca="1">'Multiples Valuation'!E13</f>
        <v>3841.6200000000003</v>
      </c>
      <c r="F14" s="86">
        <f t="shared" ca="1" si="0"/>
        <v>2.1764255704624609</v>
      </c>
      <c r="G14" s="3" cm="1">
        <f t="array" aca="1" ref="G14" ca="1">INDIRECT("'"&amp;B14&amp;"'!D5")</f>
        <v>0.2288</v>
      </c>
      <c r="H14" s="85">
        <f t="shared" ca="1" si="1"/>
        <v>0.2893465297924081</v>
      </c>
    </row>
    <row r="15" spans="1:9" x14ac:dyDescent="0.25">
      <c r="A15" t="str">
        <f>'Multiples Valuation'!A14</f>
        <v>Jazz Pharmaceuticals plc (NasdaqGS:JAZZ)</v>
      </c>
      <c r="B15" s="34" t="str">
        <f>'Multiples Valuation'!B14</f>
        <v>JAZZ</v>
      </c>
      <c r="C15" s="86">
        <f>HLOOKUP(B15,'Excess Returns and Beta'!$AB$64:$EN$126,63,FALSE)</f>
        <v>0.44494593166697849</v>
      </c>
      <c r="D15" s="87">
        <f>'Multiples Valuation'!H14</f>
        <v>3173.0999999999995</v>
      </c>
      <c r="E15" s="87">
        <f>'Multiples Valuation'!E14</f>
        <v>7527.3386500000006</v>
      </c>
      <c r="F15" s="86">
        <f t="shared" si="0"/>
        <v>0.42154340963522335</v>
      </c>
      <c r="G15" s="3">
        <v>0.14799999999999999</v>
      </c>
      <c r="H15" s="85">
        <f t="shared" si="1"/>
        <v>0.32736953222738119</v>
      </c>
    </row>
    <row r="16" spans="1:9" x14ac:dyDescent="0.25">
      <c r="A16" s="93" t="s">
        <v>916</v>
      </c>
      <c r="B16" s="34"/>
      <c r="C16" s="5"/>
      <c r="D16" s="5"/>
      <c r="E16" s="92"/>
      <c r="F16" s="3"/>
      <c r="G16" s="85"/>
      <c r="H16" s="195">
        <f ca="1">AVERAGE(H8:H15)</f>
        <v>0.44271190990897308</v>
      </c>
    </row>
    <row r="18" spans="1:3" x14ac:dyDescent="0.25">
      <c r="A18" s="41" t="s">
        <v>917</v>
      </c>
    </row>
    <row r="19" spans="1:3" x14ac:dyDescent="0.25">
      <c r="A19" s="41" t="s">
        <v>918</v>
      </c>
      <c r="B19" s="86">
        <f ca="1">AVERAGE(H8:H15)</f>
        <v>0.44271190990897308</v>
      </c>
      <c r="C19" s="94" t="s">
        <v>919</v>
      </c>
    </row>
    <row r="20" spans="1:3" x14ac:dyDescent="0.25">
      <c r="A20" t="s">
        <v>901</v>
      </c>
      <c r="B20" s="87">
        <f>'Multiples Valuation'!I39</f>
        <v>31477.1</v>
      </c>
    </row>
    <row r="21" spans="1:3" x14ac:dyDescent="0.25">
      <c r="A21" t="s">
        <v>920</v>
      </c>
      <c r="B21" s="87">
        <f ca="1">'Multiples Valuation'!P2*'Multiples Valuation'!P3</f>
        <v>741667.17999999993</v>
      </c>
    </row>
    <row r="22" spans="1:3" x14ac:dyDescent="0.25">
      <c r="A22" t="s">
        <v>921</v>
      </c>
      <c r="B22" s="86">
        <f ca="1">B20/B21</f>
        <v>4.244100433296779E-2</v>
      </c>
    </row>
    <row r="23" spans="1:3" x14ac:dyDescent="0.25">
      <c r="A23" t="s">
        <v>914</v>
      </c>
      <c r="B23" s="97" cm="1">
        <f t="array" aca="1" ref="B23" ca="1">INDIRECT("'"&amp;'Multiples Valuation'!S1&amp;"'!D5")</f>
        <v>0.1603</v>
      </c>
    </row>
    <row r="24" spans="1:3" x14ac:dyDescent="0.25">
      <c r="A24" s="41" t="s">
        <v>922</v>
      </c>
      <c r="B24" s="196">
        <f ca="1">B19*(1+B22*(1-B23))</f>
        <v>0.4584891491603777</v>
      </c>
      <c r="C24" s="94"/>
    </row>
    <row r="26" spans="1:3" x14ac:dyDescent="0.25">
      <c r="A26" s="41" t="s">
        <v>923</v>
      </c>
    </row>
    <row r="27" spans="1:3" x14ac:dyDescent="0.25">
      <c r="A27" t="s">
        <v>924</v>
      </c>
      <c r="B27" s="97">
        <v>4.2450000000000002E-2</v>
      </c>
      <c r="C27" s="94" t="s">
        <v>925</v>
      </c>
    </row>
    <row r="28" spans="1:3" x14ac:dyDescent="0.25">
      <c r="A28" t="s">
        <v>926</v>
      </c>
      <c r="B28" s="98">
        <f>(1+B27/2)^2-1</f>
        <v>4.290050062500006E-2</v>
      </c>
      <c r="C28" s="94"/>
    </row>
    <row r="29" spans="1:3" x14ac:dyDescent="0.25">
      <c r="A29" t="s">
        <v>927</v>
      </c>
      <c r="B29" s="98">
        <v>0.05</v>
      </c>
      <c r="C29" s="94" t="s">
        <v>928</v>
      </c>
    </row>
    <row r="30" spans="1:3" x14ac:dyDescent="0.25">
      <c r="A30" s="41" t="s">
        <v>929</v>
      </c>
      <c r="B30" s="99">
        <f ca="1">B28+B24*B29</f>
        <v>6.5824958083018942E-2</v>
      </c>
      <c r="C30" s="94"/>
    </row>
    <row r="32" spans="1:3" x14ac:dyDescent="0.25">
      <c r="A32" s="41" t="s">
        <v>930</v>
      </c>
    </row>
    <row r="33" spans="1:4" x14ac:dyDescent="0.25">
      <c r="A33" t="s">
        <v>931</v>
      </c>
      <c r="B33" s="123" t="s">
        <v>982</v>
      </c>
      <c r="C33" s="94"/>
    </row>
    <row r="34" spans="1:4" x14ac:dyDescent="0.25">
      <c r="A34" t="s">
        <v>932</v>
      </c>
      <c r="B34" s="98">
        <v>5.0099999999999999E-2</v>
      </c>
      <c r="C34" s="94" t="s">
        <v>1003</v>
      </c>
    </row>
    <row r="35" spans="1:4" x14ac:dyDescent="0.25">
      <c r="A35" t="s">
        <v>914</v>
      </c>
      <c r="B35" s="97">
        <f ca="1">B23</f>
        <v>0.1603</v>
      </c>
      <c r="D35" s="94"/>
    </row>
    <row r="36" spans="1:4" ht="7.5" customHeight="1" x14ac:dyDescent="0.25"/>
    <row r="37" spans="1:4" x14ac:dyDescent="0.25">
      <c r="A37" t="s">
        <v>929</v>
      </c>
      <c r="B37" s="97">
        <f ca="1">B30</f>
        <v>6.5824958083018942E-2</v>
      </c>
      <c r="C37" s="94" t="s">
        <v>933</v>
      </c>
    </row>
    <row r="38" spans="1:4" ht="9" customHeight="1" x14ac:dyDescent="0.25"/>
    <row r="39" spans="1:4" x14ac:dyDescent="0.25">
      <c r="A39" t="s">
        <v>901</v>
      </c>
      <c r="B39" s="95">
        <f>'Multiples Valuation'!I39</f>
        <v>31477.1</v>
      </c>
      <c r="C39" s="94" t="s">
        <v>934</v>
      </c>
    </row>
    <row r="40" spans="1:4" x14ac:dyDescent="0.25">
      <c r="A40" t="s">
        <v>920</v>
      </c>
      <c r="B40" s="95">
        <f ca="1">B21</f>
        <v>741667.17999999993</v>
      </c>
      <c r="C40" s="94" t="s">
        <v>935</v>
      </c>
    </row>
    <row r="41" spans="1:4" x14ac:dyDescent="0.25">
      <c r="A41" t="s">
        <v>936</v>
      </c>
      <c r="B41" s="95">
        <f ca="1">B40+B39</f>
        <v>773144.27999999991</v>
      </c>
      <c r="C41" s="94" t="s">
        <v>937</v>
      </c>
    </row>
    <row r="42" spans="1:4" ht="7.5" customHeight="1" x14ac:dyDescent="0.25">
      <c r="B42" s="95"/>
      <c r="D42" s="94"/>
    </row>
    <row r="43" spans="1:4" x14ac:dyDescent="0.25">
      <c r="A43" t="s">
        <v>938</v>
      </c>
      <c r="B43" s="96">
        <f ca="1">B39/B41</f>
        <v>4.0713099500652064E-2</v>
      </c>
    </row>
    <row r="44" spans="1:4" x14ac:dyDescent="0.25">
      <c r="A44" t="s">
        <v>939</v>
      </c>
      <c r="B44" s="96">
        <f ca="1">B40/B41</f>
        <v>0.95928690049934795</v>
      </c>
    </row>
    <row r="46" spans="1:4" x14ac:dyDescent="0.25">
      <c r="A46" s="41" t="s">
        <v>940</v>
      </c>
      <c r="B46" s="99">
        <f ca="1">B43*B34*(1-B35)+B44*B37</f>
        <v>6.4857778176458686E-2</v>
      </c>
    </row>
  </sheetData>
  <pageMargins left="0.7" right="0.7" top="0.75" bottom="0.75" header="0.3" footer="0.3"/>
  <pageSetup scale="73"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BE09-D063-4DFE-A64D-63C7DA2A1531}">
  <sheetPr>
    <tabColor rgb="FF00B050"/>
    <pageSetUpPr fitToPage="1"/>
  </sheetPr>
  <dimension ref="A1:Z52"/>
  <sheetViews>
    <sheetView zoomScale="74" zoomScaleNormal="100" workbookViewId="0">
      <selection activeCell="P24" sqref="P24"/>
    </sheetView>
  </sheetViews>
  <sheetFormatPr defaultRowHeight="15" x14ac:dyDescent="0.25"/>
  <cols>
    <col min="1" max="1" width="29" customWidth="1"/>
    <col min="2" max="2" width="9.7109375" bestFit="1" customWidth="1"/>
    <col min="3" max="3" width="9.85546875" bestFit="1" customWidth="1"/>
    <col min="4" max="6" width="9.7109375" bestFit="1" customWidth="1"/>
    <col min="7" max="7" width="10.5703125" customWidth="1"/>
    <col min="8" max="8" width="10.28515625" customWidth="1"/>
    <col min="9" max="12" width="9.5703125" customWidth="1"/>
    <col min="13" max="13" width="1.7109375" style="34" customWidth="1"/>
    <col min="14" max="14" width="10.42578125" style="170" customWidth="1"/>
    <col min="17" max="17" width="11.140625" customWidth="1"/>
    <col min="18" max="18" width="10.28515625" customWidth="1"/>
  </cols>
  <sheetData>
    <row r="1" spans="1:26" x14ac:dyDescent="0.25">
      <c r="A1" s="41" t="s">
        <v>941</v>
      </c>
      <c r="F1" s="41"/>
      <c r="G1" s="41"/>
    </row>
    <row r="2" spans="1:26" x14ac:dyDescent="0.25">
      <c r="A2" s="41"/>
      <c r="F2" s="41"/>
      <c r="G2" s="41"/>
    </row>
    <row r="3" spans="1:26" x14ac:dyDescent="0.25">
      <c r="A3" s="71" t="s">
        <v>942</v>
      </c>
      <c r="F3" s="71"/>
      <c r="G3" s="41"/>
      <c r="N3" s="171" t="s">
        <v>983</v>
      </c>
      <c r="Z3" t="s">
        <v>997</v>
      </c>
    </row>
    <row r="4" spans="1:26" x14ac:dyDescent="0.25">
      <c r="A4" t="s">
        <v>943</v>
      </c>
      <c r="G4" s="100">
        <f>L33+Z4</f>
        <v>3.7999999999999812E-2</v>
      </c>
      <c r="N4" s="172"/>
      <c r="Z4" s="134">
        <v>0</v>
      </c>
    </row>
    <row r="5" spans="1:26" x14ac:dyDescent="0.25">
      <c r="A5" t="s">
        <v>940</v>
      </c>
      <c r="B5" s="197"/>
      <c r="C5" s="197"/>
      <c r="D5" s="197"/>
      <c r="E5" s="197"/>
      <c r="F5" s="197"/>
      <c r="G5" s="101">
        <f ca="1">'CAPM and WACC'!B46+Z5</f>
        <v>6.4857778176458686E-2</v>
      </c>
      <c r="N5" s="173"/>
      <c r="Z5" s="134">
        <v>0</v>
      </c>
    </row>
    <row r="6" spans="1:26" x14ac:dyDescent="0.25">
      <c r="A6" s="41"/>
      <c r="F6" s="41"/>
      <c r="G6" s="41"/>
      <c r="N6" s="173"/>
    </row>
    <row r="7" spans="1:26" x14ac:dyDescent="0.25">
      <c r="A7" s="41"/>
      <c r="B7" s="127" t="s">
        <v>991</v>
      </c>
      <c r="C7" s="128"/>
      <c r="D7" s="128"/>
      <c r="E7" s="128"/>
      <c r="F7" s="126"/>
      <c r="G7" s="127" t="s">
        <v>992</v>
      </c>
      <c r="H7" s="128"/>
      <c r="I7" s="126"/>
      <c r="J7" s="127" t="s">
        <v>993</v>
      </c>
      <c r="K7" s="128"/>
      <c r="L7" s="126"/>
      <c r="N7" s="173"/>
    </row>
    <row r="8" spans="1:26" x14ac:dyDescent="0.25">
      <c r="B8" s="124" t="s">
        <v>987</v>
      </c>
      <c r="C8" s="124" t="s">
        <v>988</v>
      </c>
      <c r="D8" s="124" t="s">
        <v>989</v>
      </c>
      <c r="E8" s="124" t="s">
        <v>990</v>
      </c>
      <c r="F8" s="119" t="s">
        <v>986</v>
      </c>
      <c r="G8" s="124" t="s">
        <v>15</v>
      </c>
      <c r="H8" s="124" t="s">
        <v>16</v>
      </c>
      <c r="I8" s="124" t="s">
        <v>994</v>
      </c>
      <c r="J8" s="124" t="s">
        <v>995</v>
      </c>
      <c r="K8" s="119" t="s">
        <v>996</v>
      </c>
      <c r="L8" s="102" t="s">
        <v>944</v>
      </c>
      <c r="M8"/>
      <c r="N8" s="173"/>
    </row>
    <row r="9" spans="1:26" ht="21.6" customHeight="1" x14ac:dyDescent="0.25">
      <c r="A9" s="41" t="s">
        <v>945</v>
      </c>
      <c r="B9" s="5">
        <v>24540</v>
      </c>
      <c r="C9" s="5">
        <v>28318</v>
      </c>
      <c r="D9" s="5">
        <v>28541</v>
      </c>
      <c r="E9" s="5">
        <v>34124</v>
      </c>
      <c r="F9" s="121">
        <f>VLOOKUP('Multiples Valuation'!$P$1,Screening!$A$8:$S$149,4,FALSE)</f>
        <v>45042.7</v>
      </c>
      <c r="G9" s="151">
        <f>LLY!D2</f>
        <v>59413.32</v>
      </c>
      <c r="H9" s="151">
        <f>LLY!E2</f>
        <v>71106.58</v>
      </c>
      <c r="I9" s="152">
        <f>LLY!F2</f>
        <v>82961.509999999995</v>
      </c>
      <c r="J9" s="160">
        <f>I9*(1+J10)</f>
        <v>86114.047380000004</v>
      </c>
      <c r="K9" s="161">
        <f>J9*(1+K10)</f>
        <v>89386.381180440003</v>
      </c>
      <c r="L9" s="146">
        <f>K9*(1+L10)</f>
        <v>92783.063665296722</v>
      </c>
      <c r="M9"/>
      <c r="N9" s="172"/>
    </row>
    <row r="10" spans="1:26" x14ac:dyDescent="0.25">
      <c r="A10" s="71" t="s">
        <v>946</v>
      </c>
      <c r="B10" s="103">
        <f>B9/22320-1</f>
        <v>9.9462365591397761E-2</v>
      </c>
      <c r="C10" s="103">
        <f t="shared" ref="C10:F10" si="0">C9/B9-1</f>
        <v>0.15395273023634881</v>
      </c>
      <c r="D10" s="103">
        <f t="shared" si="0"/>
        <v>7.874849918779514E-3</v>
      </c>
      <c r="E10" s="103">
        <f t="shared" si="0"/>
        <v>0.19561332819452715</v>
      </c>
      <c r="F10" s="122">
        <f t="shared" si="0"/>
        <v>0.31997128120970575</v>
      </c>
      <c r="G10" s="153">
        <f>G9/F9-1</f>
        <v>0.31904437345008185</v>
      </c>
      <c r="H10" s="153">
        <f>H9/G9-1</f>
        <v>0.19681209533485089</v>
      </c>
      <c r="I10" s="154">
        <f>I9/H9-1</f>
        <v>0.16672057635172433</v>
      </c>
      <c r="J10" s="162">
        <v>3.7999999999999999E-2</v>
      </c>
      <c r="K10" s="163">
        <v>3.7999999999999999E-2</v>
      </c>
      <c r="L10" s="147">
        <v>3.7999999999999999E-2</v>
      </c>
      <c r="M10"/>
      <c r="N10" s="172"/>
    </row>
    <row r="11" spans="1:26" ht="9.75" customHeight="1" x14ac:dyDescent="0.25">
      <c r="F11" s="120"/>
      <c r="G11" s="155"/>
      <c r="H11" s="155"/>
      <c r="I11" s="156"/>
      <c r="J11" s="164"/>
      <c r="K11" s="165"/>
      <c r="L11" s="148"/>
      <c r="M11"/>
      <c r="N11" s="173"/>
    </row>
    <row r="12" spans="1:26" x14ac:dyDescent="0.25">
      <c r="A12" s="41" t="s">
        <v>891</v>
      </c>
      <c r="B12" s="5">
        <f t="shared" ref="B12:D12" si="1">B15+B26</f>
        <v>8955.84</v>
      </c>
      <c r="C12" s="5">
        <f t="shared" si="1"/>
        <v>10014.682000000001</v>
      </c>
      <c r="D12" s="5">
        <f t="shared" si="1"/>
        <v>10370.209999999999</v>
      </c>
      <c r="E12" s="5">
        <f>E15+E26</f>
        <v>12359.3</v>
      </c>
      <c r="F12" s="121">
        <f>VLOOKUP('Multiples Valuation'!$P$1,Screening!$A$8:$S$149,5,FALSE)</f>
        <v>19268.3</v>
      </c>
      <c r="G12" s="151">
        <f>LLY!D3</f>
        <v>27690.85</v>
      </c>
      <c r="H12" s="151">
        <f>LLY!E3</f>
        <v>34459.71</v>
      </c>
      <c r="I12" s="157">
        <f>LLY!F3</f>
        <v>41098.959999999999</v>
      </c>
      <c r="J12" s="160">
        <f>J13*J9</f>
        <v>35306.759425800003</v>
      </c>
      <c r="K12" s="161">
        <f t="shared" ref="K12:L12" si="2">K13*K9</f>
        <v>36648.416283980398</v>
      </c>
      <c r="L12" s="146">
        <f t="shared" si="2"/>
        <v>38041.056102771654</v>
      </c>
      <c r="M12"/>
      <c r="N12" s="174" t="s">
        <v>1004</v>
      </c>
    </row>
    <row r="13" spans="1:26" x14ac:dyDescent="0.25">
      <c r="A13" s="71" t="s">
        <v>947</v>
      </c>
      <c r="B13" s="103">
        <f t="shared" ref="B13:E13" si="3">B12/B9</f>
        <v>0.36494865525672371</v>
      </c>
      <c r="C13" s="103">
        <f t="shared" si="3"/>
        <v>0.35365075217176356</v>
      </c>
      <c r="D13" s="103">
        <f t="shared" si="3"/>
        <v>0.36334431169195192</v>
      </c>
      <c r="E13" s="103">
        <f t="shared" si="3"/>
        <v>0.36218790294221076</v>
      </c>
      <c r="F13" s="122">
        <f>F12/F9</f>
        <v>0.42777853015027961</v>
      </c>
      <c r="G13" s="153">
        <f>G12/G9</f>
        <v>0.46607141294241761</v>
      </c>
      <c r="H13" s="153">
        <f t="shared" ref="H13:I13" si="4">H12/H9</f>
        <v>0.48462055129075254</v>
      </c>
      <c r="I13" s="154">
        <f t="shared" si="4"/>
        <v>0.49539792609850042</v>
      </c>
      <c r="J13" s="162">
        <v>0.41</v>
      </c>
      <c r="K13" s="163">
        <v>0.41</v>
      </c>
      <c r="L13" s="147">
        <v>0.41</v>
      </c>
      <c r="M13"/>
      <c r="N13" s="172" t="s">
        <v>1005</v>
      </c>
    </row>
    <row r="14" spans="1:26" ht="9.75" customHeight="1" x14ac:dyDescent="0.25">
      <c r="F14" s="120"/>
      <c r="G14" s="155"/>
      <c r="H14" s="155"/>
      <c r="I14" s="156"/>
      <c r="J14" s="164"/>
      <c r="K14" s="165"/>
      <c r="L14" s="148"/>
      <c r="M14"/>
      <c r="N14" s="173"/>
    </row>
    <row r="15" spans="1:26" s="41" customFormat="1" x14ac:dyDescent="0.25">
      <c r="A15" s="41" t="s">
        <v>948</v>
      </c>
      <c r="B15" s="5">
        <v>7631.94</v>
      </c>
      <c r="C15" s="5">
        <v>8467.0820000000003</v>
      </c>
      <c r="D15" s="5">
        <v>8847.7099999999991</v>
      </c>
      <c r="E15" s="5">
        <v>10832</v>
      </c>
      <c r="F15" s="121">
        <f>VLOOKUP('Multiples Valuation'!$P$1,Screening!$A$8:$S$149,6,FALSE)</f>
        <v>17501.7</v>
      </c>
      <c r="G15" s="151">
        <f>LLY!D3-LLY!D4</f>
        <v>25918.98</v>
      </c>
      <c r="H15" s="151">
        <f>LLY!E3-LLY!E4</f>
        <v>32457</v>
      </c>
      <c r="I15" s="157">
        <f>LLY!F3-LLY!F4</f>
        <v>38721.599999999999</v>
      </c>
      <c r="J15" s="160">
        <f>J16*J9</f>
        <v>31862.197530600002</v>
      </c>
      <c r="K15" s="161">
        <f t="shared" ref="K15:L15" si="5">K16*K9</f>
        <v>33072.961036762797</v>
      </c>
      <c r="L15" s="146">
        <f t="shared" si="5"/>
        <v>34329.733556159787</v>
      </c>
      <c r="N15" s="174" t="s">
        <v>1004</v>
      </c>
    </row>
    <row r="16" spans="1:26" s="41" customFormat="1" x14ac:dyDescent="0.25">
      <c r="A16" s="71" t="s">
        <v>947</v>
      </c>
      <c r="B16" s="103">
        <f t="shared" ref="B16:D16" si="6">B15/B9</f>
        <v>0.311</v>
      </c>
      <c r="C16" s="103">
        <f t="shared" si="6"/>
        <v>0.29899999999999999</v>
      </c>
      <c r="D16" s="103">
        <f t="shared" si="6"/>
        <v>0.30999999999999994</v>
      </c>
      <c r="E16" s="103">
        <f>E15/E9</f>
        <v>0.31743054741530885</v>
      </c>
      <c r="F16" s="122">
        <f>F15/F9</f>
        <v>0.38855796832783118</v>
      </c>
      <c r="G16" s="153">
        <f>G15/G9</f>
        <v>0.43624863919403933</v>
      </c>
      <c r="H16" s="153">
        <f t="shared" ref="H16:I16" si="7">H15/H9</f>
        <v>0.45645564728327531</v>
      </c>
      <c r="I16" s="154">
        <f t="shared" si="7"/>
        <v>0.466741745660126</v>
      </c>
      <c r="J16" s="162">
        <v>0.37</v>
      </c>
      <c r="K16" s="163">
        <v>0.37</v>
      </c>
      <c r="L16" s="147">
        <v>0.37</v>
      </c>
      <c r="N16" s="172" t="s">
        <v>1005</v>
      </c>
    </row>
    <row r="17" spans="1:14" ht="9.75" customHeight="1" x14ac:dyDescent="0.25">
      <c r="F17" s="120"/>
      <c r="G17" s="155"/>
      <c r="H17" s="155"/>
      <c r="I17" s="156"/>
      <c r="J17" s="164"/>
      <c r="K17" s="165"/>
      <c r="L17" s="148"/>
      <c r="M17"/>
      <c r="N17" s="173"/>
    </row>
    <row r="18" spans="1:14" s="41" customFormat="1" x14ac:dyDescent="0.25">
      <c r="A18" t="s">
        <v>914</v>
      </c>
      <c r="B18" s="97">
        <v>0.14199999999999999</v>
      </c>
      <c r="C18" s="97">
        <v>0.123</v>
      </c>
      <c r="D18" s="97">
        <v>0.10299999999999999</v>
      </c>
      <c r="E18" s="97">
        <v>0.20100000000000001</v>
      </c>
      <c r="F18" s="125">
        <v>0.16900000000000001</v>
      </c>
      <c r="G18" s="158">
        <f>LLY!D5</f>
        <v>0.1603</v>
      </c>
      <c r="H18" s="158">
        <f>LLY!E5</f>
        <v>0.16209999999999999</v>
      </c>
      <c r="I18" s="159">
        <f>LLY!F5</f>
        <v>0.16309999999999999</v>
      </c>
      <c r="J18" s="166">
        <v>0.16200000000000001</v>
      </c>
      <c r="K18" s="167">
        <v>0.16200000000000001</v>
      </c>
      <c r="L18" s="149">
        <v>0.16200000000000001</v>
      </c>
      <c r="N18" s="172"/>
    </row>
    <row r="19" spans="1:14" x14ac:dyDescent="0.25">
      <c r="A19" t="s">
        <v>949</v>
      </c>
      <c r="B19" s="5"/>
      <c r="C19" s="5"/>
      <c r="D19" s="5"/>
      <c r="E19" s="5"/>
      <c r="F19" s="120"/>
      <c r="G19" s="151">
        <f>G15*G18</f>
        <v>4154.8124939999998</v>
      </c>
      <c r="H19" s="151">
        <f t="shared" ref="H19:L19" si="8">H15*H18</f>
        <v>5261.2797</v>
      </c>
      <c r="I19" s="157">
        <f t="shared" si="8"/>
        <v>6315.4929599999996</v>
      </c>
      <c r="J19" s="160">
        <f t="shared" si="8"/>
        <v>5161.6759999572005</v>
      </c>
      <c r="K19" s="161">
        <f t="shared" si="8"/>
        <v>5357.8196879555735</v>
      </c>
      <c r="L19" s="146">
        <f t="shared" si="8"/>
        <v>5561.4168360978856</v>
      </c>
      <c r="M19"/>
      <c r="N19" s="173"/>
    </row>
    <row r="20" spans="1:14" ht="9.75" customHeight="1" x14ac:dyDescent="0.25">
      <c r="F20" s="120"/>
      <c r="G20" s="155"/>
      <c r="H20" s="155"/>
      <c r="I20" s="156"/>
      <c r="J20" s="164"/>
      <c r="K20" s="165"/>
      <c r="L20" s="148"/>
      <c r="M20"/>
      <c r="N20" s="173"/>
    </row>
    <row r="21" spans="1:14" x14ac:dyDescent="0.25">
      <c r="A21" s="41" t="s">
        <v>950</v>
      </c>
      <c r="B21" s="5"/>
      <c r="C21" s="5"/>
      <c r="D21" s="5"/>
      <c r="E21" s="5"/>
      <c r="F21" s="120"/>
      <c r="G21" s="151">
        <f>(1-G18)*G15</f>
        <v>21764.167505999998</v>
      </c>
      <c r="H21" s="151">
        <f t="shared" ref="H21:L21" si="9">(1-H18)*H15</f>
        <v>27195.720300000001</v>
      </c>
      <c r="I21" s="157">
        <f t="shared" si="9"/>
        <v>32406.107039999999</v>
      </c>
      <c r="J21" s="160">
        <f t="shared" si="9"/>
        <v>26700.5215306428</v>
      </c>
      <c r="K21" s="161">
        <f t="shared" si="9"/>
        <v>27715.141348807225</v>
      </c>
      <c r="L21" s="146">
        <f t="shared" si="9"/>
        <v>28768.316720061899</v>
      </c>
      <c r="M21"/>
      <c r="N21" s="173"/>
    </row>
    <row r="22" spans="1:14" ht="9.75" customHeight="1" x14ac:dyDescent="0.25">
      <c r="F22" s="120"/>
      <c r="G22" s="155"/>
      <c r="H22" s="155"/>
      <c r="I22" s="156"/>
      <c r="J22" s="164"/>
      <c r="K22" s="165"/>
      <c r="L22" s="148"/>
      <c r="M22"/>
      <c r="N22" s="173"/>
    </row>
    <row r="23" spans="1:14" x14ac:dyDescent="0.25">
      <c r="A23" t="s">
        <v>951</v>
      </c>
      <c r="B23" s="5">
        <v>1387.9</v>
      </c>
      <c r="C23" s="5">
        <v>1309.8</v>
      </c>
      <c r="D23" s="5">
        <v>1854.3</v>
      </c>
      <c r="E23" s="5">
        <v>3448</v>
      </c>
      <c r="F23" s="121">
        <v>5058</v>
      </c>
      <c r="G23" s="151">
        <f>LLY!D6</f>
        <v>5067.8100000000004</v>
      </c>
      <c r="H23" s="151">
        <f>LLY!E6</f>
        <v>5235.7700000000004</v>
      </c>
      <c r="I23" s="157">
        <f>LLY!F6</f>
        <v>4892.6099999999997</v>
      </c>
      <c r="J23" s="160">
        <f>J9*J24</f>
        <v>6889.1237904000009</v>
      </c>
      <c r="K23" s="161">
        <f t="shared" ref="K23:L23" si="10">K9*K24</f>
        <v>7150.9104944352002</v>
      </c>
      <c r="L23" s="146">
        <f t="shared" si="10"/>
        <v>7422.6450932237376</v>
      </c>
      <c r="M23"/>
      <c r="N23" s="173"/>
    </row>
    <row r="24" spans="1:14" x14ac:dyDescent="0.25">
      <c r="A24" s="71" t="s">
        <v>947</v>
      </c>
      <c r="B24" s="103">
        <f t="shared" ref="B24" si="11">B23/B9</f>
        <v>5.6556642216788917E-2</v>
      </c>
      <c r="C24" s="103">
        <f t="shared" ref="C24" si="12">C23/C9</f>
        <v>4.6253266473621019E-2</v>
      </c>
      <c r="D24" s="103">
        <f t="shared" ref="D24:F24" si="13">D23/D9</f>
        <v>6.4969692722749731E-2</v>
      </c>
      <c r="E24" s="103">
        <f t="shared" si="13"/>
        <v>0.10104325401476966</v>
      </c>
      <c r="F24" s="122">
        <f t="shared" si="13"/>
        <v>0.11229344599679859</v>
      </c>
      <c r="G24" s="153">
        <f>G23/G9</f>
        <v>8.5297539339663234E-2</v>
      </c>
      <c r="H24" s="153">
        <f t="shared" ref="H24:I24" si="14">H23/H9</f>
        <v>7.3632707409075224E-2</v>
      </c>
      <c r="I24" s="154">
        <f t="shared" si="14"/>
        <v>5.897445694997596E-2</v>
      </c>
      <c r="J24" s="162">
        <v>0.08</v>
      </c>
      <c r="K24" s="163">
        <v>0.08</v>
      </c>
      <c r="L24" s="147">
        <v>0.08</v>
      </c>
      <c r="M24"/>
      <c r="N24" s="172"/>
    </row>
    <row r="25" spans="1:14" ht="9.75" customHeight="1" x14ac:dyDescent="0.25">
      <c r="F25" s="120"/>
      <c r="G25" s="155"/>
      <c r="H25" s="155"/>
      <c r="I25" s="156"/>
      <c r="J25" s="164"/>
      <c r="K25" s="165"/>
      <c r="L25" s="148"/>
      <c r="M25"/>
      <c r="N25" s="173"/>
    </row>
    <row r="26" spans="1:14" x14ac:dyDescent="0.25">
      <c r="A26" t="s">
        <v>952</v>
      </c>
      <c r="B26" s="5">
        <v>1323.9</v>
      </c>
      <c r="C26" s="5">
        <v>1547.6</v>
      </c>
      <c r="D26" s="5">
        <v>1522.5</v>
      </c>
      <c r="E26" s="5">
        <v>1527.3</v>
      </c>
      <c r="F26" s="121">
        <v>1766.6</v>
      </c>
      <c r="G26" s="151">
        <f>LLY!D4</f>
        <v>1771.87</v>
      </c>
      <c r="H26" s="151">
        <f>LLY!E4</f>
        <v>2002.71</v>
      </c>
      <c r="I26" s="157">
        <f>LLY!F4</f>
        <v>2377.36</v>
      </c>
      <c r="J26" s="160">
        <f>J12-J15</f>
        <v>3444.5618952000004</v>
      </c>
      <c r="K26" s="161">
        <f t="shared" ref="K26:L26" si="15">K12-K15</f>
        <v>3575.4552472176001</v>
      </c>
      <c r="L26" s="146">
        <f t="shared" si="15"/>
        <v>3711.3225466118674</v>
      </c>
      <c r="M26"/>
      <c r="N26" s="173"/>
    </row>
    <row r="27" spans="1:14" x14ac:dyDescent="0.25">
      <c r="A27" s="71" t="s">
        <v>953</v>
      </c>
      <c r="B27" s="103">
        <f t="shared" ref="B27" si="16">B26/B23</f>
        <v>0.95388716766337633</v>
      </c>
      <c r="C27" s="103">
        <f t="shared" ref="C27" si="17">C26/C23</f>
        <v>1.1815544357917238</v>
      </c>
      <c r="D27" s="103">
        <f t="shared" ref="D27" si="18">D26/D23</f>
        <v>0.82106455266138167</v>
      </c>
      <c r="E27" s="103">
        <f t="shared" ref="E27:F27" si="19">E26/E23</f>
        <v>0.4429524361948956</v>
      </c>
      <c r="F27" s="122">
        <f t="shared" si="19"/>
        <v>0.34926848556741791</v>
      </c>
      <c r="G27" s="153">
        <f>G26/G23</f>
        <v>0.34963228692472681</v>
      </c>
      <c r="H27" s="153">
        <f t="shared" ref="H27:I27" si="20">H26/H23</f>
        <v>0.38250534305364825</v>
      </c>
      <c r="I27" s="154">
        <f t="shared" si="20"/>
        <v>0.48590833931173755</v>
      </c>
      <c r="J27" s="168">
        <f t="shared" ref="J27" si="21">J26/J23</f>
        <v>0.5</v>
      </c>
      <c r="K27" s="169">
        <f t="shared" ref="K27" si="22">K26/K23</f>
        <v>0.5</v>
      </c>
      <c r="L27" s="150">
        <f t="shared" ref="L27" si="23">L26/L23</f>
        <v>0.49999999999999983</v>
      </c>
      <c r="M27"/>
      <c r="N27" s="173"/>
    </row>
    <row r="28" spans="1:14" ht="9.75" customHeight="1" x14ac:dyDescent="0.25">
      <c r="F28" s="120"/>
      <c r="G28" s="155"/>
      <c r="H28" s="155"/>
      <c r="I28" s="156"/>
      <c r="J28" s="164"/>
      <c r="K28" s="165"/>
      <c r="L28" s="148"/>
      <c r="M28"/>
      <c r="N28" s="173"/>
    </row>
    <row r="29" spans="1:14" x14ac:dyDescent="0.25">
      <c r="A29" t="s">
        <v>954</v>
      </c>
      <c r="B29" s="5"/>
      <c r="C29" s="5"/>
      <c r="D29" s="5"/>
      <c r="E29" s="5"/>
      <c r="G29" s="5">
        <f>LLY!D7-LLY!C7</f>
        <v>1136.8999999999996</v>
      </c>
      <c r="H29" s="5">
        <f>LLY!E7-LLY!D7</f>
        <v>1500</v>
      </c>
      <c r="I29" s="5">
        <f>LLY!F7-LLY!E7</f>
        <v>1000</v>
      </c>
      <c r="J29" s="5">
        <f>J30*(J9-I9)</f>
        <v>315.25373800000091</v>
      </c>
      <c r="K29" s="143">
        <f t="shared" ref="K29:L29" si="24">K30*(K9-J9)</f>
        <v>327.23338004399994</v>
      </c>
      <c r="L29" s="5">
        <f t="shared" si="24"/>
        <v>339.66824848567194</v>
      </c>
      <c r="M29"/>
      <c r="N29" s="173"/>
    </row>
    <row r="30" spans="1:14" x14ac:dyDescent="0.25">
      <c r="A30" s="71" t="s">
        <v>955</v>
      </c>
      <c r="B30" s="103"/>
      <c r="C30" s="103"/>
      <c r="D30" s="103"/>
      <c r="E30" s="103"/>
      <c r="F30" s="71"/>
      <c r="G30" s="103">
        <f>G29/(G9-LLY!C2)</f>
        <v>7.911280097866337E-2</v>
      </c>
      <c r="H30" s="103">
        <f>H29/(H9-G9)</f>
        <v>0.12827902569514402</v>
      </c>
      <c r="I30" s="103">
        <f t="shared" ref="I30" si="25">I29/(I9-H9)</f>
        <v>8.4353091920407852E-2</v>
      </c>
      <c r="J30" s="114">
        <v>0.1</v>
      </c>
      <c r="K30" s="144">
        <v>0.1</v>
      </c>
      <c r="L30" s="114">
        <v>0.1</v>
      </c>
      <c r="M30"/>
      <c r="N30" s="173"/>
    </row>
    <row r="31" spans="1:14" ht="9" customHeight="1" x14ac:dyDescent="0.25">
      <c r="M31"/>
      <c r="N31" s="173"/>
    </row>
    <row r="32" spans="1:14" x14ac:dyDescent="0.25">
      <c r="A32" s="41" t="s">
        <v>956</v>
      </c>
      <c r="B32" s="5"/>
      <c r="C32" s="5"/>
      <c r="D32" s="5"/>
      <c r="E32" s="5"/>
      <c r="G32" s="5">
        <f>G21-G23+G26-G29</f>
        <v>17331.327505999994</v>
      </c>
      <c r="H32" s="5">
        <f t="shared" ref="H32:L32" si="26">H21-H23+H26-H29</f>
        <v>22462.6603</v>
      </c>
      <c r="I32" s="5">
        <f t="shared" si="26"/>
        <v>28890.857039999999</v>
      </c>
      <c r="J32" s="5">
        <f t="shared" si="26"/>
        <v>22940.7058974428</v>
      </c>
      <c r="K32" s="143">
        <f t="shared" si="26"/>
        <v>23812.452721545626</v>
      </c>
      <c r="L32" s="5">
        <f t="shared" si="26"/>
        <v>24717.325924964356</v>
      </c>
      <c r="M32"/>
      <c r="N32" s="173"/>
    </row>
    <row r="33" spans="1:18" x14ac:dyDescent="0.25">
      <c r="A33" s="71" t="s">
        <v>946</v>
      </c>
      <c r="B33" s="103"/>
      <c r="C33" s="103"/>
      <c r="D33" s="103"/>
      <c r="E33" s="103"/>
      <c r="F33" s="71"/>
      <c r="H33" s="103">
        <f>H32/G32-1</f>
        <v>0.29607269219415366</v>
      </c>
      <c r="I33" s="103">
        <f t="shared" ref="I33:L33" si="27">I32/H32-1</f>
        <v>0.28617254831565964</v>
      </c>
      <c r="J33" s="103">
        <f t="shared" si="27"/>
        <v>-0.20595273910770762</v>
      </c>
      <c r="K33" s="145">
        <f t="shared" si="27"/>
        <v>3.8000000000000034E-2</v>
      </c>
      <c r="L33" s="103">
        <f t="shared" si="27"/>
        <v>3.7999999999999812E-2</v>
      </c>
      <c r="M33"/>
      <c r="N33" s="173"/>
    </row>
    <row r="34" spans="1:18" ht="9" customHeight="1" x14ac:dyDescent="0.25">
      <c r="M34"/>
      <c r="N34" s="173"/>
    </row>
    <row r="35" spans="1:18" x14ac:dyDescent="0.25">
      <c r="A35" t="s">
        <v>957</v>
      </c>
      <c r="B35" s="113"/>
      <c r="C35" s="113"/>
      <c r="D35" s="113"/>
      <c r="E35" s="113"/>
      <c r="G35" s="113">
        <v>0.75</v>
      </c>
      <c r="H35" s="113">
        <v>1</v>
      </c>
      <c r="I35" s="113">
        <v>1</v>
      </c>
      <c r="J35" s="113">
        <v>1</v>
      </c>
      <c r="K35" s="113">
        <v>1</v>
      </c>
      <c r="L35" s="34"/>
      <c r="M35"/>
      <c r="N35" s="173"/>
    </row>
    <row r="36" spans="1:18" x14ac:dyDescent="0.25">
      <c r="A36" t="s">
        <v>958</v>
      </c>
      <c r="B36" s="104"/>
      <c r="C36" s="104"/>
      <c r="D36" s="104"/>
      <c r="E36" s="104"/>
      <c r="G36" s="104">
        <f>G35</f>
        <v>0.75</v>
      </c>
      <c r="H36" s="104">
        <f>G36+1</f>
        <v>1.75</v>
      </c>
      <c r="I36" s="104">
        <f t="shared" ref="I36:K36" si="28">H36+1</f>
        <v>2.75</v>
      </c>
      <c r="J36" s="104">
        <f t="shared" si="28"/>
        <v>3.75</v>
      </c>
      <c r="K36" s="104">
        <f t="shared" si="28"/>
        <v>4.75</v>
      </c>
      <c r="L36" s="34"/>
      <c r="M36"/>
      <c r="N36" s="173"/>
    </row>
    <row r="37" spans="1:18" x14ac:dyDescent="0.25">
      <c r="A37" t="s">
        <v>959</v>
      </c>
      <c r="B37" s="104"/>
      <c r="C37" s="104"/>
      <c r="D37" s="104"/>
      <c r="E37" s="104"/>
      <c r="G37" s="104">
        <f ca="1">(1+$G$5)^-G36</f>
        <v>0.95396248093349978</v>
      </c>
      <c r="H37" s="104">
        <f t="shared" ref="H37:K37" ca="1" si="29">(1+$G$5)^-H36</f>
        <v>0.89585905318467562</v>
      </c>
      <c r="I37" s="104">
        <f t="shared" ca="1" si="29"/>
        <v>0.84129455739977865</v>
      </c>
      <c r="J37" s="104">
        <f t="shared" ca="1" si="29"/>
        <v>0.79005344623624174</v>
      </c>
      <c r="K37" s="104">
        <f t="shared" ca="1" si="29"/>
        <v>0.74193330079176179</v>
      </c>
      <c r="L37" s="34"/>
      <c r="M37"/>
      <c r="N37" s="173"/>
    </row>
    <row r="38" spans="1:18" ht="9" customHeight="1" x14ac:dyDescent="0.25">
      <c r="M38"/>
      <c r="N38" s="173"/>
    </row>
    <row r="39" spans="1:18" x14ac:dyDescent="0.25">
      <c r="A39" s="41" t="s">
        <v>960</v>
      </c>
      <c r="B39" s="19"/>
      <c r="C39" s="19"/>
      <c r="D39" s="19"/>
      <c r="E39" s="19"/>
      <c r="F39" s="41"/>
      <c r="G39" s="19">
        <f ca="1">G32*G35*G37</f>
        <v>12400.077139121069</v>
      </c>
      <c r="H39" s="19">
        <f t="shared" ref="H39:K39" ca="1" si="30">H32*H35*H37</f>
        <v>20123.377588367002</v>
      </c>
      <c r="I39" s="19">
        <f t="shared" ca="1" si="30"/>
        <v>24305.720786367077</v>
      </c>
      <c r="J39" s="19">
        <f t="shared" ca="1" si="30"/>
        <v>18124.383753366757</v>
      </c>
      <c r="K39" s="19">
        <f t="shared" ca="1" si="30"/>
        <v>17667.251647644116</v>
      </c>
      <c r="L39" s="34"/>
      <c r="M39"/>
      <c r="N39" s="173"/>
    </row>
    <row r="40" spans="1:18" ht="9" customHeight="1" x14ac:dyDescent="0.25">
      <c r="M40"/>
      <c r="N40" s="173"/>
    </row>
    <row r="41" spans="1:18" x14ac:dyDescent="0.25">
      <c r="A41" t="s">
        <v>961</v>
      </c>
      <c r="G41" s="19">
        <f ca="1">SUM(G39:K39)</f>
        <v>92620.810914866015</v>
      </c>
      <c r="N41" s="173"/>
    </row>
    <row r="42" spans="1:18" ht="9" customHeight="1" x14ac:dyDescent="0.25">
      <c r="M42"/>
      <c r="N42" s="173"/>
    </row>
    <row r="43" spans="1:18" x14ac:dyDescent="0.25">
      <c r="A43" t="s">
        <v>962</v>
      </c>
      <c r="G43" s="5">
        <f ca="1">L32/(G5-G4)</f>
        <v>920304.19502940692</v>
      </c>
      <c r="H43" t="s">
        <v>963</v>
      </c>
      <c r="M43" s="105"/>
      <c r="N43" s="173" t="s">
        <v>964</v>
      </c>
    </row>
    <row r="44" spans="1:18" x14ac:dyDescent="0.25">
      <c r="A44" t="s">
        <v>965</v>
      </c>
      <c r="G44" s="19">
        <f ca="1">G43*K37</f>
        <v>682804.32915067312</v>
      </c>
      <c r="H44" t="s">
        <v>966</v>
      </c>
    </row>
    <row r="46" spans="1:18" x14ac:dyDescent="0.25">
      <c r="A46" s="41" t="s">
        <v>936</v>
      </c>
      <c r="F46" s="41"/>
      <c r="G46" s="19">
        <f ca="1">G44+G41</f>
        <v>775425.14006553916</v>
      </c>
      <c r="N46" s="127" t="s">
        <v>998</v>
      </c>
      <c r="O46" s="128"/>
      <c r="P46" s="128"/>
      <c r="Q46" s="128"/>
      <c r="R46" s="126"/>
    </row>
    <row r="47" spans="1:18" x14ac:dyDescent="0.25">
      <c r="A47" t="s">
        <v>967</v>
      </c>
      <c r="G47" s="19">
        <f>VLOOKUP('Multiples Valuation'!$P$1,Screening!$A$8:$S$149,14,FALSE)</f>
        <v>3433.5</v>
      </c>
      <c r="N47" s="135"/>
      <c r="P47" s="139" t="s">
        <v>999</v>
      </c>
      <c r="Q47" s="139"/>
      <c r="R47" s="140"/>
    </row>
    <row r="48" spans="1:18" x14ac:dyDescent="0.25">
      <c r="A48" s="41" t="s">
        <v>968</v>
      </c>
      <c r="F48" s="41"/>
      <c r="G48" s="19">
        <f ca="1">G46+G47</f>
        <v>778858.64006553916</v>
      </c>
      <c r="N48" s="142"/>
      <c r="O48" s="141">
        <f ca="1">G52</f>
        <v>828.44993325783878</v>
      </c>
      <c r="P48" s="129">
        <v>-5.0000000000000001E-3</v>
      </c>
      <c r="Q48" s="129">
        <v>0</v>
      </c>
      <c r="R48" s="130">
        <v>5.0000000000000001E-3</v>
      </c>
    </row>
    <row r="49" spans="1:18" x14ac:dyDescent="0.25">
      <c r="A49" t="s">
        <v>969</v>
      </c>
      <c r="B49" s="19"/>
      <c r="C49" s="19"/>
      <c r="D49" s="19"/>
      <c r="E49" s="19"/>
      <c r="G49" s="19">
        <f>VLOOKUP('Multiples Valuation'!$P$1,Screening!$A$8:$S$149,15,FALSE)</f>
        <v>34910.6</v>
      </c>
      <c r="N49" s="198" t="s">
        <v>1000</v>
      </c>
      <c r="O49" s="131">
        <v>-5.0000000000000001E-3</v>
      </c>
      <c r="P49" s="56">
        <f t="dataTable" ref="P49:R51" dt2D="1" dtr="1" r1="Z4" r2="Z5" ca="1"/>
        <v>847.03090787864539</v>
      </c>
      <c r="Q49" s="56">
        <v>1024.8969314654164</v>
      </c>
      <c r="R49" s="136">
        <v>1308.2727213600351</v>
      </c>
    </row>
    <row r="50" spans="1:18" x14ac:dyDescent="0.25">
      <c r="A50" s="41" t="s">
        <v>970</v>
      </c>
      <c r="F50" s="41"/>
      <c r="G50" s="19">
        <f ca="1">G48-G49</f>
        <v>743948.04006553919</v>
      </c>
      <c r="N50" s="199"/>
      <c r="O50" s="131">
        <v>0</v>
      </c>
      <c r="P50" s="56">
        <v>709.11311634178981</v>
      </c>
      <c r="Q50" s="133">
        <v>828.44993325783878</v>
      </c>
      <c r="R50" s="136">
        <v>1002.3837068968617</v>
      </c>
    </row>
    <row r="51" spans="1:18" x14ac:dyDescent="0.25">
      <c r="A51" t="s">
        <v>903</v>
      </c>
      <c r="G51" s="96">
        <f>'Multiples Valuation'!I41</f>
        <v>898</v>
      </c>
      <c r="N51" s="200"/>
      <c r="O51" s="132">
        <v>5.0000000000000001E-3</v>
      </c>
      <c r="P51" s="137">
        <v>608.59923879765438</v>
      </c>
      <c r="Q51" s="137">
        <v>693.64482632102931</v>
      </c>
      <c r="R51" s="138">
        <v>810.35557503704467</v>
      </c>
    </row>
    <row r="52" spans="1:18" x14ac:dyDescent="0.25">
      <c r="A52" s="41" t="s">
        <v>853</v>
      </c>
      <c r="F52" s="41"/>
      <c r="G52" s="96">
        <f ca="1">G50/G51</f>
        <v>828.44993325783878</v>
      </c>
    </row>
  </sheetData>
  <mergeCells count="1">
    <mergeCell ref="N49:N51"/>
  </mergeCells>
  <pageMargins left="0.7" right="0.7" top="0.75" bottom="0.5" header="0.3" footer="0.05"/>
  <pageSetup scale="61"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FA70-65BB-4B3C-AFF9-37057399A344}">
  <sheetPr>
    <tabColor rgb="FFFFFF00"/>
  </sheetPr>
  <dimension ref="A1:F9"/>
  <sheetViews>
    <sheetView zoomScale="89" zoomScaleNormal="220" workbookViewId="0">
      <selection activeCell="A31" sqref="A31"/>
    </sheetView>
  </sheetViews>
  <sheetFormatPr defaultRowHeight="15" x14ac:dyDescent="0.25"/>
  <cols>
    <col min="1" max="1" width="26.28515625" bestFit="1" customWidth="1"/>
    <col min="2" max="2" width="17" bestFit="1" customWidth="1"/>
    <col min="3" max="3" width="15.5703125" bestFit="1" customWidth="1"/>
    <col min="4" max="6" width="10.5703125" bestFit="1" customWidth="1"/>
  </cols>
  <sheetData>
    <row r="1" spans="1:6" x14ac:dyDescent="0.25">
      <c r="C1" s="78" t="s">
        <v>976</v>
      </c>
      <c r="D1">
        <v>2025</v>
      </c>
      <c r="E1">
        <v>2026</v>
      </c>
      <c r="F1">
        <v>2027</v>
      </c>
    </row>
    <row r="2" spans="1:6" x14ac:dyDescent="0.25">
      <c r="A2" t="s">
        <v>945</v>
      </c>
      <c r="B2" t="s">
        <v>972</v>
      </c>
      <c r="C2" s="5">
        <v>88821</v>
      </c>
      <c r="D2" s="5">
        <v>90259.520000000004</v>
      </c>
      <c r="E2" s="5">
        <v>94012.03</v>
      </c>
      <c r="F2" s="5">
        <v>98044.27</v>
      </c>
    </row>
    <row r="3" spans="1:6" x14ac:dyDescent="0.25">
      <c r="A3" t="s">
        <v>891</v>
      </c>
      <c r="B3" t="s">
        <v>972</v>
      </c>
      <c r="C3" s="5"/>
      <c r="D3" s="5">
        <v>33274.21</v>
      </c>
      <c r="E3" s="5">
        <v>34681.25</v>
      </c>
      <c r="F3" s="5">
        <v>37635.96</v>
      </c>
    </row>
    <row r="4" spans="1:6" x14ac:dyDescent="0.25">
      <c r="A4" t="s">
        <v>952</v>
      </c>
      <c r="B4" t="s">
        <v>972</v>
      </c>
      <c r="C4" s="5"/>
      <c r="D4" s="5">
        <v>7548.93</v>
      </c>
      <c r="E4" s="5">
        <v>7744.91</v>
      </c>
      <c r="F4" s="5">
        <v>8105.09</v>
      </c>
    </row>
    <row r="5" spans="1:6" x14ac:dyDescent="0.25">
      <c r="A5" t="s">
        <v>975</v>
      </c>
      <c r="B5" t="s">
        <v>974</v>
      </c>
      <c r="C5" s="5"/>
      <c r="D5" s="98">
        <v>0.16639999999999999</v>
      </c>
      <c r="E5" s="98">
        <v>0.16750000000000001</v>
      </c>
      <c r="F5" s="98">
        <v>0.1676</v>
      </c>
    </row>
    <row r="6" spans="1:6" x14ac:dyDescent="0.25">
      <c r="A6" t="s">
        <v>951</v>
      </c>
      <c r="B6" t="s">
        <v>972</v>
      </c>
      <c r="C6" s="5"/>
      <c r="D6" s="5">
        <v>3918.09</v>
      </c>
      <c r="E6" s="5">
        <v>4071.27</v>
      </c>
      <c r="F6" s="5">
        <v>4078.21</v>
      </c>
    </row>
    <row r="7" spans="1:6" x14ac:dyDescent="0.25">
      <c r="A7" t="s">
        <v>973</v>
      </c>
      <c r="B7" t="s">
        <v>972</v>
      </c>
      <c r="C7" s="5">
        <v>5572</v>
      </c>
      <c r="D7" s="5">
        <v>5820</v>
      </c>
      <c r="E7" s="5">
        <v>6090</v>
      </c>
      <c r="F7" s="5">
        <v>6200</v>
      </c>
    </row>
    <row r="9" spans="1:6" x14ac:dyDescent="0.25">
      <c r="A9" t="s">
        <v>903</v>
      </c>
      <c r="B9" t="s">
        <v>971</v>
      </c>
      <c r="C9">
        <v>2409.8000000000002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DABA-FEA3-472F-897B-0BC2C17BE160}">
  <sheetPr>
    <tabColor rgb="FFFFFF00"/>
  </sheetPr>
  <dimension ref="A1:F9"/>
  <sheetViews>
    <sheetView view="pageBreakPreview" zoomScale="60" zoomScaleNormal="130" workbookViewId="0">
      <selection activeCell="D15" sqref="D15"/>
    </sheetView>
  </sheetViews>
  <sheetFormatPr defaultRowHeight="15" x14ac:dyDescent="0.25"/>
  <cols>
    <col min="1" max="1" width="26.28515625" bestFit="1" customWidth="1"/>
    <col min="2" max="2" width="17" bestFit="1" customWidth="1"/>
    <col min="3" max="3" width="15.5703125" bestFit="1" customWidth="1"/>
    <col min="4" max="6" width="10.5703125" bestFit="1" customWidth="1"/>
  </cols>
  <sheetData>
    <row r="1" spans="1:6" x14ac:dyDescent="0.25">
      <c r="C1" s="78" t="s">
        <v>976</v>
      </c>
      <c r="D1">
        <v>2025</v>
      </c>
      <c r="E1">
        <v>2026</v>
      </c>
      <c r="F1">
        <v>2027</v>
      </c>
    </row>
    <row r="2" spans="1:6" x14ac:dyDescent="0.25">
      <c r="A2" t="s">
        <v>945</v>
      </c>
      <c r="B2" t="s">
        <v>972</v>
      </c>
      <c r="C2" s="5">
        <v>64168</v>
      </c>
      <c r="D2" s="5">
        <v>65084.56</v>
      </c>
      <c r="E2" s="5">
        <v>69327.83</v>
      </c>
      <c r="F2" s="5">
        <v>72952.460000000006</v>
      </c>
    </row>
    <row r="3" spans="1:6" x14ac:dyDescent="0.25">
      <c r="A3" t="s">
        <v>891</v>
      </c>
      <c r="B3" t="s">
        <v>972</v>
      </c>
      <c r="C3" s="5"/>
      <c r="D3" s="5">
        <v>30535.91</v>
      </c>
      <c r="E3" s="5">
        <v>33166.32</v>
      </c>
      <c r="F3" s="5">
        <v>35762.910000000003</v>
      </c>
    </row>
    <row r="4" spans="1:6" x14ac:dyDescent="0.25">
      <c r="A4" t="s">
        <v>952</v>
      </c>
      <c r="B4" t="s">
        <v>972</v>
      </c>
      <c r="C4" s="5"/>
      <c r="D4" s="5">
        <v>3060.47</v>
      </c>
      <c r="E4" s="5">
        <v>3069.27</v>
      </c>
      <c r="F4" s="5">
        <v>3073.42</v>
      </c>
    </row>
    <row r="5" spans="1:6" x14ac:dyDescent="0.25">
      <c r="A5" t="s">
        <v>975</v>
      </c>
      <c r="B5" t="s">
        <v>974</v>
      </c>
      <c r="C5" s="98"/>
      <c r="D5" s="98">
        <v>0.16669999999999999</v>
      </c>
      <c r="E5" s="98">
        <v>0.16789999999999999</v>
      </c>
      <c r="F5" s="98">
        <v>0.16789999999999999</v>
      </c>
    </row>
    <row r="6" spans="1:6" x14ac:dyDescent="0.25">
      <c r="A6" t="s">
        <v>951</v>
      </c>
      <c r="B6" t="s">
        <v>972</v>
      </c>
      <c r="C6" s="5"/>
      <c r="D6" s="5">
        <v>3277.8</v>
      </c>
      <c r="E6" s="5">
        <v>3566.17</v>
      </c>
      <c r="F6" s="5">
        <v>3466.75</v>
      </c>
    </row>
    <row r="7" spans="1:6" x14ac:dyDescent="0.25">
      <c r="A7" t="s">
        <v>973</v>
      </c>
      <c r="B7" t="s">
        <v>972</v>
      </c>
      <c r="C7" s="5">
        <v>10362</v>
      </c>
      <c r="D7" s="5">
        <v>11000</v>
      </c>
      <c r="E7" s="5">
        <v>11500</v>
      </c>
      <c r="F7" s="5">
        <v>12000</v>
      </c>
    </row>
    <row r="9" spans="1:6" x14ac:dyDescent="0.25">
      <c r="A9" t="s">
        <v>903</v>
      </c>
      <c r="B9" t="s">
        <v>971</v>
      </c>
      <c r="C9">
        <v>2516.4</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EDA3E-2EDC-4785-A02B-B928506F5350}">
  <sheetPr>
    <tabColor rgb="FFFFFF00"/>
  </sheetPr>
  <dimension ref="A1:F9"/>
  <sheetViews>
    <sheetView zoomScale="235" zoomScaleNormal="235" workbookViewId="0">
      <selection activeCell="C11" sqref="C11"/>
    </sheetView>
  </sheetViews>
  <sheetFormatPr defaultRowHeight="15" x14ac:dyDescent="0.25"/>
  <cols>
    <col min="1" max="1" width="26.28515625" bestFit="1" customWidth="1"/>
    <col min="2" max="2" width="17" bestFit="1" customWidth="1"/>
    <col min="3" max="3" width="15.5703125" bestFit="1" customWidth="1"/>
    <col min="4" max="6" width="10.5703125" bestFit="1" customWidth="1"/>
  </cols>
  <sheetData>
    <row r="1" spans="1:6" x14ac:dyDescent="0.25">
      <c r="C1" s="78" t="s">
        <v>976</v>
      </c>
      <c r="D1">
        <v>2025</v>
      </c>
      <c r="E1">
        <v>2026</v>
      </c>
      <c r="F1">
        <v>2027</v>
      </c>
    </row>
    <row r="2" spans="1:6" x14ac:dyDescent="0.25">
      <c r="A2" t="s">
        <v>945</v>
      </c>
      <c r="B2" t="s">
        <v>972</v>
      </c>
      <c r="C2" s="5">
        <v>63627</v>
      </c>
      <c r="D2" s="5">
        <v>62900.36</v>
      </c>
      <c r="E2" s="5">
        <v>62889.41</v>
      </c>
      <c r="F2" s="5">
        <v>61712.85</v>
      </c>
    </row>
    <row r="3" spans="1:6" x14ac:dyDescent="0.25">
      <c r="A3" t="s">
        <v>891</v>
      </c>
      <c r="B3" t="s">
        <v>972</v>
      </c>
      <c r="C3" s="5"/>
      <c r="D3" s="5">
        <v>26581.67</v>
      </c>
      <c r="E3" s="5">
        <v>26735.33</v>
      </c>
      <c r="F3" s="5">
        <v>26148.63</v>
      </c>
    </row>
    <row r="4" spans="1:6" x14ac:dyDescent="0.25">
      <c r="A4" t="s">
        <v>952</v>
      </c>
      <c r="B4" t="s">
        <v>972</v>
      </c>
      <c r="C4" s="5"/>
      <c r="D4" s="5">
        <v>7189.01</v>
      </c>
      <c r="E4" s="5">
        <v>7028.68</v>
      </c>
      <c r="F4" s="5">
        <v>6944.95</v>
      </c>
    </row>
    <row r="5" spans="1:6" x14ac:dyDescent="0.25">
      <c r="A5" t="s">
        <v>975</v>
      </c>
      <c r="B5" t="s">
        <v>974</v>
      </c>
      <c r="C5" s="98"/>
      <c r="D5" s="98">
        <v>0.1482</v>
      </c>
      <c r="E5" s="98">
        <v>0.14940000000000001</v>
      </c>
      <c r="F5" s="98">
        <v>0.14940000000000001</v>
      </c>
    </row>
    <row r="6" spans="1:6" x14ac:dyDescent="0.25">
      <c r="A6" t="s">
        <v>951</v>
      </c>
      <c r="B6" t="s">
        <v>972</v>
      </c>
      <c r="C6" s="5"/>
      <c r="D6" s="5">
        <v>2907.74</v>
      </c>
      <c r="E6" s="5">
        <v>2724.11</v>
      </c>
      <c r="F6" s="5">
        <v>2625.51</v>
      </c>
    </row>
    <row r="7" spans="1:6" x14ac:dyDescent="0.25">
      <c r="A7" t="s">
        <v>973</v>
      </c>
      <c r="B7" t="s">
        <v>972</v>
      </c>
      <c r="C7" s="5">
        <v>7363</v>
      </c>
      <c r="D7" s="5">
        <v>7800</v>
      </c>
      <c r="E7" s="5">
        <v>8200</v>
      </c>
      <c r="F7" s="5">
        <v>8700</v>
      </c>
    </row>
    <row r="9" spans="1:6" x14ac:dyDescent="0.25">
      <c r="A9" t="s">
        <v>903</v>
      </c>
      <c r="B9" t="s">
        <v>971</v>
      </c>
      <c r="C9">
        <v>5671.5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63E1-79C5-4224-94BD-6FB3F79C4801}">
  <sheetPr>
    <tabColor rgb="FFFFFF00"/>
  </sheetPr>
  <dimension ref="A1:F9"/>
  <sheetViews>
    <sheetView zoomScale="150" zoomScaleNormal="150" workbookViewId="0">
      <selection activeCell="AA34" sqref="AA34"/>
    </sheetView>
  </sheetViews>
  <sheetFormatPr defaultRowHeight="15" x14ac:dyDescent="0.25"/>
  <cols>
    <col min="1" max="1" width="26.28515625" bestFit="1" customWidth="1"/>
    <col min="2" max="2" width="17" bestFit="1" customWidth="1"/>
    <col min="3" max="3" width="15.5703125" bestFit="1" customWidth="1"/>
    <col min="4" max="6" width="10.5703125" bestFit="1" customWidth="1"/>
  </cols>
  <sheetData>
    <row r="1" spans="1:6" x14ac:dyDescent="0.25">
      <c r="C1" s="78" t="s">
        <v>976</v>
      </c>
      <c r="D1">
        <v>2025</v>
      </c>
      <c r="E1">
        <v>2026</v>
      </c>
      <c r="F1">
        <v>2027</v>
      </c>
    </row>
    <row r="2" spans="1:6" x14ac:dyDescent="0.25">
      <c r="A2" t="s">
        <v>945</v>
      </c>
      <c r="B2" t="s">
        <v>972</v>
      </c>
      <c r="C2" s="5">
        <v>48300</v>
      </c>
      <c r="D2" s="5">
        <v>45803.74</v>
      </c>
      <c r="E2" s="5">
        <v>43015.199999999997</v>
      </c>
      <c r="F2" s="5">
        <v>42813.06</v>
      </c>
    </row>
    <row r="3" spans="1:6" x14ac:dyDescent="0.25">
      <c r="A3" t="s">
        <v>891</v>
      </c>
      <c r="B3" t="s">
        <v>972</v>
      </c>
      <c r="C3" s="5"/>
      <c r="D3" s="5">
        <v>17563.89</v>
      </c>
      <c r="E3" s="5">
        <v>15383.14</v>
      </c>
      <c r="F3" s="5">
        <v>15586.14</v>
      </c>
    </row>
    <row r="4" spans="1:6" x14ac:dyDescent="0.25">
      <c r="A4" t="s">
        <v>952</v>
      </c>
      <c r="B4" t="s">
        <v>972</v>
      </c>
      <c r="C4" s="5"/>
      <c r="D4" s="5">
        <v>6162.06</v>
      </c>
      <c r="E4" s="5">
        <v>5122.49</v>
      </c>
      <c r="F4" s="5">
        <v>4709.72</v>
      </c>
    </row>
    <row r="5" spans="1:6" x14ac:dyDescent="0.25">
      <c r="A5" t="s">
        <v>975</v>
      </c>
      <c r="B5" t="s">
        <v>974</v>
      </c>
      <c r="C5" s="5"/>
      <c r="D5" s="98">
        <v>0.18010000000000001</v>
      </c>
      <c r="E5" s="98">
        <v>0.17510000000000001</v>
      </c>
      <c r="F5" s="98">
        <v>0.1754</v>
      </c>
    </row>
    <row r="6" spans="1:6" x14ac:dyDescent="0.25">
      <c r="A6" t="s">
        <v>951</v>
      </c>
      <c r="B6" t="s">
        <v>972</v>
      </c>
      <c r="C6" s="5"/>
      <c r="D6" s="5">
        <v>1138.68</v>
      </c>
      <c r="E6" s="5">
        <v>1104.42</v>
      </c>
      <c r="F6" s="5">
        <v>1086.1400000000001</v>
      </c>
    </row>
    <row r="7" spans="1:6" x14ac:dyDescent="0.25">
      <c r="A7" t="s">
        <v>973</v>
      </c>
      <c r="B7" t="s">
        <v>972</v>
      </c>
      <c r="C7" s="5">
        <v>6006</v>
      </c>
      <c r="D7" s="5">
        <v>6000</v>
      </c>
      <c r="E7" s="5">
        <v>6500</v>
      </c>
      <c r="F7" s="5">
        <v>7000</v>
      </c>
    </row>
    <row r="9" spans="1:6" x14ac:dyDescent="0.25">
      <c r="A9" t="s">
        <v>903</v>
      </c>
      <c r="B9" t="s">
        <v>971</v>
      </c>
      <c r="C9" s="106">
        <v>2034.8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BB9FE-31A0-4547-A530-88353FD5B2B7}">
  <sheetPr>
    <tabColor rgb="FFFFFF00"/>
  </sheetPr>
  <dimension ref="A1:F9"/>
  <sheetViews>
    <sheetView zoomScale="205" zoomScaleNormal="205" workbookViewId="0">
      <selection activeCell="AA34" sqref="AA34"/>
    </sheetView>
  </sheetViews>
  <sheetFormatPr defaultRowHeight="15" x14ac:dyDescent="0.25"/>
  <cols>
    <col min="1" max="1" width="26.28515625" bestFit="1" customWidth="1"/>
    <col min="2" max="2" width="17" bestFit="1" customWidth="1"/>
    <col min="3" max="3" width="15.5703125" bestFit="1" customWidth="1"/>
    <col min="4" max="6" width="10.7109375" bestFit="1" customWidth="1"/>
  </cols>
  <sheetData>
    <row r="1" spans="1:6" x14ac:dyDescent="0.25">
      <c r="C1" s="78" t="s">
        <v>976</v>
      </c>
      <c r="D1">
        <v>2025</v>
      </c>
      <c r="E1">
        <v>2026</v>
      </c>
      <c r="F1">
        <v>2027</v>
      </c>
    </row>
    <row r="2" spans="1:6" x14ac:dyDescent="0.25">
      <c r="A2" t="s">
        <v>945</v>
      </c>
      <c r="B2" t="s">
        <v>972</v>
      </c>
      <c r="C2" s="5">
        <v>14739</v>
      </c>
      <c r="D2" s="5">
        <v>13793.55</v>
      </c>
      <c r="E2" s="5">
        <v>13958.57</v>
      </c>
      <c r="F2" s="5">
        <v>14104.99</v>
      </c>
    </row>
    <row r="3" spans="1:6" x14ac:dyDescent="0.25">
      <c r="A3" t="s">
        <v>891</v>
      </c>
      <c r="B3" t="s">
        <v>972</v>
      </c>
      <c r="C3" s="5"/>
      <c r="D3" s="5">
        <v>4023.64</v>
      </c>
      <c r="E3" s="5">
        <v>4183.2700000000004</v>
      </c>
      <c r="F3" s="5">
        <v>4401.5</v>
      </c>
    </row>
    <row r="4" spans="1:6" x14ac:dyDescent="0.25">
      <c r="A4" t="s">
        <v>952</v>
      </c>
      <c r="B4" t="s">
        <v>972</v>
      </c>
      <c r="C4" s="5"/>
      <c r="D4" s="5">
        <v>342.02</v>
      </c>
      <c r="E4" s="5">
        <v>333.12</v>
      </c>
      <c r="F4" s="5">
        <v>253.16</v>
      </c>
    </row>
    <row r="5" spans="1:6" x14ac:dyDescent="0.25">
      <c r="A5" t="s">
        <v>975</v>
      </c>
      <c r="B5" t="s">
        <v>974</v>
      </c>
      <c r="C5" s="5"/>
      <c r="D5" s="98">
        <v>0.17499999999999999</v>
      </c>
      <c r="E5" s="98">
        <v>0.1888</v>
      </c>
      <c r="F5" s="98">
        <v>0.18329999999999999</v>
      </c>
    </row>
    <row r="6" spans="1:6" x14ac:dyDescent="0.25">
      <c r="A6" t="s">
        <v>951</v>
      </c>
      <c r="B6" t="s">
        <v>972</v>
      </c>
      <c r="C6" s="5"/>
      <c r="D6" s="5">
        <v>377.2</v>
      </c>
      <c r="E6" s="5">
        <v>410.62</v>
      </c>
      <c r="F6" s="5">
        <v>391.46</v>
      </c>
    </row>
    <row r="7" spans="1:6" x14ac:dyDescent="0.25">
      <c r="A7" t="s">
        <v>973</v>
      </c>
      <c r="B7" t="s">
        <v>972</v>
      </c>
      <c r="C7" s="5">
        <v>3738.4</v>
      </c>
      <c r="D7" s="5">
        <v>3750</v>
      </c>
      <c r="E7" s="5">
        <v>3800</v>
      </c>
      <c r="F7" s="5">
        <v>3850</v>
      </c>
    </row>
    <row r="9" spans="1:6" x14ac:dyDescent="0.25">
      <c r="A9" t="s">
        <v>903</v>
      </c>
      <c r="B9" t="s">
        <v>971</v>
      </c>
      <c r="C9">
        <v>1193.7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9096F-B281-4A01-B77D-094C582CAD73}">
  <sheetPr>
    <tabColor rgb="FFFFFF00"/>
  </sheetPr>
  <dimension ref="A1:F9"/>
  <sheetViews>
    <sheetView zoomScale="107" zoomScaleNormal="220" workbookViewId="0">
      <selection activeCell="AA34" sqref="AA34"/>
    </sheetView>
  </sheetViews>
  <sheetFormatPr defaultRowHeight="15" x14ac:dyDescent="0.25"/>
  <cols>
    <col min="1" max="1" width="26.28515625" bestFit="1" customWidth="1"/>
    <col min="2" max="2" width="17" bestFit="1" customWidth="1"/>
    <col min="3" max="3" width="15.5703125" bestFit="1" customWidth="1"/>
    <col min="4" max="6" width="9.5703125" bestFit="1" customWidth="1"/>
  </cols>
  <sheetData>
    <row r="1" spans="1:6" x14ac:dyDescent="0.25">
      <c r="C1" s="78" t="s">
        <v>976</v>
      </c>
      <c r="D1">
        <v>2025</v>
      </c>
      <c r="E1">
        <v>2026</v>
      </c>
      <c r="F1">
        <v>2027</v>
      </c>
    </row>
    <row r="2" spans="1:6" x14ac:dyDescent="0.25">
      <c r="A2" t="s">
        <v>945</v>
      </c>
      <c r="B2" t="s">
        <v>972</v>
      </c>
      <c r="C2" s="5">
        <v>6403</v>
      </c>
      <c r="D2" s="5">
        <v>6286.58</v>
      </c>
      <c r="E2" s="5">
        <v>6366.46</v>
      </c>
      <c r="F2" s="5">
        <v>6341.67</v>
      </c>
    </row>
    <row r="3" spans="1:6" x14ac:dyDescent="0.25">
      <c r="A3" t="s">
        <v>891</v>
      </c>
      <c r="B3" t="s">
        <v>972</v>
      </c>
      <c r="C3" s="5"/>
      <c r="D3" s="5">
        <v>1967.16</v>
      </c>
      <c r="E3" s="5">
        <v>2007.33</v>
      </c>
      <c r="F3" s="5">
        <v>2077.81</v>
      </c>
    </row>
    <row r="4" spans="1:6" x14ac:dyDescent="0.25">
      <c r="A4" t="s">
        <v>952</v>
      </c>
      <c r="B4" t="s">
        <v>972</v>
      </c>
      <c r="C4" s="5"/>
      <c r="D4" s="5">
        <v>187.75</v>
      </c>
      <c r="E4" s="5">
        <v>196.25</v>
      </c>
      <c r="F4" s="5">
        <v>222.33</v>
      </c>
    </row>
    <row r="5" spans="1:6" x14ac:dyDescent="0.25">
      <c r="A5" t="s">
        <v>975</v>
      </c>
      <c r="B5" t="s">
        <v>974</v>
      </c>
      <c r="C5" s="98"/>
      <c r="D5" s="98">
        <v>0.2288</v>
      </c>
      <c r="E5" s="98">
        <v>0.23499999999999999</v>
      </c>
      <c r="F5" s="98">
        <v>0.23169999999999999</v>
      </c>
    </row>
    <row r="6" spans="1:6" x14ac:dyDescent="0.25">
      <c r="A6" t="s">
        <v>951</v>
      </c>
      <c r="B6" t="s">
        <v>972</v>
      </c>
      <c r="C6" s="5"/>
      <c r="D6" s="5">
        <v>192</v>
      </c>
      <c r="E6" s="5">
        <v>207</v>
      </c>
      <c r="F6" s="5">
        <v>185.33</v>
      </c>
    </row>
    <row r="7" spans="1:6" x14ac:dyDescent="0.25">
      <c r="A7" t="s">
        <v>973</v>
      </c>
      <c r="B7" t="s">
        <v>972</v>
      </c>
      <c r="C7" s="5">
        <v>1630</v>
      </c>
      <c r="D7" s="5">
        <v>1675</v>
      </c>
      <c r="E7" s="5">
        <v>1725</v>
      </c>
      <c r="F7" s="5">
        <v>1800</v>
      </c>
    </row>
    <row r="8" spans="1:6" x14ac:dyDescent="0.25">
      <c r="C8" s="5"/>
    </row>
    <row r="9" spans="1:6" x14ac:dyDescent="0.25">
      <c r="A9" t="s">
        <v>903</v>
      </c>
      <c r="B9" t="s">
        <v>971</v>
      </c>
      <c r="C9" s="107">
        <v>258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A43E-769C-40A4-B874-937A31DAA08D}">
  <sheetPr>
    <tabColor rgb="FFFFFF00"/>
  </sheetPr>
  <dimension ref="A1:F9"/>
  <sheetViews>
    <sheetView zoomScale="220" zoomScaleNormal="220" workbookViewId="0">
      <selection activeCell="AA34" sqref="AA34"/>
    </sheetView>
  </sheetViews>
  <sheetFormatPr defaultRowHeight="15" x14ac:dyDescent="0.25"/>
  <cols>
    <col min="1" max="1" width="26.28515625" bestFit="1" customWidth="1"/>
    <col min="2" max="2" width="17" bestFit="1" customWidth="1"/>
    <col min="3" max="3" width="15.7109375" bestFit="1" customWidth="1"/>
    <col min="4" max="6" width="9.5703125" bestFit="1" customWidth="1"/>
  </cols>
  <sheetData>
    <row r="1" spans="1:6" x14ac:dyDescent="0.25">
      <c r="C1" s="78" t="s">
        <v>976</v>
      </c>
      <c r="D1">
        <v>2025</v>
      </c>
      <c r="E1">
        <v>2026</v>
      </c>
      <c r="F1">
        <v>2027</v>
      </c>
    </row>
    <row r="2" spans="1:6" x14ac:dyDescent="0.25">
      <c r="A2" t="s">
        <v>945</v>
      </c>
      <c r="B2" t="s">
        <v>972</v>
      </c>
      <c r="C2" s="5">
        <v>4373.3999999999996</v>
      </c>
      <c r="D2" s="5">
        <v>4436.4399999999996</v>
      </c>
      <c r="E2" s="5">
        <v>4537.8900000000003</v>
      </c>
      <c r="F2" s="5">
        <v>4661.3999999999996</v>
      </c>
    </row>
    <row r="3" spans="1:6" x14ac:dyDescent="0.25">
      <c r="A3" t="s">
        <v>891</v>
      </c>
      <c r="B3" t="s">
        <v>972</v>
      </c>
      <c r="C3" s="5"/>
      <c r="D3" s="5">
        <v>764.92</v>
      </c>
      <c r="E3" s="5">
        <v>824.87</v>
      </c>
      <c r="F3" s="5">
        <v>890.36</v>
      </c>
    </row>
    <row r="4" spans="1:6" x14ac:dyDescent="0.25">
      <c r="A4" t="s">
        <v>952</v>
      </c>
      <c r="B4" t="s">
        <v>972</v>
      </c>
      <c r="C4" s="5"/>
      <c r="D4" s="5">
        <v>325.5</v>
      </c>
      <c r="E4" s="5">
        <v>334.27</v>
      </c>
      <c r="F4" s="5">
        <v>343.77</v>
      </c>
    </row>
    <row r="5" spans="1:6" x14ac:dyDescent="0.25">
      <c r="A5" t="s">
        <v>975</v>
      </c>
      <c r="B5" t="s">
        <v>974</v>
      </c>
      <c r="C5" s="5"/>
      <c r="D5" s="98">
        <v>0.20100000000000001</v>
      </c>
      <c r="E5" s="98">
        <v>0.20499999999999999</v>
      </c>
      <c r="F5" s="98">
        <v>0.20499999999999999</v>
      </c>
    </row>
    <row r="6" spans="1:6" x14ac:dyDescent="0.25">
      <c r="A6" t="s">
        <v>951</v>
      </c>
      <c r="B6" t="s">
        <v>972</v>
      </c>
      <c r="C6" s="5"/>
      <c r="D6" s="5">
        <v>144</v>
      </c>
      <c r="E6" s="5">
        <v>147</v>
      </c>
      <c r="F6" s="5">
        <v>149</v>
      </c>
    </row>
    <row r="7" spans="1:6" x14ac:dyDescent="0.25">
      <c r="A7" t="s">
        <v>973</v>
      </c>
      <c r="B7" t="s">
        <v>972</v>
      </c>
      <c r="C7" s="5">
        <v>1437.7</v>
      </c>
      <c r="D7" s="5">
        <v>1600</v>
      </c>
      <c r="E7" s="5">
        <v>1700</v>
      </c>
      <c r="F7" s="5">
        <v>1725</v>
      </c>
    </row>
    <row r="9" spans="1:6" x14ac:dyDescent="0.25">
      <c r="A9" t="s">
        <v>903</v>
      </c>
      <c r="B9" t="s">
        <v>971</v>
      </c>
      <c r="C9">
        <v>136.5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8F057-A3B8-4476-B441-7BD6B1CE9459}">
  <sheetPr>
    <tabColor rgb="FFFFFF00"/>
  </sheetPr>
  <dimension ref="A1:F9"/>
  <sheetViews>
    <sheetView zoomScale="190" zoomScaleNormal="190" workbookViewId="0">
      <selection activeCell="AA34" sqref="AA34"/>
    </sheetView>
  </sheetViews>
  <sheetFormatPr defaultRowHeight="15" x14ac:dyDescent="0.25"/>
  <cols>
    <col min="1" max="1" width="26.28515625" bestFit="1" customWidth="1"/>
    <col min="2" max="2" width="17" bestFit="1" customWidth="1"/>
    <col min="3" max="3" width="15.5703125" bestFit="1" customWidth="1"/>
    <col min="4" max="6" width="10.7109375" bestFit="1" customWidth="1"/>
  </cols>
  <sheetData>
    <row r="1" spans="1:6" x14ac:dyDescent="0.25">
      <c r="C1" s="78" t="s">
        <v>976</v>
      </c>
      <c r="D1">
        <v>2025</v>
      </c>
      <c r="E1">
        <v>2026</v>
      </c>
      <c r="F1">
        <v>2027</v>
      </c>
    </row>
    <row r="2" spans="1:6" x14ac:dyDescent="0.25">
      <c r="A2" t="s">
        <v>945</v>
      </c>
      <c r="B2" t="s">
        <v>972</v>
      </c>
      <c r="C2" s="5">
        <v>45042.7</v>
      </c>
      <c r="D2" s="5">
        <v>59413.32</v>
      </c>
      <c r="E2" s="5">
        <v>71106.58</v>
      </c>
      <c r="F2" s="5">
        <v>82961.509999999995</v>
      </c>
    </row>
    <row r="3" spans="1:6" x14ac:dyDescent="0.25">
      <c r="A3" t="s">
        <v>891</v>
      </c>
      <c r="B3" t="s">
        <v>972</v>
      </c>
      <c r="C3" s="5"/>
      <c r="D3" s="5">
        <v>27690.85</v>
      </c>
      <c r="E3" s="5">
        <v>34459.71</v>
      </c>
      <c r="F3" s="5">
        <v>41098.959999999999</v>
      </c>
    </row>
    <row r="4" spans="1:6" x14ac:dyDescent="0.25">
      <c r="A4" t="s">
        <v>952</v>
      </c>
      <c r="B4" t="s">
        <v>972</v>
      </c>
      <c r="C4" s="5"/>
      <c r="D4" s="5">
        <v>1771.87</v>
      </c>
      <c r="E4" s="5">
        <v>2002.71</v>
      </c>
      <c r="F4" s="5">
        <v>2377.36</v>
      </c>
    </row>
    <row r="5" spans="1:6" x14ac:dyDescent="0.25">
      <c r="A5" t="s">
        <v>975</v>
      </c>
      <c r="B5" t="s">
        <v>974</v>
      </c>
      <c r="C5" s="98"/>
      <c r="D5" s="98">
        <v>0.1603</v>
      </c>
      <c r="E5" s="98">
        <v>0.16209999999999999</v>
      </c>
      <c r="F5" s="98">
        <v>0.16309999999999999</v>
      </c>
    </row>
    <row r="6" spans="1:6" x14ac:dyDescent="0.25">
      <c r="A6" t="s">
        <v>951</v>
      </c>
      <c r="B6" t="s">
        <v>972</v>
      </c>
      <c r="C6" s="5"/>
      <c r="D6" s="5">
        <v>5067.8100000000004</v>
      </c>
      <c r="E6" s="5">
        <v>5235.7700000000004</v>
      </c>
      <c r="F6" s="5">
        <v>4892.6099999999997</v>
      </c>
    </row>
    <row r="7" spans="1:6" x14ac:dyDescent="0.25">
      <c r="A7" t="s">
        <v>973</v>
      </c>
      <c r="B7" t="s">
        <v>972</v>
      </c>
      <c r="C7" s="5">
        <v>4363.1000000000004</v>
      </c>
      <c r="D7" s="5">
        <v>5500</v>
      </c>
      <c r="E7" s="5">
        <v>7000</v>
      </c>
      <c r="F7" s="5">
        <v>8000</v>
      </c>
    </row>
    <row r="9" spans="1:6" x14ac:dyDescent="0.25">
      <c r="A9" t="s">
        <v>903</v>
      </c>
      <c r="B9" t="s">
        <v>971</v>
      </c>
      <c r="C9" s="107">
        <v>898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1983-A261-477D-884D-2ED536072CC6}">
  <sheetPr>
    <tabColor rgb="FFFFFF00"/>
    <outlinePr summaryBelow="0" summaryRight="0"/>
    <pageSetUpPr autoPageBreaks="0"/>
  </sheetPr>
  <dimension ref="A6:C33"/>
  <sheetViews>
    <sheetView zoomScaleNormal="100" workbookViewId="0">
      <selection activeCell="C28" sqref="C28"/>
    </sheetView>
  </sheetViews>
  <sheetFormatPr defaultRowHeight="11.25" x14ac:dyDescent="0.2"/>
  <cols>
    <col min="1" max="1" width="75.140625" style="7" customWidth="1"/>
    <col min="2" max="2" width="15.85546875" style="7" customWidth="1"/>
    <col min="3" max="3" width="25.85546875" style="7" customWidth="1"/>
    <col min="4" max="256" width="9.140625" style="7"/>
    <col min="257" max="257" width="75.140625" style="7" customWidth="1"/>
    <col min="258" max="258" width="15.85546875" style="7" customWidth="1"/>
    <col min="259" max="259" width="25.85546875" style="7" customWidth="1"/>
    <col min="260" max="512" width="9.140625" style="7"/>
    <col min="513" max="513" width="75.140625" style="7" customWidth="1"/>
    <col min="514" max="514" width="15.85546875" style="7" customWidth="1"/>
    <col min="515" max="515" width="25.85546875" style="7" customWidth="1"/>
    <col min="516" max="768" width="9.140625" style="7"/>
    <col min="769" max="769" width="75.140625" style="7" customWidth="1"/>
    <col min="770" max="770" width="15.85546875" style="7" customWidth="1"/>
    <col min="771" max="771" width="25.85546875" style="7" customWidth="1"/>
    <col min="772" max="1024" width="9.140625" style="7"/>
    <col min="1025" max="1025" width="75.140625" style="7" customWidth="1"/>
    <col min="1026" max="1026" width="15.85546875" style="7" customWidth="1"/>
    <col min="1027" max="1027" width="25.85546875" style="7" customWidth="1"/>
    <col min="1028" max="1280" width="9.140625" style="7"/>
    <col min="1281" max="1281" width="75.140625" style="7" customWidth="1"/>
    <col min="1282" max="1282" width="15.85546875" style="7" customWidth="1"/>
    <col min="1283" max="1283" width="25.85546875" style="7" customWidth="1"/>
    <col min="1284" max="1536" width="9.140625" style="7"/>
    <col min="1537" max="1537" width="75.140625" style="7" customWidth="1"/>
    <col min="1538" max="1538" width="15.85546875" style="7" customWidth="1"/>
    <col min="1539" max="1539" width="25.85546875" style="7" customWidth="1"/>
    <col min="1540" max="1792" width="9.140625" style="7"/>
    <col min="1793" max="1793" width="75.140625" style="7" customWidth="1"/>
    <col min="1794" max="1794" width="15.85546875" style="7" customWidth="1"/>
    <col min="1795" max="1795" width="25.85546875" style="7" customWidth="1"/>
    <col min="1796" max="2048" width="9.140625" style="7"/>
    <col min="2049" max="2049" width="75.140625" style="7" customWidth="1"/>
    <col min="2050" max="2050" width="15.85546875" style="7" customWidth="1"/>
    <col min="2051" max="2051" width="25.85546875" style="7" customWidth="1"/>
    <col min="2052" max="2304" width="9.140625" style="7"/>
    <col min="2305" max="2305" width="75.140625" style="7" customWidth="1"/>
    <col min="2306" max="2306" width="15.85546875" style="7" customWidth="1"/>
    <col min="2307" max="2307" width="25.85546875" style="7" customWidth="1"/>
    <col min="2308" max="2560" width="9.140625" style="7"/>
    <col min="2561" max="2561" width="75.140625" style="7" customWidth="1"/>
    <col min="2562" max="2562" width="15.85546875" style="7" customWidth="1"/>
    <col min="2563" max="2563" width="25.85546875" style="7" customWidth="1"/>
    <col min="2564" max="2816" width="9.140625" style="7"/>
    <col min="2817" max="2817" width="75.140625" style="7" customWidth="1"/>
    <col min="2818" max="2818" width="15.85546875" style="7" customWidth="1"/>
    <col min="2819" max="2819" width="25.85546875" style="7" customWidth="1"/>
    <col min="2820" max="3072" width="9.140625" style="7"/>
    <col min="3073" max="3073" width="75.140625" style="7" customWidth="1"/>
    <col min="3074" max="3074" width="15.85546875" style="7" customWidth="1"/>
    <col min="3075" max="3075" width="25.85546875" style="7" customWidth="1"/>
    <col min="3076" max="3328" width="9.140625" style="7"/>
    <col min="3329" max="3329" width="75.140625" style="7" customWidth="1"/>
    <col min="3330" max="3330" width="15.85546875" style="7" customWidth="1"/>
    <col min="3331" max="3331" width="25.85546875" style="7" customWidth="1"/>
    <col min="3332" max="3584" width="9.140625" style="7"/>
    <col min="3585" max="3585" width="75.140625" style="7" customWidth="1"/>
    <col min="3586" max="3586" width="15.85546875" style="7" customWidth="1"/>
    <col min="3587" max="3587" width="25.85546875" style="7" customWidth="1"/>
    <col min="3588" max="3840" width="9.140625" style="7"/>
    <col min="3841" max="3841" width="75.140625" style="7" customWidth="1"/>
    <col min="3842" max="3842" width="15.85546875" style="7" customWidth="1"/>
    <col min="3843" max="3843" width="25.85546875" style="7" customWidth="1"/>
    <col min="3844" max="4096" width="9.140625" style="7"/>
    <col min="4097" max="4097" width="75.140625" style="7" customWidth="1"/>
    <col min="4098" max="4098" width="15.85546875" style="7" customWidth="1"/>
    <col min="4099" max="4099" width="25.85546875" style="7" customWidth="1"/>
    <col min="4100" max="4352" width="9.140625" style="7"/>
    <col min="4353" max="4353" width="75.140625" style="7" customWidth="1"/>
    <col min="4354" max="4354" width="15.85546875" style="7" customWidth="1"/>
    <col min="4355" max="4355" width="25.85546875" style="7" customWidth="1"/>
    <col min="4356" max="4608" width="9.140625" style="7"/>
    <col min="4609" max="4609" width="75.140625" style="7" customWidth="1"/>
    <col min="4610" max="4610" width="15.85546875" style="7" customWidth="1"/>
    <col min="4611" max="4611" width="25.85546875" style="7" customWidth="1"/>
    <col min="4612" max="4864" width="9.140625" style="7"/>
    <col min="4865" max="4865" width="75.140625" style="7" customWidth="1"/>
    <col min="4866" max="4866" width="15.85546875" style="7" customWidth="1"/>
    <col min="4867" max="4867" width="25.85546875" style="7" customWidth="1"/>
    <col min="4868" max="5120" width="9.140625" style="7"/>
    <col min="5121" max="5121" width="75.140625" style="7" customWidth="1"/>
    <col min="5122" max="5122" width="15.85546875" style="7" customWidth="1"/>
    <col min="5123" max="5123" width="25.85546875" style="7" customWidth="1"/>
    <col min="5124" max="5376" width="9.140625" style="7"/>
    <col min="5377" max="5377" width="75.140625" style="7" customWidth="1"/>
    <col min="5378" max="5378" width="15.85546875" style="7" customWidth="1"/>
    <col min="5379" max="5379" width="25.85546875" style="7" customWidth="1"/>
    <col min="5380" max="5632" width="9.140625" style="7"/>
    <col min="5633" max="5633" width="75.140625" style="7" customWidth="1"/>
    <col min="5634" max="5634" width="15.85546875" style="7" customWidth="1"/>
    <col min="5635" max="5635" width="25.85546875" style="7" customWidth="1"/>
    <col min="5636" max="5888" width="9.140625" style="7"/>
    <col min="5889" max="5889" width="75.140625" style="7" customWidth="1"/>
    <col min="5890" max="5890" width="15.85546875" style="7" customWidth="1"/>
    <col min="5891" max="5891" width="25.85546875" style="7" customWidth="1"/>
    <col min="5892" max="6144" width="9.140625" style="7"/>
    <col min="6145" max="6145" width="75.140625" style="7" customWidth="1"/>
    <col min="6146" max="6146" width="15.85546875" style="7" customWidth="1"/>
    <col min="6147" max="6147" width="25.85546875" style="7" customWidth="1"/>
    <col min="6148" max="6400" width="9.140625" style="7"/>
    <col min="6401" max="6401" width="75.140625" style="7" customWidth="1"/>
    <col min="6402" max="6402" width="15.85546875" style="7" customWidth="1"/>
    <col min="6403" max="6403" width="25.85546875" style="7" customWidth="1"/>
    <col min="6404" max="6656" width="9.140625" style="7"/>
    <col min="6657" max="6657" width="75.140625" style="7" customWidth="1"/>
    <col min="6658" max="6658" width="15.85546875" style="7" customWidth="1"/>
    <col min="6659" max="6659" width="25.85546875" style="7" customWidth="1"/>
    <col min="6660" max="6912" width="9.140625" style="7"/>
    <col min="6913" max="6913" width="75.140625" style="7" customWidth="1"/>
    <col min="6914" max="6914" width="15.85546875" style="7" customWidth="1"/>
    <col min="6915" max="6915" width="25.85546875" style="7" customWidth="1"/>
    <col min="6916" max="7168" width="9.140625" style="7"/>
    <col min="7169" max="7169" width="75.140625" style="7" customWidth="1"/>
    <col min="7170" max="7170" width="15.85546875" style="7" customWidth="1"/>
    <col min="7171" max="7171" width="25.85546875" style="7" customWidth="1"/>
    <col min="7172" max="7424" width="9.140625" style="7"/>
    <col min="7425" max="7425" width="75.140625" style="7" customWidth="1"/>
    <col min="7426" max="7426" width="15.85546875" style="7" customWidth="1"/>
    <col min="7427" max="7427" width="25.85546875" style="7" customWidth="1"/>
    <col min="7428" max="7680" width="9.140625" style="7"/>
    <col min="7681" max="7681" width="75.140625" style="7" customWidth="1"/>
    <col min="7682" max="7682" width="15.85546875" style="7" customWidth="1"/>
    <col min="7683" max="7683" width="25.85546875" style="7" customWidth="1"/>
    <col min="7684" max="7936" width="9.140625" style="7"/>
    <col min="7937" max="7937" width="75.140625" style="7" customWidth="1"/>
    <col min="7938" max="7938" width="15.85546875" style="7" customWidth="1"/>
    <col min="7939" max="7939" width="25.85546875" style="7" customWidth="1"/>
    <col min="7940" max="8192" width="9.140625" style="7"/>
    <col min="8193" max="8193" width="75.140625" style="7" customWidth="1"/>
    <col min="8194" max="8194" width="15.85546875" style="7" customWidth="1"/>
    <col min="8195" max="8195" width="25.85546875" style="7" customWidth="1"/>
    <col min="8196" max="8448" width="9.140625" style="7"/>
    <col min="8449" max="8449" width="75.140625" style="7" customWidth="1"/>
    <col min="8450" max="8450" width="15.85546875" style="7" customWidth="1"/>
    <col min="8451" max="8451" width="25.85546875" style="7" customWidth="1"/>
    <col min="8452" max="8704" width="9.140625" style="7"/>
    <col min="8705" max="8705" width="75.140625" style="7" customWidth="1"/>
    <col min="8706" max="8706" width="15.85546875" style="7" customWidth="1"/>
    <col min="8707" max="8707" width="25.85546875" style="7" customWidth="1"/>
    <col min="8708" max="8960" width="9.140625" style="7"/>
    <col min="8961" max="8961" width="75.140625" style="7" customWidth="1"/>
    <col min="8962" max="8962" width="15.85546875" style="7" customWidth="1"/>
    <col min="8963" max="8963" width="25.85546875" style="7" customWidth="1"/>
    <col min="8964" max="9216" width="9.140625" style="7"/>
    <col min="9217" max="9217" width="75.140625" style="7" customWidth="1"/>
    <col min="9218" max="9218" width="15.85546875" style="7" customWidth="1"/>
    <col min="9219" max="9219" width="25.85546875" style="7" customWidth="1"/>
    <col min="9220" max="9472" width="9.140625" style="7"/>
    <col min="9473" max="9473" width="75.140625" style="7" customWidth="1"/>
    <col min="9474" max="9474" width="15.85546875" style="7" customWidth="1"/>
    <col min="9475" max="9475" width="25.85546875" style="7" customWidth="1"/>
    <col min="9476" max="9728" width="9.140625" style="7"/>
    <col min="9729" max="9729" width="75.140625" style="7" customWidth="1"/>
    <col min="9730" max="9730" width="15.85546875" style="7" customWidth="1"/>
    <col min="9731" max="9731" width="25.85546875" style="7" customWidth="1"/>
    <col min="9732" max="9984" width="9.140625" style="7"/>
    <col min="9985" max="9985" width="75.140625" style="7" customWidth="1"/>
    <col min="9986" max="9986" width="15.85546875" style="7" customWidth="1"/>
    <col min="9987" max="9987" width="25.85546875" style="7" customWidth="1"/>
    <col min="9988" max="10240" width="9.140625" style="7"/>
    <col min="10241" max="10241" width="75.140625" style="7" customWidth="1"/>
    <col min="10242" max="10242" width="15.85546875" style="7" customWidth="1"/>
    <col min="10243" max="10243" width="25.85546875" style="7" customWidth="1"/>
    <col min="10244" max="10496" width="9.140625" style="7"/>
    <col min="10497" max="10497" width="75.140625" style="7" customWidth="1"/>
    <col min="10498" max="10498" width="15.85546875" style="7" customWidth="1"/>
    <col min="10499" max="10499" width="25.85546875" style="7" customWidth="1"/>
    <col min="10500" max="10752" width="9.140625" style="7"/>
    <col min="10753" max="10753" width="75.140625" style="7" customWidth="1"/>
    <col min="10754" max="10754" width="15.85546875" style="7" customWidth="1"/>
    <col min="10755" max="10755" width="25.85546875" style="7" customWidth="1"/>
    <col min="10756" max="11008" width="9.140625" style="7"/>
    <col min="11009" max="11009" width="75.140625" style="7" customWidth="1"/>
    <col min="11010" max="11010" width="15.85546875" style="7" customWidth="1"/>
    <col min="11011" max="11011" width="25.85546875" style="7" customWidth="1"/>
    <col min="11012" max="11264" width="9.140625" style="7"/>
    <col min="11265" max="11265" width="75.140625" style="7" customWidth="1"/>
    <col min="11266" max="11266" width="15.85546875" style="7" customWidth="1"/>
    <col min="11267" max="11267" width="25.85546875" style="7" customWidth="1"/>
    <col min="11268" max="11520" width="9.140625" style="7"/>
    <col min="11521" max="11521" width="75.140625" style="7" customWidth="1"/>
    <col min="11522" max="11522" width="15.85546875" style="7" customWidth="1"/>
    <col min="11523" max="11523" width="25.85546875" style="7" customWidth="1"/>
    <col min="11524" max="11776" width="9.140625" style="7"/>
    <col min="11777" max="11777" width="75.140625" style="7" customWidth="1"/>
    <col min="11778" max="11778" width="15.85546875" style="7" customWidth="1"/>
    <col min="11779" max="11779" width="25.85546875" style="7" customWidth="1"/>
    <col min="11780" max="12032" width="9.140625" style="7"/>
    <col min="12033" max="12033" width="75.140625" style="7" customWidth="1"/>
    <col min="12034" max="12034" width="15.85546875" style="7" customWidth="1"/>
    <col min="12035" max="12035" width="25.85546875" style="7" customWidth="1"/>
    <col min="12036" max="12288" width="9.140625" style="7"/>
    <col min="12289" max="12289" width="75.140625" style="7" customWidth="1"/>
    <col min="12290" max="12290" width="15.85546875" style="7" customWidth="1"/>
    <col min="12291" max="12291" width="25.85546875" style="7" customWidth="1"/>
    <col min="12292" max="12544" width="9.140625" style="7"/>
    <col min="12545" max="12545" width="75.140625" style="7" customWidth="1"/>
    <col min="12546" max="12546" width="15.85546875" style="7" customWidth="1"/>
    <col min="12547" max="12547" width="25.85546875" style="7" customWidth="1"/>
    <col min="12548" max="12800" width="9.140625" style="7"/>
    <col min="12801" max="12801" width="75.140625" style="7" customWidth="1"/>
    <col min="12802" max="12802" width="15.85546875" style="7" customWidth="1"/>
    <col min="12803" max="12803" width="25.85546875" style="7" customWidth="1"/>
    <col min="12804" max="13056" width="9.140625" style="7"/>
    <col min="13057" max="13057" width="75.140625" style="7" customWidth="1"/>
    <col min="13058" max="13058" width="15.85546875" style="7" customWidth="1"/>
    <col min="13059" max="13059" width="25.85546875" style="7" customWidth="1"/>
    <col min="13060" max="13312" width="9.140625" style="7"/>
    <col min="13313" max="13313" width="75.140625" style="7" customWidth="1"/>
    <col min="13314" max="13314" width="15.85546875" style="7" customWidth="1"/>
    <col min="13315" max="13315" width="25.85546875" style="7" customWidth="1"/>
    <col min="13316" max="13568" width="9.140625" style="7"/>
    <col min="13569" max="13569" width="75.140625" style="7" customWidth="1"/>
    <col min="13570" max="13570" width="15.85546875" style="7" customWidth="1"/>
    <col min="13571" max="13571" width="25.85546875" style="7" customWidth="1"/>
    <col min="13572" max="13824" width="9.140625" style="7"/>
    <col min="13825" max="13825" width="75.140625" style="7" customWidth="1"/>
    <col min="13826" max="13826" width="15.85546875" style="7" customWidth="1"/>
    <col min="13827" max="13827" width="25.85546875" style="7" customWidth="1"/>
    <col min="13828" max="14080" width="9.140625" style="7"/>
    <col min="14081" max="14081" width="75.140625" style="7" customWidth="1"/>
    <col min="14082" max="14082" width="15.85546875" style="7" customWidth="1"/>
    <col min="14083" max="14083" width="25.85546875" style="7" customWidth="1"/>
    <col min="14084" max="14336" width="9.140625" style="7"/>
    <col min="14337" max="14337" width="75.140625" style="7" customWidth="1"/>
    <col min="14338" max="14338" width="15.85546875" style="7" customWidth="1"/>
    <col min="14339" max="14339" width="25.85546875" style="7" customWidth="1"/>
    <col min="14340" max="14592" width="9.140625" style="7"/>
    <col min="14593" max="14593" width="75.140625" style="7" customWidth="1"/>
    <col min="14594" max="14594" width="15.85546875" style="7" customWidth="1"/>
    <col min="14595" max="14595" width="25.85546875" style="7" customWidth="1"/>
    <col min="14596" max="14848" width="9.140625" style="7"/>
    <col min="14849" max="14849" width="75.140625" style="7" customWidth="1"/>
    <col min="14850" max="14850" width="15.85546875" style="7" customWidth="1"/>
    <col min="14851" max="14851" width="25.85546875" style="7" customWidth="1"/>
    <col min="14852" max="15104" width="9.140625" style="7"/>
    <col min="15105" max="15105" width="75.140625" style="7" customWidth="1"/>
    <col min="15106" max="15106" width="15.85546875" style="7" customWidth="1"/>
    <col min="15107" max="15107" width="25.85546875" style="7" customWidth="1"/>
    <col min="15108" max="15360" width="9.140625" style="7"/>
    <col min="15361" max="15361" width="75.140625" style="7" customWidth="1"/>
    <col min="15362" max="15362" width="15.85546875" style="7" customWidth="1"/>
    <col min="15363" max="15363" width="25.85546875" style="7" customWidth="1"/>
    <col min="15364" max="15616" width="9.140625" style="7"/>
    <col min="15617" max="15617" width="75.140625" style="7" customWidth="1"/>
    <col min="15618" max="15618" width="15.85546875" style="7" customWidth="1"/>
    <col min="15619" max="15619" width="25.85546875" style="7" customWidth="1"/>
    <col min="15620" max="15872" width="9.140625" style="7"/>
    <col min="15873" max="15873" width="75.140625" style="7" customWidth="1"/>
    <col min="15874" max="15874" width="15.85546875" style="7" customWidth="1"/>
    <col min="15875" max="15875" width="25.85546875" style="7" customWidth="1"/>
    <col min="15876" max="16128" width="9.140625" style="7"/>
    <col min="16129" max="16129" width="75.140625" style="7" customWidth="1"/>
    <col min="16130" max="16130" width="15.85546875" style="7" customWidth="1"/>
    <col min="16131" max="16131" width="25.85546875" style="7" customWidth="1"/>
    <col min="16132" max="16384" width="9.140625" style="7"/>
  </cols>
  <sheetData>
    <row r="6" spans="1:3" ht="16.5" customHeight="1" x14ac:dyDescent="0.2">
      <c r="A6" s="6" t="s">
        <v>1001</v>
      </c>
    </row>
    <row r="8" spans="1:3" ht="27" x14ac:dyDescent="0.35">
      <c r="A8" s="8" t="s">
        <v>30</v>
      </c>
      <c r="B8" s="8" t="s">
        <v>31</v>
      </c>
      <c r="C8" s="9" t="s">
        <v>1002</v>
      </c>
    </row>
    <row r="9" spans="1:3" x14ac:dyDescent="0.2">
      <c r="A9" s="10" t="s">
        <v>108</v>
      </c>
      <c r="B9" s="10" t="s">
        <v>109</v>
      </c>
      <c r="C9" s="11">
        <v>17.3</v>
      </c>
    </row>
    <row r="10" spans="1:3" x14ac:dyDescent="0.2">
      <c r="A10" s="10" t="s">
        <v>183</v>
      </c>
      <c r="B10" s="10" t="s">
        <v>184</v>
      </c>
      <c r="C10" s="11">
        <v>21</v>
      </c>
    </row>
    <row r="11" spans="1:3" x14ac:dyDescent="0.2">
      <c r="A11" s="10" t="s">
        <v>117</v>
      </c>
      <c r="B11" s="10" t="s">
        <v>118</v>
      </c>
      <c r="C11" s="11">
        <v>24.6</v>
      </c>
    </row>
    <row r="12" spans="1:3" x14ac:dyDescent="0.2">
      <c r="A12" s="10" t="s">
        <v>147</v>
      </c>
      <c r="B12" s="10" t="s">
        <v>148</v>
      </c>
      <c r="C12" s="12">
        <v>9.25</v>
      </c>
    </row>
    <row r="13" spans="1:3" x14ac:dyDescent="0.2">
      <c r="A13" s="10" t="s">
        <v>138</v>
      </c>
      <c r="B13" s="10" t="s">
        <v>139</v>
      </c>
      <c r="C13" s="11">
        <v>23.6</v>
      </c>
    </row>
    <row r="14" spans="1:3" x14ac:dyDescent="0.2">
      <c r="A14" s="10" t="s">
        <v>192</v>
      </c>
      <c r="B14" s="10" t="s">
        <v>193</v>
      </c>
      <c r="C14" s="12">
        <v>2</v>
      </c>
    </row>
    <row r="15" spans="1:3" x14ac:dyDescent="0.2">
      <c r="A15" s="10" t="s">
        <v>198</v>
      </c>
      <c r="B15" s="10" t="s">
        <v>199</v>
      </c>
      <c r="C15" s="11">
        <v>10</v>
      </c>
    </row>
    <row r="16" spans="1:3" x14ac:dyDescent="0.2">
      <c r="A16" s="10" t="s">
        <v>99</v>
      </c>
      <c r="B16" s="10" t="s">
        <v>100</v>
      </c>
      <c r="C16" s="11">
        <v>23.7</v>
      </c>
    </row>
    <row r="17" spans="1:3" x14ac:dyDescent="0.2">
      <c r="A17" s="10" t="s">
        <v>144</v>
      </c>
      <c r="B17" s="10" t="s">
        <v>145</v>
      </c>
      <c r="C17" s="11">
        <v>15</v>
      </c>
    </row>
    <row r="18" spans="1:3" x14ac:dyDescent="0.2">
      <c r="A18" s="10" t="s">
        <v>153</v>
      </c>
      <c r="B18" s="10" t="s">
        <v>154</v>
      </c>
      <c r="C18" s="11">
        <v>19.600000000000001</v>
      </c>
    </row>
    <row r="19" spans="1:3" x14ac:dyDescent="0.2">
      <c r="A19" s="10" t="s">
        <v>111</v>
      </c>
      <c r="B19" s="10" t="s">
        <v>112</v>
      </c>
      <c r="C19" s="11">
        <v>20.5</v>
      </c>
    </row>
    <row r="20" spans="1:3" x14ac:dyDescent="0.2">
      <c r="A20" s="10" t="s">
        <v>96</v>
      </c>
      <c r="B20" s="10" t="s">
        <v>97</v>
      </c>
      <c r="C20" s="11">
        <v>20.399999999999999</v>
      </c>
    </row>
    <row r="21" spans="1:3" x14ac:dyDescent="0.2">
      <c r="A21" s="10" t="s">
        <v>81</v>
      </c>
      <c r="B21" s="10" t="s">
        <v>82</v>
      </c>
      <c r="C21" s="11">
        <v>23.8</v>
      </c>
    </row>
    <row r="22" spans="1:3" x14ac:dyDescent="0.2">
      <c r="A22" s="10" t="s">
        <v>114</v>
      </c>
      <c r="B22" s="10" t="s">
        <v>115</v>
      </c>
      <c r="C22" s="11">
        <v>27.1</v>
      </c>
    </row>
    <row r="23" spans="1:3" x14ac:dyDescent="0.2">
      <c r="A23" s="10" t="s">
        <v>78</v>
      </c>
      <c r="B23" s="10" t="s">
        <v>79</v>
      </c>
      <c r="C23" s="11">
        <v>14.8</v>
      </c>
    </row>
    <row r="24" spans="1:3" x14ac:dyDescent="0.2">
      <c r="A24" s="10" t="s">
        <v>102</v>
      </c>
      <c r="B24" s="10" t="s">
        <v>103</v>
      </c>
      <c r="C24" s="11">
        <v>25.3</v>
      </c>
    </row>
    <row r="25" spans="1:3" x14ac:dyDescent="0.2">
      <c r="A25" s="10" t="s">
        <v>7</v>
      </c>
      <c r="B25" s="10" t="s">
        <v>62</v>
      </c>
      <c r="C25" s="11">
        <v>17.5</v>
      </c>
    </row>
    <row r="26" spans="1:3" x14ac:dyDescent="0.2">
      <c r="A26" s="10" t="s">
        <v>4</v>
      </c>
      <c r="B26" s="10" t="s">
        <v>57</v>
      </c>
      <c r="C26" s="11">
        <v>18</v>
      </c>
    </row>
    <row r="27" spans="1:3" x14ac:dyDescent="0.2">
      <c r="A27" s="10" t="s">
        <v>71</v>
      </c>
      <c r="B27" s="10" t="s">
        <v>72</v>
      </c>
      <c r="C27" s="11">
        <v>20.2</v>
      </c>
    </row>
    <row r="28" spans="1:3" x14ac:dyDescent="0.2">
      <c r="A28" s="10" t="s">
        <v>59</v>
      </c>
      <c r="B28" s="10" t="s">
        <v>60</v>
      </c>
      <c r="C28" s="11">
        <v>16.2</v>
      </c>
    </row>
    <row r="29" spans="1:3" x14ac:dyDescent="0.2">
      <c r="A29" s="10" t="s">
        <v>2</v>
      </c>
      <c r="B29" s="10" t="s">
        <v>51</v>
      </c>
      <c r="C29" s="11">
        <v>16.7</v>
      </c>
    </row>
    <row r="30" spans="1:3" x14ac:dyDescent="0.2">
      <c r="A30" s="10" t="s">
        <v>8</v>
      </c>
      <c r="B30" s="10" t="s">
        <v>68</v>
      </c>
      <c r="C30" s="11">
        <v>22.9</v>
      </c>
    </row>
    <row r="31" spans="1:3" x14ac:dyDescent="0.2">
      <c r="A31" s="10" t="s">
        <v>3</v>
      </c>
      <c r="B31" s="10" t="s">
        <v>54</v>
      </c>
      <c r="C31" s="11">
        <v>14.8</v>
      </c>
    </row>
    <row r="32" spans="1:3" x14ac:dyDescent="0.2">
      <c r="A32" s="10" t="s">
        <v>75</v>
      </c>
      <c r="B32" s="10" t="s">
        <v>76</v>
      </c>
      <c r="C32" s="11">
        <v>20.100000000000001</v>
      </c>
    </row>
    <row r="33" spans="1:3" x14ac:dyDescent="0.2">
      <c r="A33" s="10" t="s">
        <v>9</v>
      </c>
      <c r="B33" s="10" t="s">
        <v>65</v>
      </c>
      <c r="C33" s="11">
        <v>20.9</v>
      </c>
    </row>
  </sheetData>
  <pageMargins left="0.2" right="0.2" top="0.5" bottom="0.5" header="0.5" footer="0.5"/>
  <pageSetup fitToWidth="0" fitToHeight="0" orientation="landscape"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B4D1-65AD-410D-9414-003669FCE1C9}">
  <sheetPr>
    <tabColor rgb="FFFFFF00"/>
  </sheetPr>
  <dimension ref="A1:EO61"/>
  <sheetViews>
    <sheetView topLeftCell="DX1" workbookViewId="0">
      <selection activeCell="EQ1" sqref="EQ1"/>
    </sheetView>
  </sheetViews>
  <sheetFormatPr defaultRowHeight="15" outlineLevelCol="1" x14ac:dyDescent="0.25"/>
  <cols>
    <col min="5" max="27" width="9.140625" customWidth="1" outlineLevel="1"/>
    <col min="29" max="75" width="9.140625" customWidth="1" outlineLevel="1"/>
    <col min="77" max="87" width="9.140625" customWidth="1" outlineLevel="1"/>
    <col min="89" max="95" width="9.140625" customWidth="1" outlineLevel="1"/>
    <col min="97" max="103" width="9.140625" customWidth="1" outlineLevel="1"/>
    <col min="105" max="138" width="9.140625" customWidth="1" outlineLevel="1"/>
    <col min="140" max="143" width="9.140625" customWidth="1" outlineLevel="1"/>
    <col min="145" max="145" width="9.140625" customWidth="1" outlineLevel="1"/>
  </cols>
  <sheetData>
    <row r="1" spans="1:145" x14ac:dyDescent="0.25">
      <c r="A1" s="109" t="s">
        <v>977</v>
      </c>
      <c r="B1" s="109" t="s">
        <v>978</v>
      </c>
      <c r="C1" s="109" t="s">
        <v>979</v>
      </c>
      <c r="D1" s="109" t="s">
        <v>980</v>
      </c>
      <c r="E1" s="109" t="s">
        <v>740</v>
      </c>
      <c r="F1" s="109" t="s">
        <v>519</v>
      </c>
      <c r="G1" s="109" t="s">
        <v>751</v>
      </c>
      <c r="H1" s="109" t="s">
        <v>507</v>
      </c>
      <c r="I1" s="109" t="s">
        <v>731</v>
      </c>
      <c r="J1" s="109" t="s">
        <v>622</v>
      </c>
      <c r="K1" s="109" t="s">
        <v>661</v>
      </c>
      <c r="L1" s="109" t="s">
        <v>520</v>
      </c>
      <c r="M1" s="109" t="s">
        <v>630</v>
      </c>
      <c r="N1" s="109" t="s">
        <v>488</v>
      </c>
      <c r="O1" s="109" t="s">
        <v>769</v>
      </c>
      <c r="P1" s="109" t="s">
        <v>734</v>
      </c>
      <c r="Q1" s="109" t="s">
        <v>521</v>
      </c>
      <c r="R1" s="109" t="s">
        <v>634</v>
      </c>
      <c r="S1" s="109" t="s">
        <v>752</v>
      </c>
      <c r="T1" s="109" t="s">
        <v>490</v>
      </c>
      <c r="U1" s="109" t="s">
        <v>754</v>
      </c>
      <c r="V1" s="109" t="s">
        <v>728</v>
      </c>
      <c r="W1" s="109" t="s">
        <v>753</v>
      </c>
      <c r="X1" s="109" t="s">
        <v>602</v>
      </c>
      <c r="Y1" s="109" t="s">
        <v>492</v>
      </c>
      <c r="Z1" s="109" t="s">
        <v>495</v>
      </c>
      <c r="AA1" s="109" t="s">
        <v>755</v>
      </c>
      <c r="AB1" s="109" t="s">
        <v>480</v>
      </c>
      <c r="AC1" s="109" t="s">
        <v>727</v>
      </c>
      <c r="AD1" s="109" t="s">
        <v>523</v>
      </c>
      <c r="AE1" s="109" t="s">
        <v>506</v>
      </c>
      <c r="AF1" s="109" t="s">
        <v>528</v>
      </c>
      <c r="AG1" s="109" t="s">
        <v>545</v>
      </c>
      <c r="AH1" s="109" t="s">
        <v>742</v>
      </c>
      <c r="AI1" s="109" t="s">
        <v>526</v>
      </c>
      <c r="AJ1" s="109" t="s">
        <v>529</v>
      </c>
      <c r="AK1" s="109" t="s">
        <v>527</v>
      </c>
      <c r="AL1" s="109" t="s">
        <v>638</v>
      </c>
      <c r="AM1" s="109" t="s">
        <v>489</v>
      </c>
      <c r="AN1" s="109" t="s">
        <v>744</v>
      </c>
      <c r="AO1" s="109" t="s">
        <v>737</v>
      </c>
      <c r="AP1" s="109" t="s">
        <v>689</v>
      </c>
      <c r="AQ1" s="109" t="s">
        <v>756</v>
      </c>
      <c r="AR1" s="109" t="s">
        <v>525</v>
      </c>
      <c r="AS1" s="109" t="s">
        <v>522</v>
      </c>
      <c r="AT1" s="109" t="s">
        <v>511</v>
      </c>
      <c r="AU1" s="109" t="s">
        <v>493</v>
      </c>
      <c r="AV1" s="109" t="s">
        <v>509</v>
      </c>
      <c r="AW1" s="109" t="s">
        <v>484</v>
      </c>
      <c r="AX1" s="109" t="s">
        <v>696</v>
      </c>
      <c r="AY1" s="109" t="s">
        <v>530</v>
      </c>
      <c r="AZ1" s="109" t="s">
        <v>669</v>
      </c>
      <c r="BA1" s="109" t="s">
        <v>700</v>
      </c>
      <c r="BB1" s="109" t="s">
        <v>736</v>
      </c>
      <c r="BC1" s="109" t="s">
        <v>503</v>
      </c>
      <c r="BD1" s="109" t="s">
        <v>646</v>
      </c>
      <c r="BE1" s="109" t="s">
        <v>518</v>
      </c>
      <c r="BF1" s="109" t="s">
        <v>704</v>
      </c>
      <c r="BG1" s="109" t="s">
        <v>732</v>
      </c>
      <c r="BH1" s="109" t="s">
        <v>757</v>
      </c>
      <c r="BI1" s="109" t="s">
        <v>531</v>
      </c>
      <c r="BJ1" s="109" t="s">
        <v>532</v>
      </c>
      <c r="BK1" s="109" t="s">
        <v>533</v>
      </c>
      <c r="BL1" s="109" t="s">
        <v>618</v>
      </c>
      <c r="BM1" s="109" t="s">
        <v>642</v>
      </c>
      <c r="BN1" s="109" t="s">
        <v>759</v>
      </c>
      <c r="BO1" s="109" t="s">
        <v>747</v>
      </c>
      <c r="BP1" s="109" t="s">
        <v>758</v>
      </c>
      <c r="BQ1" s="109" t="s">
        <v>657</v>
      </c>
      <c r="BR1" s="109" t="s">
        <v>504</v>
      </c>
      <c r="BS1" s="109" t="s">
        <v>726</v>
      </c>
      <c r="BT1" s="109" t="s">
        <v>534</v>
      </c>
      <c r="BU1" s="109" t="s">
        <v>750</v>
      </c>
      <c r="BV1" s="109" t="s">
        <v>502</v>
      </c>
      <c r="BW1" s="109" t="s">
        <v>610</v>
      </c>
      <c r="BX1" s="109" t="s">
        <v>477</v>
      </c>
      <c r="BY1" s="109" t="s">
        <v>535</v>
      </c>
      <c r="BZ1" s="109" t="s">
        <v>497</v>
      </c>
      <c r="CA1" s="109" t="s">
        <v>515</v>
      </c>
      <c r="CB1" s="109" t="s">
        <v>650</v>
      </c>
      <c r="CC1" s="109" t="s">
        <v>481</v>
      </c>
      <c r="CD1" s="109" t="s">
        <v>501</v>
      </c>
      <c r="CE1" s="109" t="s">
        <v>498</v>
      </c>
      <c r="CF1" s="109" t="s">
        <v>513</v>
      </c>
      <c r="CG1" s="109" t="s">
        <v>729</v>
      </c>
      <c r="CH1" s="109" t="s">
        <v>760</v>
      </c>
      <c r="CI1" s="109" t="s">
        <v>536</v>
      </c>
      <c r="CJ1" s="109" t="s">
        <v>478</v>
      </c>
      <c r="CK1" s="109" t="s">
        <v>741</v>
      </c>
      <c r="CL1" s="109" t="s">
        <v>491</v>
      </c>
      <c r="CM1" s="109" t="s">
        <v>761</v>
      </c>
      <c r="CN1" s="109" t="s">
        <v>537</v>
      </c>
      <c r="CO1" s="109" t="s">
        <v>510</v>
      </c>
      <c r="CP1" s="109" t="s">
        <v>487</v>
      </c>
      <c r="CQ1" s="109" t="s">
        <v>677</v>
      </c>
      <c r="CR1" s="109" t="s">
        <v>483</v>
      </c>
      <c r="CS1" s="109" t="s">
        <v>685</v>
      </c>
      <c r="CT1" s="109" t="s">
        <v>733</v>
      </c>
      <c r="CU1" s="109" t="s">
        <v>538</v>
      </c>
      <c r="CV1" s="109" t="s">
        <v>708</v>
      </c>
      <c r="CW1" s="109" t="s">
        <v>486</v>
      </c>
      <c r="CX1" s="109" t="s">
        <v>614</v>
      </c>
      <c r="CY1" s="109" t="s">
        <v>539</v>
      </c>
      <c r="CZ1" s="109" t="s">
        <v>479</v>
      </c>
      <c r="DA1" s="109" t="s">
        <v>735</v>
      </c>
      <c r="DB1" s="109" t="s">
        <v>762</v>
      </c>
      <c r="DC1" s="109" t="s">
        <v>485</v>
      </c>
      <c r="DD1" s="109" t="s">
        <v>500</v>
      </c>
      <c r="DE1" s="109" t="s">
        <v>508</v>
      </c>
      <c r="DF1" s="109" t="s">
        <v>505</v>
      </c>
      <c r="DG1" s="109" t="s">
        <v>763</v>
      </c>
      <c r="DH1" s="109" t="s">
        <v>764</v>
      </c>
      <c r="DI1" s="109" t="s">
        <v>765</v>
      </c>
      <c r="DJ1" s="109" t="s">
        <v>540</v>
      </c>
      <c r="DK1" s="109" t="s">
        <v>524</v>
      </c>
      <c r="DL1" s="109" t="s">
        <v>494</v>
      </c>
      <c r="DM1" s="109" t="s">
        <v>738</v>
      </c>
      <c r="DN1" s="109" t="s">
        <v>745</v>
      </c>
      <c r="DO1" s="109" t="s">
        <v>748</v>
      </c>
      <c r="DP1" s="109" t="s">
        <v>730</v>
      </c>
      <c r="DQ1" s="109" t="s">
        <v>512</v>
      </c>
      <c r="DR1" s="109" t="s">
        <v>499</v>
      </c>
      <c r="DS1" s="109" t="s">
        <v>626</v>
      </c>
      <c r="DT1" s="109" t="s">
        <v>516</v>
      </c>
      <c r="DU1" s="109" t="s">
        <v>567</v>
      </c>
      <c r="DV1" s="109" t="s">
        <v>541</v>
      </c>
      <c r="DW1" s="109" t="s">
        <v>766</v>
      </c>
      <c r="DX1" s="109" t="s">
        <v>770</v>
      </c>
      <c r="DY1" s="109" t="s">
        <v>749</v>
      </c>
      <c r="DZ1" s="109" t="s">
        <v>725</v>
      </c>
      <c r="EA1" s="109" t="s">
        <v>543</v>
      </c>
      <c r="EB1" s="109" t="s">
        <v>517</v>
      </c>
      <c r="EC1" s="109" t="s">
        <v>767</v>
      </c>
      <c r="ED1" s="109" t="s">
        <v>542</v>
      </c>
      <c r="EE1" s="109" t="s">
        <v>746</v>
      </c>
      <c r="EF1" s="109" t="s">
        <v>496</v>
      </c>
      <c r="EG1" s="109" t="s">
        <v>743</v>
      </c>
      <c r="EH1" s="109" t="s">
        <v>544</v>
      </c>
      <c r="EI1" s="109" t="s">
        <v>606</v>
      </c>
      <c r="EJ1" s="109" t="s">
        <v>768</v>
      </c>
      <c r="EK1" s="109" t="s">
        <v>514</v>
      </c>
      <c r="EL1" s="109" t="s">
        <v>681</v>
      </c>
      <c r="EM1" s="109" t="s">
        <v>739</v>
      </c>
      <c r="EN1" s="109" t="s">
        <v>482</v>
      </c>
      <c r="EO1" s="109" t="s">
        <v>712</v>
      </c>
    </row>
    <row r="2" spans="1:145" x14ac:dyDescent="0.25">
      <c r="A2">
        <v>2020</v>
      </c>
      <c r="B2">
        <v>3</v>
      </c>
      <c r="C2">
        <v>-0.12464237195363009</v>
      </c>
      <c r="D2">
        <v>2.047363156590043E-3</v>
      </c>
      <c r="E2">
        <v>-8.7719298245613975E-2</v>
      </c>
      <c r="F2">
        <v>-9.722222222222221E-2</v>
      </c>
      <c r="H2">
        <v>-0.36</v>
      </c>
      <c r="J2">
        <v>-3.5737491877842809E-2</v>
      </c>
      <c r="K2">
        <v>-9.6103896103896136E-2</v>
      </c>
      <c r="M2">
        <v>-0.15142678608623189</v>
      </c>
      <c r="P2">
        <v>-0.41286863270777491</v>
      </c>
      <c r="Q2">
        <v>-0.10280373831775701</v>
      </c>
      <c r="R2">
        <v>-0.1449183110545301</v>
      </c>
      <c r="T2">
        <v>-0.39814814814814808</v>
      </c>
      <c r="V2">
        <v>-0.2052052052052051</v>
      </c>
      <c r="X2">
        <v>-0.24576923076923071</v>
      </c>
      <c r="Y2">
        <v>1.8301886792452831</v>
      </c>
      <c r="AB2">
        <v>-5.6215218999928977E-2</v>
      </c>
      <c r="AE2">
        <v>-0.1210911510312708</v>
      </c>
      <c r="AH2">
        <v>-0.24107142857142869</v>
      </c>
      <c r="AI2">
        <v>-0.43548387096774188</v>
      </c>
      <c r="AK2">
        <v>-0.46616541353383473</v>
      </c>
      <c r="AL2">
        <v>-0.31242105263157899</v>
      </c>
      <c r="AM2">
        <v>-5.7844690966719403E-2</v>
      </c>
      <c r="AN2">
        <v>-0.1228070175438597</v>
      </c>
      <c r="AO2">
        <v>-9.9255583126550917E-2</v>
      </c>
      <c r="AP2">
        <v>-0.30961538461538463</v>
      </c>
      <c r="AR2">
        <v>-0.15730337078651691</v>
      </c>
      <c r="AT2">
        <v>-0.22018348623853209</v>
      </c>
      <c r="AV2">
        <v>-0.1242937853107344</v>
      </c>
      <c r="AW2">
        <v>-0.18284671532846711</v>
      </c>
      <c r="AY2">
        <v>-0.16303400174367921</v>
      </c>
      <c r="AZ2">
        <v>-0.51688009313154826</v>
      </c>
      <c r="BA2">
        <v>-0.37551990493166959</v>
      </c>
      <c r="BB2">
        <v>-0.24074074074074081</v>
      </c>
      <c r="BC2">
        <v>-5.6910569105691138E-2</v>
      </c>
      <c r="BE2">
        <v>-0.41025641025641019</v>
      </c>
      <c r="BF2">
        <v>-0.20930232558139539</v>
      </c>
      <c r="BG2">
        <v>-0.36892177589852021</v>
      </c>
      <c r="BJ2">
        <v>-0.505586592178771</v>
      </c>
      <c r="BK2">
        <v>-0.27021225852611502</v>
      </c>
      <c r="BM2">
        <v>-0.30797101449275349</v>
      </c>
      <c r="BO2">
        <v>0.11363636363636349</v>
      </c>
      <c r="BQ2">
        <v>-0.12694877505567939</v>
      </c>
      <c r="BR2">
        <v>-0.2274678111587983</v>
      </c>
      <c r="BS2">
        <v>-0.27156398104265411</v>
      </c>
      <c r="BT2">
        <v>0.12916666666666671</v>
      </c>
      <c r="BV2">
        <v>-0.15789473684210531</v>
      </c>
      <c r="BW2">
        <v>-0.12951649502530979</v>
      </c>
      <c r="BX2">
        <v>-2.4910800612630849E-2</v>
      </c>
      <c r="BZ2">
        <v>-9.5652173913043481E-2</v>
      </c>
      <c r="CA2">
        <v>-0.1212121212121213</v>
      </c>
      <c r="CB2">
        <v>-0.22307692307692309</v>
      </c>
      <c r="CC2">
        <v>9.9818251709580252E-2</v>
      </c>
      <c r="CD2">
        <v>-3.4205231388329982E-2</v>
      </c>
      <c r="CE2">
        <v>0.1404358353510895</v>
      </c>
      <c r="CJ2">
        <v>1.29510516498359E-2</v>
      </c>
      <c r="CK2">
        <v>5.2631578947368363E-2</v>
      </c>
      <c r="CL2">
        <v>-0.14223930802498791</v>
      </c>
      <c r="CN2">
        <v>1.12676056338028E-2</v>
      </c>
      <c r="CO2">
        <v>0.50000583001993859</v>
      </c>
      <c r="CQ2">
        <v>5.2072263549415521E-2</v>
      </c>
      <c r="CS2">
        <v>0.1225860621326615</v>
      </c>
      <c r="CT2">
        <v>-0.25785123966942158</v>
      </c>
      <c r="CU2">
        <v>-0.25490196078431371</v>
      </c>
      <c r="CV2">
        <v>-3.8269983307336441E-2</v>
      </c>
      <c r="CW2">
        <v>-1.8201284796573899E-2</v>
      </c>
      <c r="CX2">
        <v>-0.22706316274780999</v>
      </c>
      <c r="CY2">
        <v>2.564102564102555E-2</v>
      </c>
      <c r="CZ2">
        <v>-2.3339183541763339E-2</v>
      </c>
      <c r="DA2">
        <v>-0.28516057585825022</v>
      </c>
      <c r="DC2">
        <v>-5.1291715205920803E-2</v>
      </c>
      <c r="DD2">
        <v>-2.5728383458646479E-2</v>
      </c>
      <c r="DF2">
        <v>-0.36875000000000002</v>
      </c>
      <c r="DI2">
        <v>-0.30073800738007378</v>
      </c>
      <c r="DJ2">
        <v>-3.787878787878896E-3</v>
      </c>
      <c r="DK2">
        <v>-0.26737967914438499</v>
      </c>
      <c r="DM2">
        <v>-0.16384180790960451</v>
      </c>
      <c r="DN2">
        <v>-0.1673773987206825</v>
      </c>
      <c r="DP2">
        <v>-4.4000490256158931E-2</v>
      </c>
      <c r="DQ2">
        <v>-0.37650602409638562</v>
      </c>
      <c r="DR2">
        <v>-7.0208728652751518E-2</v>
      </c>
      <c r="DS2">
        <v>0</v>
      </c>
      <c r="DY2">
        <v>-0.10606060606060599</v>
      </c>
      <c r="DZ2">
        <v>-0.52321552321552323</v>
      </c>
      <c r="EA2">
        <v>-0.23201438848920869</v>
      </c>
      <c r="EB2">
        <v>-0.30232558139534882</v>
      </c>
      <c r="EC2">
        <v>-0.36608863198458569</v>
      </c>
      <c r="ED2">
        <v>-0.1153846153846154</v>
      </c>
      <c r="EE2">
        <v>-0.37278106508875741</v>
      </c>
      <c r="EF2">
        <v>-0.20823244552058109</v>
      </c>
      <c r="EG2">
        <v>-7.9191238416175147E-2</v>
      </c>
      <c r="EK2">
        <v>-9.152542372881356E-2</v>
      </c>
      <c r="EL2">
        <v>-0.452247191011236</v>
      </c>
      <c r="EM2">
        <v>-8.8235294117646967E-2</v>
      </c>
      <c r="EN2">
        <v>-0.11664052440594649</v>
      </c>
      <c r="EO2">
        <v>-0.25742574257425738</v>
      </c>
    </row>
    <row r="3" spans="1:145" x14ac:dyDescent="0.25">
      <c r="A3">
        <v>2020</v>
      </c>
      <c r="B3">
        <v>4</v>
      </c>
      <c r="C3">
        <v>0.126983219259136</v>
      </c>
      <c r="D3">
        <v>-1.9324052044489279E-4</v>
      </c>
      <c r="E3">
        <v>0.27884615384615402</v>
      </c>
      <c r="F3">
        <v>0.13846153846153841</v>
      </c>
      <c r="H3">
        <v>0.1651785714285712</v>
      </c>
      <c r="J3">
        <v>0.1421832884097034</v>
      </c>
      <c r="K3">
        <v>4.31034482758621E-2</v>
      </c>
      <c r="M3">
        <v>-1.791850760922931E-2</v>
      </c>
      <c r="P3">
        <v>0.96803652968036524</v>
      </c>
      <c r="Q3">
        <v>0.22916666666666649</v>
      </c>
      <c r="R3">
        <v>0.30272952853598029</v>
      </c>
      <c r="T3">
        <v>0.3538461538461537</v>
      </c>
      <c r="V3">
        <v>0.30730478589420662</v>
      </c>
      <c r="X3">
        <v>0.61533231344552108</v>
      </c>
      <c r="Y3">
        <v>9.3333333333333268E-2</v>
      </c>
      <c r="AB3">
        <v>9.9850494913390042E-2</v>
      </c>
      <c r="AE3">
        <v>0.12187736563209681</v>
      </c>
      <c r="AH3">
        <v>0.16470588235294131</v>
      </c>
      <c r="AI3">
        <v>0.3666666666666667</v>
      </c>
      <c r="AK3">
        <v>0.323943661971831</v>
      </c>
      <c r="AL3">
        <v>0.26638089406001231</v>
      </c>
      <c r="AM3">
        <v>6.4760302775441536E-2</v>
      </c>
      <c r="AN3">
        <v>-4.0000000000000042E-2</v>
      </c>
      <c r="AO3">
        <v>9.0909090909090828E-2</v>
      </c>
      <c r="AP3">
        <v>0.15598885793871881</v>
      </c>
      <c r="AR3">
        <v>0.53166666666666673</v>
      </c>
      <c r="AT3">
        <v>0.30588235294117649</v>
      </c>
      <c r="AV3">
        <v>0.37419354838709679</v>
      </c>
      <c r="AW3">
        <v>0.103617686467173</v>
      </c>
      <c r="AY3">
        <v>-5.208333333333337E-2</v>
      </c>
      <c r="AZ3">
        <v>2.4096385542167198E-3</v>
      </c>
      <c r="BA3">
        <v>0.25594671741198849</v>
      </c>
      <c r="BB3">
        <v>0.26341463414634148</v>
      </c>
      <c r="BC3">
        <v>0.14655172413793099</v>
      </c>
      <c r="BE3">
        <v>0.5913043478260871</v>
      </c>
      <c r="BF3">
        <v>-4.9019607843137303E-2</v>
      </c>
      <c r="BG3">
        <v>5.695142378559459E-2</v>
      </c>
      <c r="BJ3">
        <v>5.6497175141242861E-2</v>
      </c>
      <c r="BK3">
        <v>0.16013071895424849</v>
      </c>
      <c r="BM3">
        <v>0.1753926701570683</v>
      </c>
      <c r="BO3">
        <v>0.1020408163265307</v>
      </c>
      <c r="BQ3">
        <v>0.2057823129251701</v>
      </c>
      <c r="BR3">
        <v>5.555555555555558E-2</v>
      </c>
      <c r="BS3">
        <v>0.14964216005204969</v>
      </c>
      <c r="BT3">
        <v>0.29151291512915128</v>
      </c>
      <c r="BV3">
        <v>-5.0000000000000037E-2</v>
      </c>
      <c r="BW3">
        <v>0.1053739723280529</v>
      </c>
      <c r="BX3">
        <v>0.14420734703619459</v>
      </c>
      <c r="BZ3">
        <v>1.923076923076916E-3</v>
      </c>
      <c r="CA3">
        <v>0</v>
      </c>
      <c r="CB3">
        <v>0.35547304730473051</v>
      </c>
      <c r="CC3">
        <v>0.1147634720303894</v>
      </c>
      <c r="CD3">
        <v>0.15416666666666659</v>
      </c>
      <c r="CE3">
        <v>5.732484076433142E-2</v>
      </c>
      <c r="CJ3">
        <v>3.1192156638631952E-2</v>
      </c>
      <c r="CK3">
        <v>0.53333333333333344</v>
      </c>
      <c r="CL3">
        <v>7.5630252100840289E-2</v>
      </c>
      <c r="CN3">
        <v>0.10027855153203349</v>
      </c>
      <c r="CO3">
        <v>-0.2</v>
      </c>
      <c r="CQ3">
        <v>0.16363636363636361</v>
      </c>
      <c r="CS3">
        <v>0.24308152580403911</v>
      </c>
      <c r="CT3">
        <v>-0.1002227171492204</v>
      </c>
      <c r="CU3">
        <v>1.6447368421052651E-2</v>
      </c>
      <c r="CV3">
        <v>0.1050899382074957</v>
      </c>
      <c r="CW3">
        <v>0.1093238822246456</v>
      </c>
      <c r="CX3">
        <v>0.23143453623620619</v>
      </c>
      <c r="CY3">
        <v>-0.25</v>
      </c>
      <c r="CZ3">
        <v>0.17524809521699039</v>
      </c>
      <c r="DA3">
        <v>0.31061192873741289</v>
      </c>
      <c r="DC3">
        <v>0.10833905160894219</v>
      </c>
      <c r="DD3">
        <v>-0.11642348969010009</v>
      </c>
      <c r="DF3">
        <v>0.36633663366336638</v>
      </c>
      <c r="DI3">
        <v>0.23013778950454419</v>
      </c>
      <c r="DJ3">
        <v>8.5551330798478986E-3</v>
      </c>
      <c r="DK3">
        <v>0.85766423357664223</v>
      </c>
      <c r="DM3">
        <v>0.27567567567567552</v>
      </c>
      <c r="DN3">
        <v>0.23559539052496811</v>
      </c>
      <c r="DP3">
        <v>0.2364102564102564</v>
      </c>
      <c r="DQ3">
        <v>3.8647342995169032E-2</v>
      </c>
      <c r="DR3">
        <v>3.6734693877551017E-2</v>
      </c>
      <c r="DS3">
        <v>0.30072262367982222</v>
      </c>
      <c r="DY3">
        <v>0.36440677966101709</v>
      </c>
      <c r="DZ3">
        <v>0.17005813953488391</v>
      </c>
      <c r="EA3">
        <v>0.62060889929742391</v>
      </c>
      <c r="EB3">
        <v>3.3333333333333437E-2</v>
      </c>
      <c r="EC3">
        <v>-0.1276595744680851</v>
      </c>
      <c r="ED3">
        <v>0.13043478260869559</v>
      </c>
      <c r="EE3">
        <v>0.49056603773584889</v>
      </c>
      <c r="EF3">
        <v>-1.223241590214064E-2</v>
      </c>
      <c r="EG3">
        <v>0.10430009149130839</v>
      </c>
      <c r="EK3">
        <v>-0.32089552238805968</v>
      </c>
      <c r="EL3">
        <v>0.3846153846153848</v>
      </c>
      <c r="EM3">
        <v>3.548387096774186E-2</v>
      </c>
      <c r="EN3">
        <v>0.10045751651308631</v>
      </c>
      <c r="EO3">
        <v>0.33333333333333331</v>
      </c>
    </row>
    <row r="4" spans="1:145" x14ac:dyDescent="0.25">
      <c r="A4">
        <v>2020</v>
      </c>
      <c r="B4">
        <v>5</v>
      </c>
      <c r="C4">
        <v>4.7645592087328881E-2</v>
      </c>
      <c r="D4">
        <v>-1.7111862336904871E-4</v>
      </c>
      <c r="E4">
        <v>6.0150375939849399E-2</v>
      </c>
      <c r="F4">
        <v>9.4594594594594517E-2</v>
      </c>
      <c r="H4">
        <v>0.21072796934865901</v>
      </c>
      <c r="J4">
        <v>9.9705014749262633E-2</v>
      </c>
      <c r="K4">
        <v>0.34159779614325081</v>
      </c>
      <c r="M4">
        <v>-0.2236940764808798</v>
      </c>
      <c r="P4">
        <v>0.1299303944315546</v>
      </c>
      <c r="Q4">
        <v>8.4745762711864403E-2</v>
      </c>
      <c r="R4">
        <v>-0.36628571428571421</v>
      </c>
      <c r="T4">
        <v>0.125</v>
      </c>
      <c r="V4">
        <v>-0.22157996146435449</v>
      </c>
      <c r="X4">
        <v>-0.1899400189413869</v>
      </c>
      <c r="Y4">
        <v>-9.1463414634146312E-2</v>
      </c>
      <c r="AB4">
        <v>-1.7923128002812368E-2</v>
      </c>
      <c r="AE4">
        <v>7.0850202429149745E-2</v>
      </c>
      <c r="AH4">
        <v>-6.0606060606060552E-2</v>
      </c>
      <c r="AI4">
        <v>-7.3170731707317027E-2</v>
      </c>
      <c r="AK4">
        <v>3.1914893617021489E-2</v>
      </c>
      <c r="AL4">
        <v>6.6247582205029021E-2</v>
      </c>
      <c r="AM4">
        <v>0.19589257503949439</v>
      </c>
      <c r="AN4">
        <v>-6.25E-2</v>
      </c>
      <c r="AO4">
        <v>-0.16414141414141409</v>
      </c>
      <c r="AP4">
        <v>6.5060240963855209E-2</v>
      </c>
      <c r="AR4">
        <v>-5.5495103373231817E-2</v>
      </c>
      <c r="AT4">
        <v>-5.4054054054054057E-2</v>
      </c>
      <c r="AV4">
        <v>9.8591549295774517E-2</v>
      </c>
      <c r="AW4">
        <v>-0.13354917037636579</v>
      </c>
      <c r="AX4">
        <v>0.91371428571428592</v>
      </c>
      <c r="AY4">
        <v>0.4505494505494505</v>
      </c>
      <c r="AZ4">
        <v>9.8557692307692291E-2</v>
      </c>
      <c r="BA4">
        <v>6.9949494949494762E-2</v>
      </c>
      <c r="BB4">
        <v>-0.111969111969112</v>
      </c>
      <c r="BC4">
        <v>0.85714285714285698</v>
      </c>
      <c r="BE4">
        <v>-0.21038251366120231</v>
      </c>
      <c r="BF4">
        <v>-0.11340206185567001</v>
      </c>
      <c r="BG4">
        <v>0.57765451664025358</v>
      </c>
      <c r="BJ4">
        <v>-1.069518716577544E-2</v>
      </c>
      <c r="BK4">
        <v>-0.18591549295774651</v>
      </c>
      <c r="BM4">
        <v>0.20489977728285069</v>
      </c>
      <c r="BO4">
        <v>7.4074074074073959E-2</v>
      </c>
      <c r="BQ4">
        <v>-1.480959097320167E-2</v>
      </c>
      <c r="BR4">
        <v>0.32105263157894731</v>
      </c>
      <c r="BS4">
        <v>0.1816638370118844</v>
      </c>
      <c r="BT4">
        <v>0.20285714285714279</v>
      </c>
      <c r="BV4">
        <v>5.921052631578938E-2</v>
      </c>
      <c r="BW4">
        <v>8.2267573696145124E-2</v>
      </c>
      <c r="BX4">
        <v>-1.66186461670137E-3</v>
      </c>
      <c r="BZ4">
        <v>-2.1113243761996081E-2</v>
      </c>
      <c r="CA4">
        <v>3.4482758620689717E-2</v>
      </c>
      <c r="CB4">
        <v>3.043522369889429E-2</v>
      </c>
      <c r="CC4">
        <v>-6.307781797779799E-3</v>
      </c>
      <c r="CD4">
        <v>0.64981949458483768</v>
      </c>
      <c r="CE4">
        <v>0.85542168674698793</v>
      </c>
      <c r="CJ4">
        <v>1.739423599447654E-2</v>
      </c>
      <c r="CK4">
        <v>-7.6086956521739135E-2</v>
      </c>
      <c r="CL4">
        <v>0.13020833333333329</v>
      </c>
      <c r="CN4">
        <v>-6.5654008438818523E-2</v>
      </c>
      <c r="CO4">
        <v>-0.14583738194255519</v>
      </c>
      <c r="CQ4">
        <v>0.22222222222222229</v>
      </c>
      <c r="CS4">
        <v>-0.1046931407942239</v>
      </c>
      <c r="CT4">
        <v>6.9306930693069146E-2</v>
      </c>
      <c r="CU4">
        <v>1.6181229773462921E-2</v>
      </c>
      <c r="CV4">
        <v>-1.909649954726278E-2</v>
      </c>
      <c r="CW4">
        <v>3.7109855001228993E-2</v>
      </c>
      <c r="CX4">
        <v>6.4422378299830552E-2</v>
      </c>
      <c r="CY4">
        <v>6.6666666666666652E-2</v>
      </c>
      <c r="CZ4">
        <v>5.8041866939104736E-3</v>
      </c>
      <c r="DA4">
        <v>0.2494089834515365</v>
      </c>
      <c r="DC4">
        <v>3.1779237593736687E-2</v>
      </c>
      <c r="DD4">
        <v>-4.7901740020470873E-2</v>
      </c>
      <c r="DF4">
        <v>0.21739130434782619</v>
      </c>
      <c r="DI4">
        <v>0.14895138226882751</v>
      </c>
      <c r="DJ4">
        <v>-6.5975494816211677E-3</v>
      </c>
      <c r="DK4">
        <v>-0.71971185330713816</v>
      </c>
      <c r="DM4">
        <v>-0.1175847457627118</v>
      </c>
      <c r="DN4">
        <v>-0.21865284974093269</v>
      </c>
      <c r="DP4">
        <v>1.354209871422629E-2</v>
      </c>
      <c r="DQ4">
        <v>-0.1116279069767442</v>
      </c>
      <c r="DR4">
        <v>0.90944881889763796</v>
      </c>
      <c r="DS4">
        <v>3.0769230769230878E-2</v>
      </c>
      <c r="DY4">
        <v>-0.13664596273291929</v>
      </c>
      <c r="DZ4">
        <v>0.22360248447204939</v>
      </c>
      <c r="EA4">
        <v>-1.7341040462427681E-2</v>
      </c>
      <c r="EB4">
        <v>0.35483870967741932</v>
      </c>
      <c r="EC4">
        <v>-4.5296167247386721E-2</v>
      </c>
      <c r="ED4">
        <v>7.6923076923076872E-2</v>
      </c>
      <c r="EE4">
        <v>-0.28481012658227839</v>
      </c>
      <c r="EF4">
        <v>0.1547987616099071</v>
      </c>
      <c r="EG4">
        <v>-4.8881524440762207E-2</v>
      </c>
      <c r="EK4">
        <v>0.31318681318681341</v>
      </c>
      <c r="EL4">
        <v>0.90370370370370345</v>
      </c>
      <c r="EM4">
        <v>0.52647975077881637</v>
      </c>
      <c r="EN4">
        <v>7.7952343146046044E-2</v>
      </c>
      <c r="EO4">
        <v>-0.37333333333333329</v>
      </c>
    </row>
    <row r="5" spans="1:145" x14ac:dyDescent="0.25">
      <c r="A5">
        <v>2020</v>
      </c>
      <c r="B5">
        <v>6</v>
      </c>
      <c r="C5">
        <v>1.7760594009069711E-2</v>
      </c>
      <c r="D5">
        <v>0</v>
      </c>
      <c r="E5">
        <v>0.14893617021276609</v>
      </c>
      <c r="F5">
        <v>-0.1419753086419753</v>
      </c>
      <c r="H5">
        <v>1.265822784810133E-2</v>
      </c>
      <c r="J5">
        <v>0.20493562231759671</v>
      </c>
      <c r="K5">
        <v>-2.2587268993839889E-2</v>
      </c>
      <c r="M5">
        <v>4.1210560206052849E-2</v>
      </c>
      <c r="P5">
        <v>-2.0533880903490509E-3</v>
      </c>
      <c r="Q5">
        <v>-5.46875E-2</v>
      </c>
      <c r="R5">
        <v>8.1154192966634842E-3</v>
      </c>
      <c r="T5">
        <v>-0.1313131313131313</v>
      </c>
      <c r="V5">
        <v>0</v>
      </c>
      <c r="X5">
        <v>6.8849051701740605E-2</v>
      </c>
      <c r="Y5">
        <v>-4.6979865771812117E-2</v>
      </c>
      <c r="AB5">
        <v>-1.540639921406883E-2</v>
      </c>
      <c r="AE5">
        <v>7.7504725897920457E-2</v>
      </c>
      <c r="AH5">
        <v>1.0752688172042999E-2</v>
      </c>
      <c r="AI5">
        <v>-0.1954887218045113</v>
      </c>
      <c r="AK5">
        <v>0.56701030927835028</v>
      </c>
      <c r="AL5">
        <v>-0.20634920634920639</v>
      </c>
      <c r="AM5">
        <v>0.1109643328929986</v>
      </c>
      <c r="AN5">
        <v>0.48888888888888887</v>
      </c>
      <c r="AO5">
        <v>6.0422960725075034E-3</v>
      </c>
      <c r="AP5">
        <v>0.42533936651583709</v>
      </c>
      <c r="AR5">
        <v>0.30184331797235031</v>
      </c>
      <c r="AT5">
        <v>-5.8095238095238089E-2</v>
      </c>
      <c r="AV5">
        <v>-8.5470085470085166E-3</v>
      </c>
      <c r="AW5">
        <v>1.8682858477345741E-3</v>
      </c>
      <c r="AX5">
        <v>-0.17497760525530021</v>
      </c>
      <c r="AY5">
        <v>0.17424242424242431</v>
      </c>
      <c r="AZ5">
        <v>0.159737417943107</v>
      </c>
      <c r="BA5">
        <v>0.21099834788765651</v>
      </c>
      <c r="BB5">
        <v>0.1847826086956523</v>
      </c>
      <c r="BC5">
        <v>0.4331983805668016</v>
      </c>
      <c r="BE5">
        <v>-1.730103806228378E-2</v>
      </c>
      <c r="BF5">
        <v>-0.1162790697674418</v>
      </c>
      <c r="BG5">
        <v>-8.136614766449024E-2</v>
      </c>
      <c r="BJ5">
        <v>0.54594594594594592</v>
      </c>
      <c r="BK5">
        <v>-0.10726643598615911</v>
      </c>
      <c r="BM5">
        <v>-3.6968576709796697E-2</v>
      </c>
      <c r="BO5">
        <v>3.4482758620689717E-2</v>
      </c>
      <c r="BQ5">
        <v>7.158196134573469E-4</v>
      </c>
      <c r="BR5">
        <v>0.1314741035856575</v>
      </c>
      <c r="BS5">
        <v>0.22940613026819931</v>
      </c>
      <c r="BT5">
        <v>-0.71733966745843225</v>
      </c>
      <c r="BV5">
        <v>4.1407867494824826E-3</v>
      </c>
      <c r="BW5">
        <v>-7.5259805564867555E-2</v>
      </c>
      <c r="BX5">
        <v>-5.4587913565168011E-2</v>
      </c>
      <c r="BZ5">
        <v>-5.6862745098039243E-2</v>
      </c>
      <c r="CA5">
        <v>-1.5666666666666721E-2</v>
      </c>
      <c r="CB5">
        <v>0.10121098749630809</v>
      </c>
      <c r="CC5">
        <v>7.3422731487247539E-2</v>
      </c>
      <c r="CD5">
        <v>0.37855579868708977</v>
      </c>
      <c r="CE5">
        <v>-8.8744588744588793E-2</v>
      </c>
      <c r="CJ5">
        <v>-3.433744601910782E-2</v>
      </c>
      <c r="CK5">
        <v>0.35294117647058831</v>
      </c>
      <c r="CL5">
        <v>6.7281105990783407E-2</v>
      </c>
      <c r="CN5">
        <v>-5.1661849710982637E-2</v>
      </c>
      <c r="CO5">
        <v>0</v>
      </c>
      <c r="CQ5">
        <v>0.18323863636363649</v>
      </c>
      <c r="CS5">
        <v>-1.0752688172042999E-2</v>
      </c>
      <c r="CT5">
        <v>0.72222222222222232</v>
      </c>
      <c r="CU5">
        <v>0.1242038216560508</v>
      </c>
      <c r="CV5">
        <v>7.3585706348406887E-3</v>
      </c>
      <c r="CW5">
        <v>-0.1099526066350711</v>
      </c>
      <c r="CX5">
        <v>0.19385665529010221</v>
      </c>
      <c r="CY5">
        <v>0.125</v>
      </c>
      <c r="CZ5">
        <v>-0.14375602889095671</v>
      </c>
      <c r="DA5">
        <v>-0.22161778618732281</v>
      </c>
      <c r="DC5">
        <v>9.1291706055864896E-3</v>
      </c>
      <c r="DD5">
        <v>-9.4316634415537837E-2</v>
      </c>
      <c r="DF5">
        <v>2.3809523809523721E-2</v>
      </c>
      <c r="DI5">
        <v>-7.1769342460070495E-2</v>
      </c>
      <c r="DJ5">
        <v>1.9924098671726839E-2</v>
      </c>
      <c r="DK5">
        <v>0.43925233644859812</v>
      </c>
      <c r="DM5">
        <v>-0.11644657863145259</v>
      </c>
      <c r="DN5">
        <v>-3.9787798408488229E-3</v>
      </c>
      <c r="DP5">
        <v>-1.3361160558999829E-2</v>
      </c>
      <c r="DQ5">
        <v>4.7120418848167533E-2</v>
      </c>
      <c r="DR5">
        <v>-0.26597938144329891</v>
      </c>
      <c r="DS5">
        <v>-1.5339966832504159E-2</v>
      </c>
      <c r="DY5">
        <v>-0.1294964028776979</v>
      </c>
      <c r="DZ5">
        <v>-0.2781725888324873</v>
      </c>
      <c r="EA5">
        <v>2.3529411764706021E-2</v>
      </c>
      <c r="EB5">
        <v>0.35714285714285721</v>
      </c>
      <c r="EC5">
        <v>1.4014598540145979</v>
      </c>
      <c r="ED5">
        <v>0.10714285714285721</v>
      </c>
      <c r="EE5">
        <v>0.1061946902654867</v>
      </c>
      <c r="EF5">
        <v>-0.1045576407506703</v>
      </c>
      <c r="EG5">
        <v>-4.09407665505227E-2</v>
      </c>
      <c r="EK5">
        <v>-0.27615062761506282</v>
      </c>
      <c r="EL5">
        <v>-0.48249027237354081</v>
      </c>
      <c r="EM5">
        <v>0.29931972789115641</v>
      </c>
      <c r="EN5">
        <v>-1.6858777392348308E-2</v>
      </c>
      <c r="EO5">
        <v>0.52659574468085091</v>
      </c>
    </row>
    <row r="6" spans="1:145" x14ac:dyDescent="0.25">
      <c r="A6">
        <v>2020</v>
      </c>
      <c r="B6">
        <v>7</v>
      </c>
      <c r="C6">
        <v>5.8892329817333611E-2</v>
      </c>
      <c r="D6">
        <v>1.095839135738519E-4</v>
      </c>
      <c r="E6">
        <v>0.32716049382716039</v>
      </c>
      <c r="F6">
        <v>0.15827338129496391</v>
      </c>
      <c r="H6">
        <v>0.23125000000000001</v>
      </c>
      <c r="J6">
        <v>-0.10863757791629571</v>
      </c>
      <c r="K6">
        <v>-9.0336134453781414E-2</v>
      </c>
      <c r="M6">
        <v>-8.4415584415584499E-2</v>
      </c>
      <c r="P6">
        <v>8.2304526748971041E-2</v>
      </c>
      <c r="Q6">
        <v>-4.9586776859504078E-2</v>
      </c>
      <c r="R6">
        <v>-6.0822898032200312E-2</v>
      </c>
      <c r="T6">
        <v>4.7209302325581293E-2</v>
      </c>
      <c r="V6">
        <v>-3.0940594059405972E-2</v>
      </c>
      <c r="X6">
        <v>-0.13308215848322799</v>
      </c>
      <c r="Y6">
        <v>-2.112676056338025E-2</v>
      </c>
      <c r="AB6">
        <v>5.2111105724950146E-3</v>
      </c>
      <c r="AE6">
        <v>-3.8596491228070073E-2</v>
      </c>
      <c r="AH6">
        <v>-0.1276595744680851</v>
      </c>
      <c r="AI6">
        <v>-0.13084112149532709</v>
      </c>
      <c r="AK6">
        <v>0.11184210526315801</v>
      </c>
      <c r="AL6">
        <v>-9.828571428571431E-2</v>
      </c>
      <c r="AM6">
        <v>-0.1111771700356718</v>
      </c>
      <c r="AN6">
        <v>-0.28358208955223879</v>
      </c>
      <c r="AO6">
        <v>0</v>
      </c>
      <c r="AP6">
        <v>-0.29365079365079361</v>
      </c>
      <c r="AR6">
        <v>0.1415929203539823</v>
      </c>
      <c r="AT6">
        <v>0.1223458038422649</v>
      </c>
      <c r="AV6">
        <v>-0.15517241379310329</v>
      </c>
      <c r="AW6">
        <v>0.1016317016317017</v>
      </c>
      <c r="AX6">
        <v>-0.26927252985884897</v>
      </c>
      <c r="AY6">
        <v>0.19354838709677419</v>
      </c>
      <c r="AZ6">
        <v>-0.38490566037735852</v>
      </c>
      <c r="BA6">
        <v>-0.26661469499122981</v>
      </c>
      <c r="BB6">
        <v>0.22568807339449529</v>
      </c>
      <c r="BC6">
        <v>4.2372881355932313E-2</v>
      </c>
      <c r="BE6">
        <v>0.23943661971831001</v>
      </c>
      <c r="BF6">
        <v>-6.5789473684210509E-2</v>
      </c>
      <c r="BG6">
        <v>-0.1323127392017496</v>
      </c>
      <c r="BJ6">
        <v>0.41258741258741249</v>
      </c>
      <c r="BK6">
        <v>5.8139534883721027E-2</v>
      </c>
      <c r="BM6">
        <v>5.1823416506717963E-2</v>
      </c>
      <c r="BO6">
        <v>1.6666666666666611E-2</v>
      </c>
      <c r="BQ6">
        <v>-3.1115879828326198E-2</v>
      </c>
      <c r="BR6">
        <v>-6.3380281690140761E-2</v>
      </c>
      <c r="BS6">
        <v>-0.2276977015971953</v>
      </c>
      <c r="BT6">
        <v>-0.12605042016806731</v>
      </c>
      <c r="BV6">
        <v>0.34804123711340212</v>
      </c>
      <c r="BW6">
        <v>-1.8941453688598901E-2</v>
      </c>
      <c r="BX6">
        <v>3.6478409526718991E-2</v>
      </c>
      <c r="BZ6">
        <v>-0.15176715176715169</v>
      </c>
      <c r="CA6">
        <v>0.34050118523535389</v>
      </c>
      <c r="CB6">
        <v>4.7653106839517401E-2</v>
      </c>
      <c r="CC6">
        <v>-8.4602135455208782E-2</v>
      </c>
      <c r="CD6">
        <v>0.2222222222222221</v>
      </c>
      <c r="CE6">
        <v>-0.34323040380047498</v>
      </c>
      <c r="CF6">
        <v>0.18165784832451501</v>
      </c>
      <c r="CJ6">
        <v>3.7629918409750163E-2</v>
      </c>
      <c r="CK6">
        <v>6.956521739130439E-2</v>
      </c>
      <c r="CL6">
        <v>-4.3177892918825567E-2</v>
      </c>
      <c r="CN6">
        <v>2.0952380952381059E-2</v>
      </c>
      <c r="CO6">
        <v>-0.12194705768596351</v>
      </c>
      <c r="CQ6">
        <v>-5.8823529411764719E-2</v>
      </c>
      <c r="CS6">
        <v>-0.12839673913043481</v>
      </c>
      <c r="CT6">
        <v>-0.31518817204301081</v>
      </c>
      <c r="CU6">
        <v>3.966005665722383E-2</v>
      </c>
      <c r="CV6">
        <v>-0.11705079931729059</v>
      </c>
      <c r="CW6">
        <v>-9.8509052183174406E-3</v>
      </c>
      <c r="CX6">
        <v>2.668191347436677E-3</v>
      </c>
      <c r="CY6">
        <v>-5.555555555555558E-2</v>
      </c>
      <c r="CZ6">
        <v>0.1883011417015652</v>
      </c>
      <c r="DA6">
        <v>1.0635065329687171E-2</v>
      </c>
      <c r="DC6">
        <v>-4.0707536245793263E-2</v>
      </c>
      <c r="DD6">
        <v>0.18746537944132299</v>
      </c>
      <c r="DF6">
        <v>-0.23255813953488369</v>
      </c>
      <c r="DI6">
        <v>-0.1872625698324023</v>
      </c>
      <c r="DJ6">
        <v>-4.6511627906977706E-3</v>
      </c>
      <c r="DK6">
        <v>2.9220779220779258E-2</v>
      </c>
      <c r="DM6">
        <v>1.9021739130434812E-2</v>
      </c>
      <c r="DN6">
        <v>-0.1371504660452729</v>
      </c>
      <c r="DP6">
        <v>8.629199502281204E-2</v>
      </c>
      <c r="DQ6">
        <v>-9.9999999999999978E-2</v>
      </c>
      <c r="DR6">
        <v>0.2893258426966292</v>
      </c>
      <c r="DS6">
        <v>-6.2526315789473652E-2</v>
      </c>
      <c r="DY6">
        <v>-9.9173553719008156E-2</v>
      </c>
      <c r="DZ6">
        <v>3.7974683544303778E-2</v>
      </c>
      <c r="EA6">
        <v>0.4913793103448274</v>
      </c>
      <c r="EB6">
        <v>1.0175438596491231</v>
      </c>
      <c r="EC6">
        <v>-0.24468085106382989</v>
      </c>
      <c r="ED6">
        <v>-6.1290322580645151E-2</v>
      </c>
      <c r="EE6">
        <v>0.48</v>
      </c>
      <c r="EF6">
        <v>-0.15269461077844301</v>
      </c>
      <c r="EG6">
        <v>-0.40417801998183472</v>
      </c>
      <c r="EK6">
        <v>-6.9364161849710948E-2</v>
      </c>
      <c r="EL6">
        <v>7.5187969924811915E-2</v>
      </c>
      <c r="EM6">
        <v>0.72774869109947637</v>
      </c>
      <c r="EN6">
        <v>0.1083789589778239</v>
      </c>
      <c r="EO6">
        <v>0.44947735191637639</v>
      </c>
    </row>
    <row r="7" spans="1:145" x14ac:dyDescent="0.25">
      <c r="A7">
        <v>2020</v>
      </c>
      <c r="B7">
        <v>8</v>
      </c>
      <c r="C7">
        <v>6.9796714935401294E-2</v>
      </c>
      <c r="D7">
        <v>0</v>
      </c>
      <c r="E7">
        <v>0.144186046511628</v>
      </c>
      <c r="F7">
        <v>-0.1428571428571429</v>
      </c>
      <c r="H7">
        <v>0.7715736040609138</v>
      </c>
      <c r="J7">
        <v>1.7982017982018039E-2</v>
      </c>
      <c r="K7">
        <v>-5.0808314087759758E-2</v>
      </c>
      <c r="M7">
        <v>5.9101654846335672E-2</v>
      </c>
      <c r="P7">
        <v>0.49429657794676829</v>
      </c>
      <c r="Q7">
        <v>-0.16521739130434779</v>
      </c>
      <c r="R7">
        <v>-0.1761904761904762</v>
      </c>
      <c r="T7">
        <v>-0.10059960026648899</v>
      </c>
      <c r="V7">
        <v>-6.6411238825031971E-2</v>
      </c>
      <c r="X7">
        <v>2.7758306462918991E-2</v>
      </c>
      <c r="Y7">
        <v>-0.23741007194244601</v>
      </c>
      <c r="AB7">
        <v>6.0346490487787063E-2</v>
      </c>
      <c r="AE7">
        <v>-5.7177615571776141E-2</v>
      </c>
      <c r="AH7">
        <v>4.8780487804878092E-2</v>
      </c>
      <c r="AI7">
        <v>0.15591397849462371</v>
      </c>
      <c r="AK7">
        <v>-0.37278106508875741</v>
      </c>
      <c r="AL7">
        <v>0.20785804816223069</v>
      </c>
      <c r="AM7">
        <v>-0.15050167224080269</v>
      </c>
      <c r="AN7">
        <v>-0.1870833333333333</v>
      </c>
      <c r="AO7">
        <v>-3.3033033033032948E-2</v>
      </c>
      <c r="AP7">
        <v>4.9438202247190872E-2</v>
      </c>
      <c r="AR7">
        <v>-0.27906976744186052</v>
      </c>
      <c r="AT7">
        <v>-2.702702702702697E-2</v>
      </c>
      <c r="AV7">
        <v>-0.1147959183673469</v>
      </c>
      <c r="AW7">
        <v>0.2297926364790521</v>
      </c>
      <c r="AX7">
        <v>0.1510648836057453</v>
      </c>
      <c r="AY7">
        <v>-0.31345945945945941</v>
      </c>
      <c r="AZ7">
        <v>0.1840490797546013</v>
      </c>
      <c r="BA7">
        <v>-4.0659048631411121E-2</v>
      </c>
      <c r="BB7">
        <v>0.1736526946107784</v>
      </c>
      <c r="BC7">
        <v>0.211382113821138</v>
      </c>
      <c r="BE7">
        <v>-2.8409090909091721E-3</v>
      </c>
      <c r="BF7">
        <v>-0.24633802816901409</v>
      </c>
      <c r="BG7">
        <v>-0.54190296156269691</v>
      </c>
      <c r="BJ7">
        <v>-0.18069306930693069</v>
      </c>
      <c r="BK7">
        <v>-2.9304029304029311E-2</v>
      </c>
      <c r="BM7">
        <v>0.25729927007299258</v>
      </c>
      <c r="BO7">
        <v>0.96721311475409832</v>
      </c>
      <c r="BQ7">
        <v>-0.13547434477667031</v>
      </c>
      <c r="BR7">
        <v>-0.14285714285714299</v>
      </c>
      <c r="BS7">
        <v>-8.0958385876418681E-2</v>
      </c>
      <c r="BT7">
        <v>-0.25</v>
      </c>
      <c r="BV7">
        <v>-0.38819210767818901</v>
      </c>
      <c r="BW7">
        <v>0.24147806004618921</v>
      </c>
      <c r="BX7">
        <v>5.9470548900419702E-2</v>
      </c>
      <c r="BZ7">
        <v>-4.9019607843137081E-3</v>
      </c>
      <c r="CA7">
        <v>-0.12625152625152619</v>
      </c>
      <c r="CB7">
        <v>-0.1295442908346135</v>
      </c>
      <c r="CC7">
        <v>-7.7861481628578311E-3</v>
      </c>
      <c r="CD7">
        <v>-3.8961038961038967E-2</v>
      </c>
      <c r="CE7">
        <v>-7.4141048824593159E-2</v>
      </c>
      <c r="CF7">
        <v>-2.4626865671641851E-2</v>
      </c>
      <c r="CJ7">
        <v>6.2687631001926869E-2</v>
      </c>
      <c r="CK7">
        <v>-0.26317073170731708</v>
      </c>
      <c r="CL7">
        <v>-0.12725631768953069</v>
      </c>
      <c r="CN7">
        <v>-1.8656716417910779E-3</v>
      </c>
      <c r="CO7">
        <v>0.1111067925946079</v>
      </c>
      <c r="CQ7">
        <v>0.10969387755102029</v>
      </c>
      <c r="CS7">
        <v>-6.8589243959470081E-2</v>
      </c>
      <c r="CT7">
        <v>-0.1069676153091266</v>
      </c>
      <c r="CU7">
        <v>-4.9046321525885513E-2</v>
      </c>
      <c r="CV7">
        <v>-7.4803130241457572E-2</v>
      </c>
      <c r="CW7">
        <v>-2.0435600968002121E-2</v>
      </c>
      <c r="CX7">
        <v>0.18836723056453161</v>
      </c>
      <c r="CY7">
        <v>-7.6470588235294068E-2</v>
      </c>
      <c r="CZ7">
        <v>-1.7932637869925491E-2</v>
      </c>
      <c r="DA7">
        <v>0.10523150932050521</v>
      </c>
      <c r="DB7">
        <v>7.9862601975096537E-2</v>
      </c>
      <c r="DC7">
        <v>-9.3434771828633245E-3</v>
      </c>
      <c r="DD7">
        <v>0.60822337731574039</v>
      </c>
      <c r="DF7">
        <v>-0.18939393939393939</v>
      </c>
      <c r="DI7">
        <v>-1.8971679956007681E-2</v>
      </c>
      <c r="DJ7">
        <v>-4.6728971962616273E-3</v>
      </c>
      <c r="DK7">
        <v>-9.4637223974762819E-3</v>
      </c>
      <c r="DM7">
        <v>0.14133333333333331</v>
      </c>
      <c r="DN7">
        <v>-0.12808641975308641</v>
      </c>
      <c r="DP7">
        <v>8.2549015864531006E-2</v>
      </c>
      <c r="DQ7">
        <v>-0.2055555555555556</v>
      </c>
      <c r="DR7">
        <v>-0.1971677559912853</v>
      </c>
      <c r="DS7">
        <v>-1.235122389400412E-2</v>
      </c>
      <c r="DY7">
        <v>0.14678899082568811</v>
      </c>
      <c r="DZ7">
        <v>-9.0785907859078585E-2</v>
      </c>
      <c r="EA7">
        <v>-0.51445086705202314</v>
      </c>
      <c r="EB7">
        <v>-0.79069565217391302</v>
      </c>
      <c r="EC7">
        <v>-0.18913480885311859</v>
      </c>
      <c r="ED7">
        <v>-0.20687285223367699</v>
      </c>
      <c r="EE7">
        <v>-0.21081081081081079</v>
      </c>
      <c r="EF7">
        <v>-2.1201413427561881E-2</v>
      </c>
      <c r="EG7">
        <v>0.40091463414634138</v>
      </c>
      <c r="EK7">
        <v>-4.9689440993788907E-2</v>
      </c>
      <c r="EL7">
        <v>0.64510489510489522</v>
      </c>
      <c r="EM7">
        <v>-0.25151515151515152</v>
      </c>
      <c r="EN7">
        <v>5.5510981778817303E-2</v>
      </c>
      <c r="EO7">
        <v>0.75456730769230784</v>
      </c>
    </row>
    <row r="8" spans="1:145" x14ac:dyDescent="0.25">
      <c r="A8">
        <v>2020</v>
      </c>
      <c r="B8">
        <v>9</v>
      </c>
      <c r="C8">
        <v>-3.7398487170201222E-2</v>
      </c>
      <c r="D8">
        <v>-2.1914381251131321E-4</v>
      </c>
      <c r="E8">
        <v>4.471544715447151E-2</v>
      </c>
      <c r="F8">
        <v>0.61594202898550732</v>
      </c>
      <c r="H8">
        <v>-0.3209169054441261</v>
      </c>
      <c r="J8">
        <v>-7.9980372914622122E-2</v>
      </c>
      <c r="K8">
        <v>-5.5961070559610859E-2</v>
      </c>
      <c r="M8">
        <v>-0.10044642857142851</v>
      </c>
      <c r="P8">
        <v>-0.38231552162849869</v>
      </c>
      <c r="Q8">
        <v>3.3958333333333313E-2</v>
      </c>
      <c r="R8">
        <v>-9.0173410404624232E-2</v>
      </c>
      <c r="T8">
        <v>-0.17814814814814831</v>
      </c>
      <c r="V8">
        <v>-0.31053351573187421</v>
      </c>
      <c r="X8">
        <v>-2.8099849952257561E-2</v>
      </c>
      <c r="Y8">
        <v>0.12264150943396231</v>
      </c>
      <c r="AB8">
        <v>-3.0706317307455318E-2</v>
      </c>
      <c r="AE8">
        <v>-0.1790322580645162</v>
      </c>
      <c r="AH8">
        <v>-0.1046511627906976</v>
      </c>
      <c r="AI8">
        <v>-0.18139534883720931</v>
      </c>
      <c r="AK8">
        <v>-0.12301886792452831</v>
      </c>
      <c r="AL8">
        <v>9.2339979013641216E-2</v>
      </c>
      <c r="AM8">
        <v>0.37047244094488208</v>
      </c>
      <c r="AN8">
        <v>-6.5094823167606508E-2</v>
      </c>
      <c r="AO8">
        <v>-3.105590062111863E-3</v>
      </c>
      <c r="AP8">
        <v>0.29122055674518199</v>
      </c>
      <c r="AR8">
        <v>0.118279569892473</v>
      </c>
      <c r="AT8">
        <v>-7.5277777777777777E-2</v>
      </c>
      <c r="AV8">
        <v>-1.440922190201732E-2</v>
      </c>
      <c r="AW8">
        <v>-3.8885065381968342E-2</v>
      </c>
      <c r="AX8">
        <v>-0.1247848537005163</v>
      </c>
      <c r="AY8">
        <v>8.6528619793716954E-2</v>
      </c>
      <c r="AZ8">
        <v>1.2953367875647709E-2</v>
      </c>
      <c r="BA8">
        <v>2.9639889196675821E-2</v>
      </c>
      <c r="BB8">
        <v>7.6530612244898322E-3</v>
      </c>
      <c r="BC8">
        <v>4.9217002237136542E-2</v>
      </c>
      <c r="BE8">
        <v>-0.1111111111111112</v>
      </c>
      <c r="BF8">
        <v>-3.1769762661184808E-2</v>
      </c>
      <c r="BG8">
        <v>9.0784044016506193E-2</v>
      </c>
      <c r="BJ8">
        <v>-6.0422960725075581E-2</v>
      </c>
      <c r="BK8">
        <v>-0.25660377358490571</v>
      </c>
      <c r="BM8">
        <v>-0.1886792452830188</v>
      </c>
      <c r="BO8">
        <v>-0.1333333333333333</v>
      </c>
      <c r="BQ8">
        <v>-0.1076003415883862</v>
      </c>
      <c r="BR8">
        <v>-8.7719298245613975E-2</v>
      </c>
      <c r="BS8">
        <v>0.40834248079034041</v>
      </c>
      <c r="BT8">
        <v>0.34615384615384631</v>
      </c>
      <c r="BV8">
        <v>-0.27625</v>
      </c>
      <c r="BW8">
        <v>6.101644467594336E-2</v>
      </c>
      <c r="BX8">
        <v>-2.952899958194144E-2</v>
      </c>
      <c r="BZ8">
        <v>-3.4482758620689613E-2</v>
      </c>
      <c r="CA8">
        <v>-0.22659547811337491</v>
      </c>
      <c r="CB8">
        <v>-6.5490196078431429E-2</v>
      </c>
      <c r="CC8">
        <v>-2.4932063144191829E-3</v>
      </c>
      <c r="CD8">
        <v>-4.7297297297297369E-2</v>
      </c>
      <c r="CE8">
        <v>-3.90625E-2</v>
      </c>
      <c r="CF8">
        <v>-0.1446059678653405</v>
      </c>
      <c r="CJ8">
        <v>-2.015727935701328E-2</v>
      </c>
      <c r="CK8">
        <v>-0.19452719849939321</v>
      </c>
      <c r="CL8">
        <v>-0.14219234746639089</v>
      </c>
      <c r="CN8">
        <v>2.803738317757043E-3</v>
      </c>
      <c r="CO8">
        <v>-0.39499551088464718</v>
      </c>
      <c r="CQ8">
        <v>-0.12528735632183899</v>
      </c>
      <c r="CS8">
        <v>-0.1543933054393305</v>
      </c>
      <c r="CT8">
        <v>-0.1428571428571429</v>
      </c>
      <c r="CU8">
        <v>-0.25214899713467048</v>
      </c>
      <c r="CV8">
        <v>-0.18446669041302721</v>
      </c>
      <c r="CW8">
        <v>-2.7449903925336189E-4</v>
      </c>
      <c r="CX8">
        <v>-3.8387715930902178E-2</v>
      </c>
      <c r="CY8">
        <v>0.26114649681528662</v>
      </c>
      <c r="CZ8">
        <v>-2.8841594662173061E-2</v>
      </c>
      <c r="DA8">
        <v>-2.4483133841131099E-3</v>
      </c>
      <c r="DB8">
        <v>-9.9403578528827086E-2</v>
      </c>
      <c r="DC8">
        <v>-0.1221805089025005</v>
      </c>
      <c r="DD8">
        <v>0.25815273691625568</v>
      </c>
      <c r="DF8">
        <v>0.1121495327102804</v>
      </c>
      <c r="DI8">
        <v>5.4372197309416892E-2</v>
      </c>
      <c r="DJ8">
        <v>9.3896713615022609E-3</v>
      </c>
      <c r="DK8">
        <v>2.6656050955414008</v>
      </c>
      <c r="DM8">
        <v>-0.12967289719626171</v>
      </c>
      <c r="DN8">
        <v>-0.21946902654867259</v>
      </c>
      <c r="DP8">
        <v>-1.151573935279071E-2</v>
      </c>
      <c r="DQ8">
        <v>0.31468531468531458</v>
      </c>
      <c r="DR8">
        <v>0.135685210312076</v>
      </c>
      <c r="DS8">
        <v>-5.2296498408367358E-2</v>
      </c>
      <c r="DY8">
        <v>0.1359999999999999</v>
      </c>
      <c r="DZ8">
        <v>-0.27719821162444108</v>
      </c>
      <c r="EA8">
        <v>-0.1071428571428571</v>
      </c>
      <c r="EB8">
        <v>0.1632737847943497</v>
      </c>
      <c r="EC8">
        <v>0</v>
      </c>
      <c r="ED8">
        <v>-0.28336221837088382</v>
      </c>
      <c r="EE8">
        <v>8.2191780821917915E-2</v>
      </c>
      <c r="EF8">
        <v>-5.4151624548736448E-2</v>
      </c>
      <c r="EG8">
        <v>-0.15778019586507061</v>
      </c>
      <c r="EK8">
        <v>8.4967320261437829E-2</v>
      </c>
      <c r="EL8">
        <v>0.2603613177470776</v>
      </c>
      <c r="EM8">
        <v>-0.19028340080971659</v>
      </c>
      <c r="EN8">
        <v>3.291748356068247E-2</v>
      </c>
      <c r="EO8">
        <v>-0.22660638443622419</v>
      </c>
    </row>
    <row r="9" spans="1:145" x14ac:dyDescent="0.25">
      <c r="A9">
        <v>2020</v>
      </c>
      <c r="B9">
        <v>10</v>
      </c>
      <c r="C9">
        <v>-2.493339615422718E-2</v>
      </c>
      <c r="D9">
        <v>1.095959235242194E-4</v>
      </c>
      <c r="E9">
        <v>0.49416342412451358</v>
      </c>
      <c r="F9">
        <v>-0.21973094170403579</v>
      </c>
      <c r="H9">
        <v>-0.22784810126582281</v>
      </c>
      <c r="J9">
        <v>4.4799999999999951E-2</v>
      </c>
      <c r="K9">
        <v>7.2164948453608213E-2</v>
      </c>
      <c r="M9">
        <v>-9.6419709322935199E-2</v>
      </c>
      <c r="P9">
        <v>-3.08959835221434E-3</v>
      </c>
      <c r="Q9">
        <v>-0.53878702397743305</v>
      </c>
      <c r="R9">
        <v>-0.1143583227445997</v>
      </c>
      <c r="T9">
        <v>-6.8649541835661632E-2</v>
      </c>
      <c r="V9">
        <v>0</v>
      </c>
      <c r="X9">
        <v>-6.9333333333333247E-2</v>
      </c>
      <c r="Y9">
        <v>-0.2014285714285714</v>
      </c>
      <c r="AB9">
        <v>-2.3227534432703419E-2</v>
      </c>
      <c r="AE9">
        <v>4.2043222003929293E-2</v>
      </c>
      <c r="AH9">
        <v>-0.1233766233766234</v>
      </c>
      <c r="AI9">
        <v>-4.4545454545454548E-2</v>
      </c>
      <c r="AK9">
        <v>-0.1025172117039588</v>
      </c>
      <c r="AL9">
        <v>-0.14361191162343909</v>
      </c>
      <c r="AM9">
        <v>-3.590922148807818E-2</v>
      </c>
      <c r="AN9">
        <v>6.4418859649122862E-2</v>
      </c>
      <c r="AO9">
        <v>-8.099688473520239E-2</v>
      </c>
      <c r="AP9">
        <v>-0.1625207296849088</v>
      </c>
      <c r="AR9">
        <v>-5.721153846153848E-2</v>
      </c>
      <c r="AT9">
        <v>-3.6647641934514967E-2</v>
      </c>
      <c r="AV9">
        <v>5.555555555555558E-2</v>
      </c>
      <c r="AW9">
        <v>0.1102756892230576</v>
      </c>
      <c r="AX9">
        <v>-0.22271386430678461</v>
      </c>
      <c r="AY9">
        <v>-0.1521739130434783</v>
      </c>
      <c r="AZ9">
        <v>-0.2250639386189259</v>
      </c>
      <c r="BA9">
        <v>-0.1937046004842615</v>
      </c>
      <c r="BB9">
        <v>-7.72151898734178E-2</v>
      </c>
      <c r="BC9">
        <v>-0.1855010660980809</v>
      </c>
      <c r="BE9">
        <v>5.7692307692307709E-2</v>
      </c>
      <c r="BF9">
        <v>-0.27793862188766649</v>
      </c>
      <c r="BG9">
        <v>0.24337957124842369</v>
      </c>
      <c r="BJ9">
        <v>-0.135048231511254</v>
      </c>
      <c r="BK9">
        <v>-0.1522842639593909</v>
      </c>
      <c r="BL9">
        <v>0.14749262536873159</v>
      </c>
      <c r="BM9">
        <v>-0.14847942754919499</v>
      </c>
      <c r="BO9">
        <v>5.7692307692307709E-2</v>
      </c>
      <c r="BQ9">
        <v>3.4449760765550293E-2</v>
      </c>
      <c r="BR9">
        <v>3.3653846153846027E-2</v>
      </c>
      <c r="BS9">
        <v>-3.8581449727201789E-2</v>
      </c>
      <c r="BT9">
        <v>-0.54857142857142849</v>
      </c>
      <c r="BV9">
        <v>-0.31295336787564759</v>
      </c>
      <c r="BW9">
        <v>1.058980293148171E-2</v>
      </c>
      <c r="BX9">
        <v>-7.9056738567388818E-2</v>
      </c>
      <c r="BZ9">
        <v>-0.1020408163265306</v>
      </c>
      <c r="CA9">
        <v>-0.32990654205607473</v>
      </c>
      <c r="CB9">
        <v>-0.13501888375996629</v>
      </c>
      <c r="CC9">
        <v>-0.118632587604837</v>
      </c>
      <c r="CD9">
        <v>-0.14893617021276601</v>
      </c>
      <c r="CE9">
        <v>-6.0975609756097497E-2</v>
      </c>
      <c r="CF9">
        <v>-4.29338103756709E-2</v>
      </c>
      <c r="CJ9">
        <v>-9.330980042956738E-2</v>
      </c>
      <c r="CK9">
        <v>-0.1676712328767124</v>
      </c>
      <c r="CL9">
        <v>-4.5207956600361698E-2</v>
      </c>
      <c r="CN9">
        <v>5.0046598322461833E-3</v>
      </c>
      <c r="CO9">
        <v>1.231387438086611</v>
      </c>
      <c r="CP9">
        <v>-9.8946240400071495E-2</v>
      </c>
      <c r="CQ9">
        <v>0.24835742444152431</v>
      </c>
      <c r="CS9">
        <v>3.4636318654130971E-3</v>
      </c>
      <c r="CT9">
        <v>-0.17948717948717949</v>
      </c>
      <c r="CU9">
        <v>-3.0651340996168619E-2</v>
      </c>
      <c r="CV9">
        <v>-5.5175650745431848E-2</v>
      </c>
      <c r="CW9">
        <v>-9.3080724876441479E-2</v>
      </c>
      <c r="CX9">
        <v>-0.1300731869594145</v>
      </c>
      <c r="CY9">
        <v>-0.58484848484848484</v>
      </c>
      <c r="CZ9">
        <v>-3.3242242657131382E-2</v>
      </c>
      <c r="DA9">
        <v>7.3356967548404706E-2</v>
      </c>
      <c r="DB9">
        <v>-4.547461368653416E-2</v>
      </c>
      <c r="DC9">
        <v>-4.4435496376032391E-2</v>
      </c>
      <c r="DD9">
        <v>1.0924809801403019</v>
      </c>
      <c r="DF9">
        <v>-5.882352941176483E-2</v>
      </c>
      <c r="DI9">
        <v>-0.1778309409888357</v>
      </c>
      <c r="DJ9">
        <v>9.302325581395321E-3</v>
      </c>
      <c r="DK9">
        <v>-0.28670721112076453</v>
      </c>
      <c r="DM9">
        <v>0.15704697986577171</v>
      </c>
      <c r="DN9">
        <v>-9.0702947845805459E-3</v>
      </c>
      <c r="DP9">
        <v>-6.9863697994719254E-2</v>
      </c>
      <c r="DQ9">
        <v>-0.25</v>
      </c>
      <c r="DR9">
        <v>-0.1146953405017922</v>
      </c>
      <c r="DS9">
        <v>-0.1190019193857965</v>
      </c>
      <c r="DY9">
        <v>0.2042253521126762</v>
      </c>
      <c r="DZ9">
        <v>0.17731958762886599</v>
      </c>
      <c r="EA9">
        <v>-0.17777777777777781</v>
      </c>
      <c r="EB9">
        <v>-7.1428571428571397E-2</v>
      </c>
      <c r="EC9">
        <v>-0.20099255583126549</v>
      </c>
      <c r="ED9">
        <v>-0.15175332527206761</v>
      </c>
      <c r="EE9">
        <v>-0.22784810126582281</v>
      </c>
      <c r="EF9">
        <v>-3.8167938931297767E-2</v>
      </c>
      <c r="EG9">
        <v>-4.2635658914728647E-2</v>
      </c>
      <c r="EK9">
        <v>-3.6144578313252913E-2</v>
      </c>
      <c r="EL9">
        <v>-0.20236087689713311</v>
      </c>
      <c r="EM9">
        <v>2.4999999999999911E-2</v>
      </c>
      <c r="EN9">
        <v>-4.0040543894972018E-2</v>
      </c>
      <c r="EO9">
        <v>9.7431355181576418E-3</v>
      </c>
    </row>
    <row r="10" spans="1:145" x14ac:dyDescent="0.25">
      <c r="A10">
        <v>2020</v>
      </c>
      <c r="B10">
        <v>11</v>
      </c>
      <c r="C10">
        <v>0.10877691072475799</v>
      </c>
      <c r="D10">
        <v>-1.095839135739629E-4</v>
      </c>
      <c r="E10">
        <v>-0.1302083333333334</v>
      </c>
      <c r="F10">
        <v>0.33908045977011492</v>
      </c>
      <c r="H10">
        <v>0.16666666666666649</v>
      </c>
      <c r="J10">
        <v>-9.3415007656967752E-2</v>
      </c>
      <c r="K10">
        <v>-5.0480769230769267E-2</v>
      </c>
      <c r="M10">
        <v>0.15967045900353069</v>
      </c>
      <c r="P10">
        <v>0.45867768595041308</v>
      </c>
      <c r="Q10">
        <v>0.34185233726518122</v>
      </c>
      <c r="R10">
        <v>0.1573409851745575</v>
      </c>
      <c r="T10">
        <v>-0.32258064516129042</v>
      </c>
      <c r="U10">
        <v>0.37873754152823919</v>
      </c>
      <c r="V10">
        <v>0.42460317460317443</v>
      </c>
      <c r="X10">
        <v>9.3198612577288342E-2</v>
      </c>
      <c r="Y10">
        <v>-6.997790171524787E-2</v>
      </c>
      <c r="AB10">
        <v>6.7578819272092527E-2</v>
      </c>
      <c r="AD10">
        <v>0.9673252279635256</v>
      </c>
      <c r="AE10">
        <v>0.10633484162895911</v>
      </c>
      <c r="AH10">
        <v>0.48888888888888871</v>
      </c>
      <c r="AI10">
        <v>0.33206470028544238</v>
      </c>
      <c r="AK10">
        <v>1.5889967637540461</v>
      </c>
      <c r="AL10">
        <v>3.7016264722377963E-2</v>
      </c>
      <c r="AM10">
        <v>0.34922526817640032</v>
      </c>
      <c r="AN10">
        <v>0.1189801699716715</v>
      </c>
      <c r="AO10">
        <v>3.3898305084745228E-3</v>
      </c>
      <c r="AP10">
        <v>0.78217821782178221</v>
      </c>
      <c r="AR10">
        <v>5.048444671086183E-2</v>
      </c>
      <c r="AT10">
        <v>0.53830163184700153</v>
      </c>
      <c r="AV10">
        <v>2.4930747922437661E-2</v>
      </c>
      <c r="AW10">
        <v>-1.3544018058690771E-2</v>
      </c>
      <c r="AX10">
        <v>0.61353573687539531</v>
      </c>
      <c r="AY10">
        <v>0.35897435897435898</v>
      </c>
      <c r="AZ10">
        <v>0.23102310231023121</v>
      </c>
      <c r="BA10">
        <v>-5.5055055055055042E-2</v>
      </c>
      <c r="BB10">
        <v>8.9163237311385535E-2</v>
      </c>
      <c r="BC10">
        <v>-0.18324607329842951</v>
      </c>
      <c r="BE10">
        <v>6.3636363636363713E-2</v>
      </c>
      <c r="BF10">
        <v>0.45682972467254751</v>
      </c>
      <c r="BG10">
        <v>0.15922920892494941</v>
      </c>
      <c r="BJ10">
        <v>-0.379182156133829</v>
      </c>
      <c r="BK10">
        <v>2.9940119760478941E-2</v>
      </c>
      <c r="BL10">
        <v>0.11182519280205661</v>
      </c>
      <c r="BM10">
        <v>0.2079831932773111</v>
      </c>
      <c r="BO10">
        <v>1.081818181818182</v>
      </c>
      <c r="BQ10">
        <v>-3.2839962997224803E-2</v>
      </c>
      <c r="BR10">
        <v>-0.28372093023255812</v>
      </c>
      <c r="BS10">
        <v>-4.1751114714227877E-2</v>
      </c>
      <c r="BT10">
        <v>0.54388185654008425</v>
      </c>
      <c r="BV10">
        <v>0.75917546505781797</v>
      </c>
      <c r="BW10">
        <v>-2.352532963219978E-2</v>
      </c>
      <c r="BX10">
        <v>6.2618388459857233E-2</v>
      </c>
      <c r="BZ10">
        <v>-5.965909090909105E-2</v>
      </c>
      <c r="CA10">
        <v>0.16317991631799139</v>
      </c>
      <c r="CB10">
        <v>2.328684050939955E-2</v>
      </c>
      <c r="CC10">
        <v>0.1222916814662216</v>
      </c>
      <c r="CD10">
        <v>0.33333333333333348</v>
      </c>
      <c r="CE10">
        <v>-0.39610389610389612</v>
      </c>
      <c r="CF10">
        <v>0.16074766355140199</v>
      </c>
      <c r="CJ10">
        <v>6.8874951814725582E-2</v>
      </c>
      <c r="CK10">
        <v>2.0408163265306149E-2</v>
      </c>
      <c r="CL10">
        <v>3.4722222222222321E-2</v>
      </c>
      <c r="CN10">
        <v>8.002819069521605E-3</v>
      </c>
      <c r="CO10">
        <v>-0.20666781827604069</v>
      </c>
      <c r="CP10">
        <v>-4.9554013875124916E-3</v>
      </c>
      <c r="CQ10">
        <v>0.84210526315789469</v>
      </c>
      <c r="CS10">
        <v>0.14299802761341221</v>
      </c>
      <c r="CT10">
        <v>0.265625</v>
      </c>
      <c r="CU10">
        <v>0.6837944664031621</v>
      </c>
      <c r="CV10">
        <v>0.15606780877208731</v>
      </c>
      <c r="CW10">
        <v>7.6899788071450148E-2</v>
      </c>
      <c r="CX10">
        <v>0.15850860420650109</v>
      </c>
      <c r="CY10">
        <v>0.54501216545012166</v>
      </c>
      <c r="CZ10">
        <v>0.14995240413611691</v>
      </c>
      <c r="DA10">
        <v>8.7906504065040636E-2</v>
      </c>
      <c r="DB10">
        <v>0.27289546716003699</v>
      </c>
      <c r="DC10">
        <v>0.1043183073303129</v>
      </c>
      <c r="DD10">
        <v>0.44752416029212722</v>
      </c>
      <c r="DF10">
        <v>0.23214285714285721</v>
      </c>
      <c r="DI10">
        <v>0.14969285483349501</v>
      </c>
      <c r="DJ10">
        <v>1.0138248847926469E-2</v>
      </c>
      <c r="DK10">
        <v>-5.9683313032886882E-2</v>
      </c>
      <c r="DM10">
        <v>6.9605568445475718E-2</v>
      </c>
      <c r="DN10">
        <v>0.52173913043478271</v>
      </c>
      <c r="DP10">
        <v>8.4509743747123167E-2</v>
      </c>
      <c r="DQ10">
        <v>0.14184397163120571</v>
      </c>
      <c r="DR10">
        <v>-9.0418353576248167E-2</v>
      </c>
      <c r="DS10">
        <v>0.16013071895424849</v>
      </c>
      <c r="DY10">
        <v>-0.1228070175438597</v>
      </c>
      <c r="DZ10">
        <v>0.58318739054290702</v>
      </c>
      <c r="EA10">
        <v>0.10270270270270281</v>
      </c>
      <c r="EB10">
        <v>0.1153846153846154</v>
      </c>
      <c r="EC10">
        <v>-5.2795031055900783E-2</v>
      </c>
      <c r="ED10">
        <v>0.21168923734853881</v>
      </c>
      <c r="EE10">
        <v>9.8360655737705027E-2</v>
      </c>
      <c r="EF10">
        <v>0.20634920634920631</v>
      </c>
      <c r="EG10">
        <v>0.23481781376518221</v>
      </c>
      <c r="EK10">
        <v>6.25E-2</v>
      </c>
      <c r="EL10">
        <v>-7.8224101479915431E-2</v>
      </c>
      <c r="EM10">
        <v>0.46829268292682918</v>
      </c>
      <c r="EN10">
        <v>1.1542145875328201E-2</v>
      </c>
      <c r="EO10">
        <v>0.77192982456140369</v>
      </c>
    </row>
    <row r="11" spans="1:145" x14ac:dyDescent="0.25">
      <c r="A11">
        <v>2020</v>
      </c>
      <c r="B11">
        <v>12</v>
      </c>
      <c r="C11">
        <v>3.7065957207947031E-2</v>
      </c>
      <c r="D11">
        <v>3.571103126076558E-5</v>
      </c>
      <c r="E11">
        <v>0.93712574850299402</v>
      </c>
      <c r="F11">
        <v>-0.27038626609442062</v>
      </c>
      <c r="H11">
        <v>0.14519906323185011</v>
      </c>
      <c r="J11">
        <v>0.13231981981981969</v>
      </c>
      <c r="K11">
        <v>0.15696202531645559</v>
      </c>
      <c r="M11">
        <v>-1.7591339648173169E-2</v>
      </c>
      <c r="P11">
        <v>-0.2422096317280453</v>
      </c>
      <c r="Q11">
        <v>0.1883444571056487</v>
      </c>
      <c r="R11">
        <v>2.509504132231406</v>
      </c>
      <c r="T11">
        <v>-0.1485714285714286</v>
      </c>
      <c r="U11">
        <v>0.37550200803212852</v>
      </c>
      <c r="V11">
        <v>-6.9637883008356494E-2</v>
      </c>
      <c r="W11">
        <v>0.25390156062424962</v>
      </c>
      <c r="X11">
        <v>0.12387915574562031</v>
      </c>
      <c r="Y11">
        <v>-0.32337632948630912</v>
      </c>
      <c r="AB11">
        <v>1.923552835834341E-3</v>
      </c>
      <c r="AD11">
        <v>0.1208960988798764</v>
      </c>
      <c r="AE11">
        <v>3.1356509884117312E-2</v>
      </c>
      <c r="AH11">
        <v>0.36318407960199028</v>
      </c>
      <c r="AI11">
        <v>-0.2053571428571429</v>
      </c>
      <c r="AK11">
        <v>-0.37037037037037029</v>
      </c>
      <c r="AL11">
        <v>8.3288263926446948E-2</v>
      </c>
      <c r="AM11">
        <v>0.15547703180212011</v>
      </c>
      <c r="AN11">
        <v>2.6006904487916978E-2</v>
      </c>
      <c r="AO11">
        <v>-3.3783783783782879E-3</v>
      </c>
      <c r="AP11">
        <v>-0.17444444444444451</v>
      </c>
      <c r="AR11">
        <v>-9.7087378640776656E-3</v>
      </c>
      <c r="AT11">
        <v>-9.4594594594594739E-2</v>
      </c>
      <c r="AV11">
        <v>0.1189189189189188</v>
      </c>
      <c r="AW11">
        <v>2.6152337365152878E-3</v>
      </c>
      <c r="AX11">
        <v>-0.1356330850646805</v>
      </c>
      <c r="AY11">
        <v>-6.9182389937106903E-2</v>
      </c>
      <c r="AZ11">
        <v>-9.9195710455764141E-2</v>
      </c>
      <c r="BA11">
        <v>-8.1920903954802227E-2</v>
      </c>
      <c r="BB11">
        <v>2.3929471032745561E-2</v>
      </c>
      <c r="BC11">
        <v>-0.17307692307692299</v>
      </c>
      <c r="BE11">
        <v>0.72649572649572636</v>
      </c>
      <c r="BF11">
        <v>0.20733944954128439</v>
      </c>
      <c r="BG11">
        <v>2.4496937882764861E-2</v>
      </c>
      <c r="BJ11">
        <v>0.31137724550898199</v>
      </c>
      <c r="BK11">
        <v>0.37790697674418611</v>
      </c>
      <c r="BL11">
        <v>-0.16416184971098269</v>
      </c>
      <c r="BM11">
        <v>0.19304347826086959</v>
      </c>
      <c r="BO11">
        <v>-0.31877729257641918</v>
      </c>
      <c r="BQ11">
        <v>0.18507890961262549</v>
      </c>
      <c r="BR11">
        <v>5.3571428571428603E-2</v>
      </c>
      <c r="BS11">
        <v>0.34517766497461921</v>
      </c>
      <c r="BT11">
        <v>0.35146214812790388</v>
      </c>
      <c r="BV11">
        <v>1.329236924835667</v>
      </c>
      <c r="BW11">
        <v>0.17297988771231609</v>
      </c>
      <c r="BX11">
        <v>8.7780205122771626E-2</v>
      </c>
      <c r="BZ11">
        <v>0.48942598187311193</v>
      </c>
      <c r="CA11">
        <v>0.1956834532374101</v>
      </c>
      <c r="CB11">
        <v>0.17873651771956861</v>
      </c>
      <c r="CC11">
        <v>0.1592175033878358</v>
      </c>
      <c r="CD11">
        <v>-0.14999999999999991</v>
      </c>
      <c r="CE11">
        <v>5.7347670250896148E-2</v>
      </c>
      <c r="CF11">
        <v>-8.212560386473422E-2</v>
      </c>
      <c r="CJ11">
        <v>2.5773249871679841E-2</v>
      </c>
      <c r="CK11">
        <v>0.1241935483870968</v>
      </c>
      <c r="CL11">
        <v>3.7217815741305671E-2</v>
      </c>
      <c r="CN11">
        <v>1.2447102115915361</v>
      </c>
      <c r="CO11">
        <v>0.40056830553499112</v>
      </c>
      <c r="CP11">
        <v>0.1653386454183268</v>
      </c>
      <c r="CQ11">
        <v>0.1828571428571428</v>
      </c>
      <c r="CS11">
        <v>0.23252804141501299</v>
      </c>
      <c r="CT11">
        <v>2.222222222222214E-2</v>
      </c>
      <c r="CU11">
        <v>-4.6948356807510194E-3</v>
      </c>
      <c r="CV11">
        <v>2.8056124184605791E-2</v>
      </c>
      <c r="CW11">
        <v>-1.9679505201012141E-2</v>
      </c>
      <c r="CX11">
        <v>-1.237828024426468E-2</v>
      </c>
      <c r="CY11">
        <v>3.8582677165354351E-2</v>
      </c>
      <c r="CZ11">
        <v>-3.9152496319185159E-2</v>
      </c>
      <c r="DA11">
        <v>-0.22419430172816451</v>
      </c>
      <c r="DB11">
        <v>-0.1744186046511628</v>
      </c>
      <c r="DC11">
        <v>-7.2585844030261026E-2</v>
      </c>
      <c r="DD11">
        <v>-0.1240444942207531</v>
      </c>
      <c r="DF11">
        <v>-0.13768115942028991</v>
      </c>
      <c r="DI11">
        <v>-9.8143982002249719E-2</v>
      </c>
      <c r="DJ11">
        <v>-0.20209854014598549</v>
      </c>
      <c r="DK11">
        <v>-0.116580310880829</v>
      </c>
      <c r="DM11">
        <v>-0.42624728850325388</v>
      </c>
      <c r="DN11">
        <v>0.15037593984962411</v>
      </c>
      <c r="DP11">
        <v>4.9060875101694323E-2</v>
      </c>
      <c r="DQ11">
        <v>7.1428571428571397E-2</v>
      </c>
      <c r="DR11">
        <v>7.7151335311572478E-2</v>
      </c>
      <c r="DS11">
        <v>0.18122065727699521</v>
      </c>
      <c r="DU11">
        <v>0.70997103847745113</v>
      </c>
      <c r="DY11">
        <v>-0.17333333333333331</v>
      </c>
      <c r="DZ11">
        <v>-8.6283185840707932E-2</v>
      </c>
      <c r="EA11">
        <v>-2.4509803921568651E-2</v>
      </c>
      <c r="EB11">
        <v>0.60620689655172422</v>
      </c>
      <c r="EC11">
        <v>-0.20655737704918031</v>
      </c>
      <c r="ED11">
        <v>-0.3549019607843138</v>
      </c>
      <c r="EE11">
        <v>-9.7014925373134275E-2</v>
      </c>
      <c r="EF11">
        <v>1.8453947368421051</v>
      </c>
      <c r="EG11">
        <v>0.25792349726775948</v>
      </c>
      <c r="EK11">
        <v>-7.0588235294117618E-2</v>
      </c>
      <c r="EL11">
        <v>0.12844036697247699</v>
      </c>
      <c r="EM11">
        <v>-1.993355481727566E-2</v>
      </c>
      <c r="EN11">
        <v>3.1924198909436319E-2</v>
      </c>
      <c r="EO11">
        <v>-0.30693069306930698</v>
      </c>
    </row>
    <row r="12" spans="1:145" x14ac:dyDescent="0.25">
      <c r="A12">
        <v>2021</v>
      </c>
      <c r="B12">
        <v>1</v>
      </c>
      <c r="C12">
        <v>-1.0190495727583571E-2</v>
      </c>
      <c r="D12">
        <v>0</v>
      </c>
      <c r="E12">
        <v>2.2071097372488411</v>
      </c>
      <c r="F12">
        <v>0.26470588235294112</v>
      </c>
      <c r="H12">
        <v>0.84253578732106349</v>
      </c>
      <c r="J12">
        <v>-9.5972153157632967E-2</v>
      </c>
      <c r="K12">
        <v>5.2516411378555672E-2</v>
      </c>
      <c r="M12">
        <v>-1.7217630853994529E-2</v>
      </c>
      <c r="P12">
        <v>-1.121495327102795E-2</v>
      </c>
      <c r="Q12">
        <v>0.31178082191780843</v>
      </c>
      <c r="R12">
        <v>-0.1117390792417285</v>
      </c>
      <c r="T12">
        <v>0.76314317673378085</v>
      </c>
      <c r="U12">
        <v>-0.37751824817518242</v>
      </c>
      <c r="V12">
        <v>9.2814371257485151E-2</v>
      </c>
      <c r="W12">
        <v>0.74724748683580655</v>
      </c>
      <c r="X12">
        <v>-0.16423223272370191</v>
      </c>
      <c r="Y12">
        <v>0.19397993311036801</v>
      </c>
      <c r="AB12">
        <v>-9.6722765496413121E-3</v>
      </c>
      <c r="AD12">
        <v>5.616815988973145E-2</v>
      </c>
      <c r="AE12">
        <v>0.23595505617977519</v>
      </c>
      <c r="AH12">
        <v>0.14233576642335749</v>
      </c>
      <c r="AI12">
        <v>-3.3707865168539297E-2</v>
      </c>
      <c r="AK12">
        <v>0.26470588235294112</v>
      </c>
      <c r="AL12">
        <v>0.20519221168247631</v>
      </c>
      <c r="AM12">
        <v>8.0275229357798183E-2</v>
      </c>
      <c r="AN12">
        <v>0.59376401973979354</v>
      </c>
      <c r="AO12">
        <v>7.4576271186440612E-2</v>
      </c>
      <c r="AP12">
        <v>0.1776581426648722</v>
      </c>
      <c r="AR12">
        <v>0.19607843137254899</v>
      </c>
      <c r="AT12">
        <v>0.68656716417910468</v>
      </c>
      <c r="AV12">
        <v>-4.8309178743960457E-3</v>
      </c>
      <c r="AW12">
        <v>-5.3472448646886273E-2</v>
      </c>
      <c r="AX12">
        <v>-0.40952380952380951</v>
      </c>
      <c r="AY12">
        <v>1.5</v>
      </c>
      <c r="AZ12">
        <v>1.0119047619047621</v>
      </c>
      <c r="BA12">
        <v>0.211153846153846</v>
      </c>
      <c r="BB12">
        <v>9.7170971709716891E-2</v>
      </c>
      <c r="BC12">
        <v>0</v>
      </c>
      <c r="BE12">
        <v>-8.2508250825082952E-3</v>
      </c>
      <c r="BF12">
        <v>0.70212765957446788</v>
      </c>
      <c r="BG12">
        <v>-5.5508112724167447E-2</v>
      </c>
      <c r="BJ12">
        <v>-5.9360730593607358E-2</v>
      </c>
      <c r="BK12">
        <v>-0.109704641350211</v>
      </c>
      <c r="BL12">
        <v>-8.0221300138312301E-3</v>
      </c>
      <c r="BM12">
        <v>0.31195335276967923</v>
      </c>
      <c r="BO12">
        <v>1.9230769230769159E-2</v>
      </c>
      <c r="BQ12">
        <v>-3.0669895076674839E-2</v>
      </c>
      <c r="BR12">
        <v>0.79815100154083196</v>
      </c>
      <c r="BS12">
        <v>1.100628930817593E-2</v>
      </c>
      <c r="BT12">
        <v>0.42568250758341741</v>
      </c>
      <c r="BV12">
        <v>2.4601226993865031</v>
      </c>
      <c r="BW12">
        <v>-5.7861254165404441E-2</v>
      </c>
      <c r="BX12">
        <v>3.6535805963649803E-2</v>
      </c>
      <c r="BZ12">
        <v>0.27991886409736311</v>
      </c>
      <c r="CA12">
        <v>-0.38093327985024739</v>
      </c>
      <c r="CB12">
        <v>0.86375062845651063</v>
      </c>
      <c r="CC12">
        <v>0.23175829582973201</v>
      </c>
      <c r="CD12">
        <v>0.30147058823529421</v>
      </c>
      <c r="CE12">
        <v>-7.118644067796609E-2</v>
      </c>
      <c r="CF12">
        <v>-7.2807017543859653E-2</v>
      </c>
      <c r="CJ12">
        <v>-5.782422090407513E-2</v>
      </c>
      <c r="CK12">
        <v>0.27690100430416059</v>
      </c>
      <c r="CL12">
        <v>0.15882352941176461</v>
      </c>
      <c r="CN12">
        <v>1.4073770491803279</v>
      </c>
      <c r="CO12">
        <v>0.2</v>
      </c>
      <c r="CP12">
        <v>-0.1239316239316238</v>
      </c>
      <c r="CQ12">
        <v>-0.1231884057971014</v>
      </c>
      <c r="CS12">
        <v>0.36226811340567022</v>
      </c>
      <c r="CT12">
        <v>-3.8647342995169032E-2</v>
      </c>
      <c r="CU12">
        <v>0.71226415094339601</v>
      </c>
      <c r="CV12">
        <v>6.7973620963903025E-2</v>
      </c>
      <c r="CW12">
        <v>0.1471178663607686</v>
      </c>
      <c r="CX12">
        <v>0.10427807486631011</v>
      </c>
      <c r="CY12">
        <v>-4.4730856709628508E-2</v>
      </c>
      <c r="CZ12">
        <v>-1.4116416869989551E-2</v>
      </c>
      <c r="DA12">
        <v>0.1589403973509935</v>
      </c>
      <c r="DB12">
        <v>8.3186619718309984E-2</v>
      </c>
      <c r="DC12">
        <v>-4.5169715462737403E-2</v>
      </c>
      <c r="DD12">
        <v>0.1023970009558213</v>
      </c>
      <c r="DF12">
        <v>0.18487394957983189</v>
      </c>
      <c r="DI12">
        <v>1.9020891799189199E-2</v>
      </c>
      <c r="DJ12">
        <v>-7.1469411092052626E-2</v>
      </c>
      <c r="DK12">
        <v>1.9061583577712611</v>
      </c>
      <c r="DM12">
        <v>0.1984877126654063</v>
      </c>
      <c r="DN12">
        <v>-2.352941176470591E-2</v>
      </c>
      <c r="DP12">
        <v>-0.11142019016791441</v>
      </c>
      <c r="DQ12">
        <v>3.1884057971014457E-2</v>
      </c>
      <c r="DR12">
        <v>0.1267217630853994</v>
      </c>
      <c r="DS12">
        <v>0.16812400635930061</v>
      </c>
      <c r="DU12">
        <v>-8.7829663682554959E-2</v>
      </c>
      <c r="DY12">
        <v>0.77419354838709675</v>
      </c>
      <c r="DZ12">
        <v>1.1912832929782089</v>
      </c>
      <c r="EA12">
        <v>0.3266331658291457</v>
      </c>
      <c r="EB12">
        <v>0.43838557320738508</v>
      </c>
      <c r="EC12">
        <v>0.2314049586776861</v>
      </c>
      <c r="ED12">
        <v>-3.9513677811550019E-2</v>
      </c>
      <c r="EE12">
        <v>0.36363636363636348</v>
      </c>
      <c r="EF12">
        <v>1.9653179190751491E-2</v>
      </c>
      <c r="EG12">
        <v>2.0851433536055671E-2</v>
      </c>
      <c r="EI12">
        <v>-9.3385923856973974E-2</v>
      </c>
      <c r="EK12">
        <v>0.25316455696202528</v>
      </c>
      <c r="EL12">
        <v>3.2520325203251987E-2</v>
      </c>
      <c r="EM12">
        <v>0.18644067796610159</v>
      </c>
      <c r="EN12">
        <v>-6.6542346522904028E-2</v>
      </c>
      <c r="EO12">
        <v>-0.46160714285714283</v>
      </c>
    </row>
    <row r="13" spans="1:145" x14ac:dyDescent="0.25">
      <c r="A13">
        <v>2021</v>
      </c>
      <c r="B13">
        <v>2</v>
      </c>
      <c r="C13">
        <v>2.7805589938019629E-2</v>
      </c>
      <c r="D13">
        <v>-1.09592009880477E-4</v>
      </c>
      <c r="E13">
        <v>7.3734939759036111E-2</v>
      </c>
      <c r="F13">
        <v>0.16744186046511619</v>
      </c>
      <c r="H13">
        <v>-6.1043285238623679E-2</v>
      </c>
      <c r="J13">
        <v>-3.575357535753565E-2</v>
      </c>
      <c r="K13">
        <v>0.1205821205821207</v>
      </c>
      <c r="M13">
        <v>1.9621583742116311E-2</v>
      </c>
      <c r="P13">
        <v>-0.13421550094517951</v>
      </c>
      <c r="Q13">
        <v>0.921470342522974</v>
      </c>
      <c r="R13">
        <v>3.7910922587486739E-2</v>
      </c>
      <c r="T13">
        <v>0.35289452815226019</v>
      </c>
      <c r="U13">
        <v>3.4709193245778591E-2</v>
      </c>
      <c r="V13">
        <v>0.10136986301369851</v>
      </c>
      <c r="W13">
        <v>3.2328767123287687E-2</v>
      </c>
      <c r="X13">
        <v>-1.07211044206198E-2</v>
      </c>
      <c r="Y13">
        <v>7.4229691876750659E-2</v>
      </c>
      <c r="AB13">
        <v>-1.628735273833559E-3</v>
      </c>
      <c r="AD13">
        <v>-0.34486133768352373</v>
      </c>
      <c r="AE13">
        <v>-1.871657754010703E-2</v>
      </c>
      <c r="AH13">
        <v>5.7507987220447372E-2</v>
      </c>
      <c r="AI13">
        <v>0.52906976744186052</v>
      </c>
      <c r="AK13">
        <v>-8.7209302325581439E-2</v>
      </c>
      <c r="AL13">
        <v>-2.278376139188076E-2</v>
      </c>
      <c r="AM13">
        <v>-0.1100495399858458</v>
      </c>
      <c r="AN13">
        <v>0.24883884588318089</v>
      </c>
      <c r="AO13">
        <v>7.2555205047318605E-2</v>
      </c>
      <c r="AP13">
        <v>0.71428571428571419</v>
      </c>
      <c r="AR13">
        <v>0.66393442622950816</v>
      </c>
      <c r="AT13">
        <v>-0.17256637168141589</v>
      </c>
      <c r="AV13">
        <v>7.7669902912621325E-2</v>
      </c>
      <c r="AW13">
        <v>0.13193248363761609</v>
      </c>
      <c r="AX13">
        <v>-3.3026113671274948E-2</v>
      </c>
      <c r="AY13">
        <v>-7.567567567567568E-2</v>
      </c>
      <c r="AZ13">
        <v>0.79142011834319526</v>
      </c>
      <c r="BA13">
        <v>-0.13020006351222599</v>
      </c>
      <c r="BB13">
        <v>-0.1132286995515694</v>
      </c>
      <c r="BC13">
        <v>0.1434108527131783</v>
      </c>
      <c r="BE13">
        <v>-1.331114808652256E-2</v>
      </c>
      <c r="BF13">
        <v>-3.4821428571428448E-2</v>
      </c>
      <c r="BG13">
        <v>0.14014466546112109</v>
      </c>
      <c r="BJ13">
        <v>-8.737864077669899E-2</v>
      </c>
      <c r="BK13">
        <v>0.11374407582938401</v>
      </c>
      <c r="BL13">
        <v>-1.087562744004467E-2</v>
      </c>
      <c r="BM13">
        <v>-0.14777777777777781</v>
      </c>
      <c r="BO13">
        <v>0.1069182389937107</v>
      </c>
      <c r="BQ13">
        <v>-4.8293089092423018E-2</v>
      </c>
      <c r="BR13">
        <v>-9.0831191088260543E-2</v>
      </c>
      <c r="BS13">
        <v>0.1020217729393469</v>
      </c>
      <c r="BT13">
        <v>0.16312056737588659</v>
      </c>
      <c r="BV13">
        <v>-0.25531914893617019</v>
      </c>
      <c r="BW13">
        <v>8.0643086816720277E-2</v>
      </c>
      <c r="BX13">
        <v>-2.2566288212503841E-2</v>
      </c>
      <c r="BZ13">
        <v>-0.1220285261489699</v>
      </c>
      <c r="CA13">
        <v>0.29157667386609082</v>
      </c>
      <c r="CB13">
        <v>-0.20032371189641221</v>
      </c>
      <c r="CC13">
        <v>-1.0676378876950171E-2</v>
      </c>
      <c r="CD13">
        <v>-0.1016949152542372</v>
      </c>
      <c r="CE13">
        <v>2.1897810218977961E-2</v>
      </c>
      <c r="CF13">
        <v>0.41154210028382199</v>
      </c>
      <c r="CJ13">
        <v>-5.7739027030039969E-2</v>
      </c>
      <c r="CK13">
        <v>0.2696629213483146</v>
      </c>
      <c r="CL13">
        <v>0.15177664974619301</v>
      </c>
      <c r="CN13">
        <v>-0.34439904664623749</v>
      </c>
      <c r="CO13">
        <v>0.72222006296397057</v>
      </c>
      <c r="CP13">
        <v>-2.1463414634146361E-2</v>
      </c>
      <c r="CQ13">
        <v>1.046831955922878E-2</v>
      </c>
      <c r="CS13">
        <v>2.4665981500513912E-2</v>
      </c>
      <c r="CT13">
        <v>-2.5125628140703519E-2</v>
      </c>
      <c r="CU13">
        <v>0.22727272727272729</v>
      </c>
      <c r="CV13">
        <v>4.0018046714900057E-2</v>
      </c>
      <c r="CW13">
        <v>4.2750000000000073E-2</v>
      </c>
      <c r="CX13">
        <v>0.1122881355932204</v>
      </c>
      <c r="CY13">
        <v>0.8126984126984127</v>
      </c>
      <c r="CZ13">
        <v>-6.7130054265711836E-2</v>
      </c>
      <c r="DA13">
        <v>0.14415584415584409</v>
      </c>
      <c r="DB13">
        <v>0.3445753758634702</v>
      </c>
      <c r="DC13">
        <v>-5.4800643422450723E-2</v>
      </c>
      <c r="DD13">
        <v>-0.2430862084496892</v>
      </c>
      <c r="DE13">
        <v>-8.9285714285715079E-3</v>
      </c>
      <c r="DF13">
        <v>9.219858156028371E-2</v>
      </c>
      <c r="DI13">
        <v>2.019583843329276E-2</v>
      </c>
      <c r="DJ13">
        <v>0.13423645320197061</v>
      </c>
      <c r="DK13">
        <v>1.451059535822401</v>
      </c>
      <c r="DM13">
        <v>0.16403785488959</v>
      </c>
      <c r="DN13">
        <v>4.1499330655957227E-2</v>
      </c>
      <c r="DP13">
        <v>-2.166695125884599E-2</v>
      </c>
      <c r="DQ13">
        <v>5.6179775280897903E-3</v>
      </c>
      <c r="DR13">
        <v>-1.58924205378973E-2</v>
      </c>
      <c r="DS13">
        <v>-8.5743450153113243E-2</v>
      </c>
      <c r="DU13">
        <v>-3.8461538461538547E-2</v>
      </c>
      <c r="DY13">
        <v>-0.14545454545454539</v>
      </c>
      <c r="DZ13">
        <v>0.34585635359116013</v>
      </c>
      <c r="EA13">
        <v>0.26136363636363652</v>
      </c>
      <c r="EB13">
        <v>0.86567164179104483</v>
      </c>
      <c r="EC13">
        <v>-5.3691275167785268E-2</v>
      </c>
      <c r="ED13">
        <v>4.7468354430379778E-2</v>
      </c>
      <c r="EE13">
        <v>-7.878787878787874E-2</v>
      </c>
      <c r="EF13">
        <v>0.56689342403628107</v>
      </c>
      <c r="EG13">
        <v>0.16680851063829791</v>
      </c>
      <c r="EI13">
        <v>-0.12595840937003441</v>
      </c>
      <c r="EK13">
        <v>-5.8080808080808073E-2</v>
      </c>
      <c r="EL13">
        <v>7.2834645669291431E-2</v>
      </c>
      <c r="EM13">
        <v>6.8571428571428727E-2</v>
      </c>
      <c r="EN13">
        <v>6.4180877891475419E-3</v>
      </c>
      <c r="EO13">
        <v>0.57213930348258701</v>
      </c>
    </row>
    <row r="14" spans="1:145" x14ac:dyDescent="0.25">
      <c r="A14">
        <v>2021</v>
      </c>
      <c r="B14">
        <v>3</v>
      </c>
      <c r="C14">
        <v>4.5404984815198952E-2</v>
      </c>
      <c r="D14">
        <v>-1.0837251574491451E-4</v>
      </c>
      <c r="E14">
        <v>0.1310592459605027</v>
      </c>
      <c r="F14">
        <v>-3.5856573705179251E-2</v>
      </c>
      <c r="H14">
        <v>-4.7281323877069736E-3</v>
      </c>
      <c r="J14">
        <v>4.5065601825442059E-2</v>
      </c>
      <c r="K14">
        <v>0.24860853432282021</v>
      </c>
      <c r="M14">
        <v>0.24192439862542961</v>
      </c>
      <c r="P14">
        <v>0.13537117903930129</v>
      </c>
      <c r="Q14">
        <v>-0.1141304347826088</v>
      </c>
      <c r="R14">
        <v>-0.15581098339719041</v>
      </c>
      <c r="T14">
        <v>-0.19988276670574451</v>
      </c>
      <c r="U14">
        <v>-0.16591115140525839</v>
      </c>
      <c r="V14">
        <v>0.12437810945273629</v>
      </c>
      <c r="W14">
        <v>-0.18059978768577489</v>
      </c>
      <c r="X14">
        <v>-0.15944180522565321</v>
      </c>
      <c r="Y14">
        <v>-9.126466753585416E-3</v>
      </c>
      <c r="AB14">
        <v>3.7340338353050839E-2</v>
      </c>
      <c r="AD14">
        <v>-0.72360557768924294</v>
      </c>
      <c r="AE14">
        <v>0.18310626702997279</v>
      </c>
      <c r="AH14">
        <v>-0.25377643504531722</v>
      </c>
      <c r="AI14">
        <v>-9.125475285171103E-2</v>
      </c>
      <c r="AK14">
        <v>-0.11464968152866239</v>
      </c>
      <c r="AL14">
        <v>4.6629927935566418E-3</v>
      </c>
      <c r="AM14">
        <v>-5.4075546719681837E-2</v>
      </c>
      <c r="AN14">
        <v>-5.330778767046096E-2</v>
      </c>
      <c r="AO14">
        <v>-0.1088235294117648</v>
      </c>
      <c r="AP14">
        <v>-0.33400000000000002</v>
      </c>
      <c r="AR14">
        <v>-0.1231527093596059</v>
      </c>
      <c r="AT14">
        <v>-9.6256684491978661E-2</v>
      </c>
      <c r="AV14">
        <v>-0.108108108108108</v>
      </c>
      <c r="AW14">
        <v>-0.1037735849056604</v>
      </c>
      <c r="AX14">
        <v>-0.32962668784749799</v>
      </c>
      <c r="AY14">
        <v>-0.1023391812865497</v>
      </c>
      <c r="AZ14">
        <v>7.2667217175887755E-2</v>
      </c>
      <c r="BA14">
        <v>2.4096385542168749E-2</v>
      </c>
      <c r="BB14">
        <v>-7.4589127686472745E-2</v>
      </c>
      <c r="BC14">
        <v>-0.37966101694915261</v>
      </c>
      <c r="BE14">
        <v>-0.1382799325463743</v>
      </c>
      <c r="BF14">
        <v>-6.0129509713228502E-2</v>
      </c>
      <c r="BG14">
        <v>-6.5820777160983335E-2</v>
      </c>
      <c r="BJ14">
        <v>-2.1276595744680878E-2</v>
      </c>
      <c r="BK14">
        <v>-0.16170212765957451</v>
      </c>
      <c r="BL14">
        <v>-6.8508598815900767E-2</v>
      </c>
      <c r="BM14">
        <v>-0.1199478487614081</v>
      </c>
      <c r="BO14">
        <v>1.7045454545454589E-2</v>
      </c>
      <c r="BQ14">
        <v>4.5494313210848507E-2</v>
      </c>
      <c r="BR14">
        <v>-0.45240339302544769</v>
      </c>
      <c r="BS14">
        <v>-4.2337002540220103E-2</v>
      </c>
      <c r="BT14">
        <v>-0.14024390243902449</v>
      </c>
      <c r="BV14">
        <v>-0.1428571428571429</v>
      </c>
      <c r="BW14">
        <v>-2.1840038086169859E-2</v>
      </c>
      <c r="BX14">
        <v>3.7170256160108162E-2</v>
      </c>
      <c r="BZ14">
        <v>-0.10108303249097481</v>
      </c>
      <c r="CA14">
        <v>-6.1872909698996607E-2</v>
      </c>
      <c r="CB14">
        <v>2.8538658750505871E-2</v>
      </c>
      <c r="CC14">
        <v>-8.8193810796278416E-2</v>
      </c>
      <c r="CD14">
        <v>-5.031446540880502E-2</v>
      </c>
      <c r="CE14">
        <v>-3.9285714285714257E-2</v>
      </c>
      <c r="CF14">
        <v>-0.22319034852546921</v>
      </c>
      <c r="CJ14">
        <v>7.0803076837121726E-2</v>
      </c>
      <c r="CK14">
        <v>-0.19469026548672561</v>
      </c>
      <c r="CL14">
        <v>-0.118554429263993</v>
      </c>
      <c r="CN14">
        <v>-8.0238898987276097E-2</v>
      </c>
      <c r="CO14">
        <v>-0.27258092422498548</v>
      </c>
      <c r="CP14">
        <v>4.1874376869391883E-2</v>
      </c>
      <c r="CQ14">
        <v>-0.10523446019629221</v>
      </c>
      <c r="CS14">
        <v>-0.10732196589769311</v>
      </c>
      <c r="CT14">
        <v>-4.8969072164948502E-2</v>
      </c>
      <c r="CU14">
        <v>0.14029180695847349</v>
      </c>
      <c r="CV14">
        <v>0.13732889420840541</v>
      </c>
      <c r="CW14">
        <v>5.6820906257492247E-2</v>
      </c>
      <c r="CX14">
        <v>-4.6394557823129179E-2</v>
      </c>
      <c r="CY14">
        <v>-4.5534150612959727E-2</v>
      </c>
      <c r="CZ14">
        <v>8.181441146395696E-2</v>
      </c>
      <c r="DA14">
        <v>-0.14733257661748</v>
      </c>
      <c r="DB14">
        <v>0.18857660924750649</v>
      </c>
      <c r="DC14">
        <v>8.5458952519028575E-3</v>
      </c>
      <c r="DD14">
        <v>-3.4587920261826999E-2</v>
      </c>
      <c r="DE14">
        <v>0.12012012012012011</v>
      </c>
      <c r="DF14">
        <v>-0.13636363636363641</v>
      </c>
      <c r="DI14">
        <v>5.6088782243551183E-2</v>
      </c>
      <c r="DJ14">
        <v>-0.37676438653637362</v>
      </c>
      <c r="DK14">
        <v>-7.4722107863318121E-2</v>
      </c>
      <c r="DM14">
        <v>-9.8915989159891526E-2</v>
      </c>
      <c r="DN14">
        <v>2.0565552699228769E-2</v>
      </c>
      <c r="DP14">
        <v>2.8488315718025788E-2</v>
      </c>
      <c r="DQ14">
        <v>-7.2625698324022325E-2</v>
      </c>
      <c r="DR14">
        <v>-7.701863354037275E-2</v>
      </c>
      <c r="DS14">
        <v>-2.5679196129512531E-2</v>
      </c>
      <c r="DU14">
        <v>-0.110896551724138</v>
      </c>
      <c r="DY14">
        <v>-9.5744680851063912E-2</v>
      </c>
      <c r="DZ14">
        <v>-6.6912972085385825E-2</v>
      </c>
      <c r="EA14">
        <v>-3.3033033033033177E-2</v>
      </c>
      <c r="EB14">
        <v>-0.20088000000000009</v>
      </c>
      <c r="EC14">
        <v>-3.9007092198581561E-2</v>
      </c>
      <c r="ED14">
        <v>-9.969788519637468E-2</v>
      </c>
      <c r="EE14">
        <v>-0.118421052631579</v>
      </c>
      <c r="EF14">
        <v>-0.22033285094066571</v>
      </c>
      <c r="EG14">
        <v>0.10503282275711159</v>
      </c>
      <c r="EI14">
        <v>-5.9254084435482753E-2</v>
      </c>
      <c r="EK14">
        <v>-8.2439678284182305E-2</v>
      </c>
      <c r="EL14">
        <v>-0.17247706422018361</v>
      </c>
      <c r="EM14">
        <v>0.10695187165775399</v>
      </c>
      <c r="EN14">
        <v>1.442901224291937E-2</v>
      </c>
      <c r="EO14">
        <v>-2.953586497890304E-2</v>
      </c>
    </row>
    <row r="15" spans="1:145" x14ac:dyDescent="0.25">
      <c r="A15">
        <v>2021</v>
      </c>
      <c r="B15">
        <v>4</v>
      </c>
      <c r="C15">
        <v>5.2910546230172661E-2</v>
      </c>
      <c r="D15">
        <v>0</v>
      </c>
      <c r="E15">
        <v>-5.3571428571428492E-2</v>
      </c>
      <c r="F15">
        <v>-9.0909090909090939E-2</v>
      </c>
      <c r="H15">
        <v>-0.17814726840855111</v>
      </c>
      <c r="J15">
        <v>-5.0218340611353773E-2</v>
      </c>
      <c r="K15">
        <v>-0.18127786032689461</v>
      </c>
      <c r="M15">
        <v>-7.9136690647481966E-2</v>
      </c>
      <c r="P15">
        <v>-0.21730769230769231</v>
      </c>
      <c r="Q15">
        <v>-0.1901840490797545</v>
      </c>
      <c r="R15">
        <v>4.2965204236006027E-2</v>
      </c>
      <c r="T15">
        <v>-0.19399267399267389</v>
      </c>
      <c r="U15">
        <v>6.956521739130439E-2</v>
      </c>
      <c r="V15">
        <v>-0.1703539823008848</v>
      </c>
      <c r="W15">
        <v>-0.59983805668016199</v>
      </c>
      <c r="X15">
        <v>6.7820558106676199E-2</v>
      </c>
      <c r="Y15">
        <v>-0.12894736842105259</v>
      </c>
      <c r="AB15">
        <v>-1.124768067898407E-2</v>
      </c>
      <c r="AD15">
        <v>-0.14594594594594601</v>
      </c>
      <c r="AE15">
        <v>-0.40350069092584051</v>
      </c>
      <c r="AH15">
        <v>0.2429149797570849</v>
      </c>
      <c r="AI15">
        <v>-0.1631799163179917</v>
      </c>
      <c r="AK15">
        <v>-0.1510791366906474</v>
      </c>
      <c r="AL15">
        <v>-5.9071729957805852E-2</v>
      </c>
      <c r="AM15">
        <v>-4.2034468263976499E-2</v>
      </c>
      <c r="AN15">
        <v>-8.333333333333337E-2</v>
      </c>
      <c r="AO15">
        <v>-0.11881188118811881</v>
      </c>
      <c r="AP15">
        <v>-0.13513513513513509</v>
      </c>
      <c r="AR15">
        <v>0.23595505617977519</v>
      </c>
      <c r="AT15">
        <v>-0.106508875739645</v>
      </c>
      <c r="AV15">
        <v>-4.0404040404040442E-2</v>
      </c>
      <c r="AW15">
        <v>7.67402376910018E-2</v>
      </c>
      <c r="AX15">
        <v>-0.1232227488151658</v>
      </c>
      <c r="AY15">
        <v>-0.22475570032573289</v>
      </c>
      <c r="AZ15">
        <v>-0.2986913010007699</v>
      </c>
      <c r="BA15">
        <v>-3.9215686274509887E-2</v>
      </c>
      <c r="BB15">
        <v>0.18579234972677591</v>
      </c>
      <c r="BC15">
        <v>-0.1147540983606556</v>
      </c>
      <c r="BE15">
        <v>3.5225048923678948E-2</v>
      </c>
      <c r="BF15">
        <v>5.2165354330708569E-2</v>
      </c>
      <c r="BG15">
        <v>-4.4991511035653582E-2</v>
      </c>
      <c r="BJ15">
        <v>-5.9782608695652217E-2</v>
      </c>
      <c r="BK15">
        <v>-0.233502538071066</v>
      </c>
      <c r="BL15">
        <v>-0.11319612590799021</v>
      </c>
      <c r="BM15">
        <v>0.13629629629629639</v>
      </c>
      <c r="BO15">
        <v>-0.106145251396648</v>
      </c>
      <c r="BQ15">
        <v>-4.1841004184100417E-2</v>
      </c>
      <c r="BR15">
        <v>-0.1239242685025818</v>
      </c>
      <c r="BS15">
        <v>1.4736221632773329E-2</v>
      </c>
      <c r="BT15">
        <v>-0.1276595744680851</v>
      </c>
      <c r="BV15">
        <v>-0.16111111111111109</v>
      </c>
      <c r="BW15">
        <v>1.825150574923384E-4</v>
      </c>
      <c r="BX15">
        <v>-9.8573808348851877E-3</v>
      </c>
      <c r="BZ15">
        <v>-0.1506024096385542</v>
      </c>
      <c r="CA15">
        <v>-9.8039215686274606E-2</v>
      </c>
      <c r="CB15">
        <v>-4.3030501803870143E-2</v>
      </c>
      <c r="CC15">
        <v>-2.167832206883347E-2</v>
      </c>
      <c r="CD15">
        <v>-6.6225165562914023E-2</v>
      </c>
      <c r="CE15">
        <v>5.5762081784386693E-2</v>
      </c>
      <c r="CF15">
        <v>-0.13114754098360651</v>
      </c>
      <c r="CJ15">
        <v>-3.3597080569767623E-2</v>
      </c>
      <c r="CK15">
        <v>-0.1004395604395605</v>
      </c>
      <c r="CL15">
        <v>-1.9500000000000069E-2</v>
      </c>
      <c r="CN15">
        <v>9.2603049124788228E-2</v>
      </c>
      <c r="CO15">
        <v>-0.2017725289044241</v>
      </c>
      <c r="CP15">
        <v>7.0813397129186662E-2</v>
      </c>
      <c r="CQ15">
        <v>0.12004875076173049</v>
      </c>
      <c r="CS15">
        <v>-7.8651685393258397E-3</v>
      </c>
      <c r="CT15">
        <v>-3.2520325203252098E-2</v>
      </c>
      <c r="CU15">
        <v>4.9212598425196763E-2</v>
      </c>
      <c r="CV15">
        <v>4.9171890222605708E-3</v>
      </c>
      <c r="CW15">
        <v>-1.1796733212341089E-2</v>
      </c>
      <c r="CX15">
        <v>-9.8587530318162364E-2</v>
      </c>
      <c r="CY15">
        <v>-0.24954128440366971</v>
      </c>
      <c r="CZ15">
        <v>6.6796220466195377E-2</v>
      </c>
      <c r="DA15">
        <v>2.5559105431310011E-2</v>
      </c>
      <c r="DB15">
        <v>-0.148232901093313</v>
      </c>
      <c r="DC15">
        <v>2.866327877137342E-2</v>
      </c>
      <c r="DD15">
        <v>-0.2792510979274212</v>
      </c>
      <c r="DE15">
        <v>-0.13672922252010711</v>
      </c>
      <c r="DF15">
        <v>-0.2857142857142857</v>
      </c>
      <c r="DI15">
        <v>9.5143425163305873E-2</v>
      </c>
      <c r="DJ15">
        <v>5.2264808362367798E-3</v>
      </c>
      <c r="DK15">
        <v>4.1156840934371441E-2</v>
      </c>
      <c r="DM15">
        <v>-2.7067669172932459E-2</v>
      </c>
      <c r="DN15">
        <v>-4.7858942065491239E-2</v>
      </c>
      <c r="DP15">
        <v>0.10306595768752121</v>
      </c>
      <c r="DQ15">
        <v>-6.0240963855421659E-2</v>
      </c>
      <c r="DR15">
        <v>4.3068640646029673E-2</v>
      </c>
      <c r="DS15">
        <v>0.16310160427807491</v>
      </c>
      <c r="DU15">
        <v>-4.6850760161340273E-2</v>
      </c>
      <c r="DW15">
        <v>0</v>
      </c>
      <c r="DY15">
        <v>-0.2352941176470589</v>
      </c>
      <c r="DZ15">
        <v>-0.19313682358117021</v>
      </c>
      <c r="EA15">
        <v>-0.33229813664596258</v>
      </c>
      <c r="EB15">
        <v>-0.27970767844629091</v>
      </c>
      <c r="EC15">
        <v>-0.15498154981549819</v>
      </c>
      <c r="ED15">
        <v>-0.15436241610738249</v>
      </c>
      <c r="EE15">
        <v>-9.7014925373134275E-2</v>
      </c>
      <c r="EF15">
        <v>-0.17958236658932711</v>
      </c>
      <c r="EG15">
        <v>-0.1287128712871288</v>
      </c>
      <c r="EH15">
        <v>-0.1571125265392781</v>
      </c>
      <c r="EI15">
        <v>-4.7965435182528493E-2</v>
      </c>
      <c r="EK15">
        <v>-0.27830533235938643</v>
      </c>
      <c r="EL15">
        <v>-0.15077605321507759</v>
      </c>
      <c r="EM15">
        <v>-7.004830917874405E-2</v>
      </c>
      <c r="EN15">
        <v>0.10037054419781601</v>
      </c>
      <c r="EO15">
        <v>5.7608695652173969E-2</v>
      </c>
    </row>
    <row r="16" spans="1:145" x14ac:dyDescent="0.25">
      <c r="A16">
        <v>2021</v>
      </c>
      <c r="B16">
        <v>5</v>
      </c>
      <c r="C16">
        <v>6.5660538214444841E-3</v>
      </c>
      <c r="D16">
        <v>-1.096159009564834E-4</v>
      </c>
      <c r="E16">
        <v>-6.7505241090146884E-2</v>
      </c>
      <c r="F16">
        <v>0.1227272727272728</v>
      </c>
      <c r="H16">
        <v>-4.3352601156069204E-3</v>
      </c>
      <c r="J16">
        <v>8.7356321839080708E-2</v>
      </c>
      <c r="K16">
        <v>2.722323049001818E-2</v>
      </c>
      <c r="M16">
        <v>3.2151442307692291E-2</v>
      </c>
      <c r="P16">
        <v>-8.8452088452088518E-2</v>
      </c>
      <c r="Q16">
        <v>-6.0606060606060552E-2</v>
      </c>
      <c r="R16">
        <v>5.5120394545981943E-2</v>
      </c>
      <c r="T16">
        <v>-0.1774222868569352</v>
      </c>
      <c r="U16">
        <v>1.3211382113821109E-2</v>
      </c>
      <c r="V16">
        <v>2.533333333333343E-2</v>
      </c>
      <c r="W16">
        <v>-0.1736139214892756</v>
      </c>
      <c r="X16">
        <v>4.1349652662918679E-3</v>
      </c>
      <c r="Y16">
        <v>-0.23262839879154079</v>
      </c>
      <c r="AB16">
        <v>5.2868540893222349E-2</v>
      </c>
      <c r="AD16">
        <v>-0.1603375527426161</v>
      </c>
      <c r="AE16">
        <v>4.9420849420849462E-2</v>
      </c>
      <c r="AH16">
        <v>-0.16449511400651459</v>
      </c>
      <c r="AI16">
        <v>-7.4999999999999956E-2</v>
      </c>
      <c r="AK16">
        <v>-4.2372881355932202E-2</v>
      </c>
      <c r="AL16">
        <v>7.1300448430493324E-2</v>
      </c>
      <c r="AM16">
        <v>-5.2215884159719117E-2</v>
      </c>
      <c r="AN16">
        <v>-0.23376623376623371</v>
      </c>
      <c r="AO16">
        <v>0.1048689138576779</v>
      </c>
      <c r="AP16">
        <v>-0.16319444444444439</v>
      </c>
      <c r="AR16">
        <v>3.6363636363636383E-2</v>
      </c>
      <c r="AT16">
        <v>-0.1523178807947021</v>
      </c>
      <c r="AV16">
        <v>-0.13157894736842099</v>
      </c>
      <c r="AW16">
        <v>0.13465783664459141</v>
      </c>
      <c r="AX16">
        <v>-1.7567567567567721E-2</v>
      </c>
      <c r="AY16">
        <v>-6.3025210084033612E-2</v>
      </c>
      <c r="AZ16">
        <v>0.18770581778265649</v>
      </c>
      <c r="BA16">
        <v>-0.26122448979591839</v>
      </c>
      <c r="BB16">
        <v>-0.18663594470046091</v>
      </c>
      <c r="BC16">
        <v>-0.2407407407407407</v>
      </c>
      <c r="BD16">
        <v>8.0307262569832005E-3</v>
      </c>
      <c r="BE16">
        <v>-9.6408317580340297E-2</v>
      </c>
      <c r="BF16">
        <v>-8.0449017773620124E-2</v>
      </c>
      <c r="BG16">
        <v>-0.2062222222222222</v>
      </c>
      <c r="BJ16">
        <v>-1.7341040462427789E-2</v>
      </c>
      <c r="BK16">
        <v>-3.9735099337748332E-2</v>
      </c>
      <c r="BL16">
        <v>9.0784982935153691E-2</v>
      </c>
      <c r="BM16">
        <v>0.19947848761408071</v>
      </c>
      <c r="BO16">
        <v>-0.1125</v>
      </c>
      <c r="BP16">
        <v>-0.2644053943604413</v>
      </c>
      <c r="BQ16">
        <v>0.1746724890829694</v>
      </c>
      <c r="BR16">
        <v>-0.1080550098231827</v>
      </c>
      <c r="BS16">
        <v>0.14464130119082191</v>
      </c>
      <c r="BT16">
        <v>0.17886178861788629</v>
      </c>
      <c r="BV16">
        <v>5.9602649006622599E-2</v>
      </c>
      <c r="BW16">
        <v>8.3515815085158041E-2</v>
      </c>
      <c r="BX16">
        <v>4.6531126993065053E-2</v>
      </c>
      <c r="BZ16">
        <v>3.7825059101654901E-2</v>
      </c>
      <c r="CA16">
        <v>0.20158102766798441</v>
      </c>
      <c r="CB16">
        <v>-0.19322777435053801</v>
      </c>
      <c r="CC16">
        <v>9.761408840299346E-2</v>
      </c>
      <c r="CD16">
        <v>-0.13475177304964539</v>
      </c>
      <c r="CE16">
        <v>5.9859154929577503E-2</v>
      </c>
      <c r="CF16">
        <v>-0.28699106256206558</v>
      </c>
      <c r="CJ16">
        <v>1.8656876398392312E-2</v>
      </c>
      <c r="CK16">
        <v>-0.13681895919863171</v>
      </c>
      <c r="CL16">
        <v>-7.8531361550229439E-2</v>
      </c>
      <c r="CN16">
        <v>-0.4315245478036176</v>
      </c>
      <c r="CO16">
        <v>0</v>
      </c>
      <c r="CP16">
        <v>0.27077747989276157</v>
      </c>
      <c r="CQ16">
        <v>-0.20783460282916211</v>
      </c>
      <c r="CS16">
        <v>-0.13986409966024921</v>
      </c>
      <c r="CT16">
        <v>-0.10644257703081229</v>
      </c>
      <c r="CU16">
        <v>8.0675422138836828E-2</v>
      </c>
      <c r="CV16">
        <v>0.14967485846511239</v>
      </c>
      <c r="CW16">
        <v>0.1448576675849402</v>
      </c>
      <c r="CX16">
        <v>-3.9727761949984168E-2</v>
      </c>
      <c r="CY16">
        <v>-0.24816625916870419</v>
      </c>
      <c r="CZ16">
        <v>1.20419594284793E-2</v>
      </c>
      <c r="DA16">
        <v>-8.2294911734164145E-2</v>
      </c>
      <c r="DB16">
        <v>-0.10268656716417909</v>
      </c>
      <c r="DC16">
        <v>0.10833590353158901</v>
      </c>
      <c r="DD16">
        <v>-5.4262074273619398E-2</v>
      </c>
      <c r="DE16">
        <v>-5.9006211180124279E-2</v>
      </c>
      <c r="DF16">
        <v>-2.0526315789473729E-2</v>
      </c>
      <c r="DI16">
        <v>-0.1029564315352697</v>
      </c>
      <c r="DJ16">
        <v>-0.13344887348353551</v>
      </c>
      <c r="DK16">
        <v>0.15213675213675229</v>
      </c>
      <c r="DL16">
        <v>-4.0241448692152071E-3</v>
      </c>
      <c r="DM16">
        <v>-0.1251931993817619</v>
      </c>
      <c r="DN16">
        <v>0.26719576719576721</v>
      </c>
      <c r="DP16">
        <v>-1.673504273504256E-2</v>
      </c>
      <c r="DQ16">
        <v>3.8461538461538547E-2</v>
      </c>
      <c r="DR16">
        <v>-1.419354838709674E-2</v>
      </c>
      <c r="DS16">
        <v>-1.9704433497536918E-2</v>
      </c>
      <c r="DU16">
        <v>8.4635416666666741E-2</v>
      </c>
      <c r="DW16">
        <v>-0.22227272727272729</v>
      </c>
      <c r="DY16">
        <v>6.9230769230769207E-2</v>
      </c>
      <c r="DZ16">
        <v>-9.1057797164667331E-2</v>
      </c>
      <c r="EA16">
        <v>1.627906976744176E-2</v>
      </c>
      <c r="EB16">
        <v>-0.38012508686587909</v>
      </c>
      <c r="EC16">
        <v>-6.9868995633187825E-2</v>
      </c>
      <c r="ED16">
        <v>-3.1746031746031737E-2</v>
      </c>
      <c r="EE16">
        <v>0</v>
      </c>
      <c r="EF16">
        <v>-1.13122171945701E-3</v>
      </c>
      <c r="EG16">
        <v>-0.146969696969697</v>
      </c>
      <c r="EH16">
        <v>8.5642317380352662E-2</v>
      </c>
      <c r="EI16">
        <v>0.15410661419277069</v>
      </c>
      <c r="EK16">
        <v>-0.2004048582995952</v>
      </c>
      <c r="EL16">
        <v>-0.18537859007832899</v>
      </c>
      <c r="EM16">
        <v>-0.21298701298701311</v>
      </c>
      <c r="EN16">
        <v>2.1094728226860541E-2</v>
      </c>
      <c r="EO16">
        <v>5.2415210688592007E-2</v>
      </c>
    </row>
    <row r="17" spans="1:145" x14ac:dyDescent="0.25">
      <c r="A17">
        <v>2021</v>
      </c>
      <c r="B17">
        <v>6</v>
      </c>
      <c r="C17">
        <v>2.2472572873903029E-2</v>
      </c>
      <c r="D17">
        <v>-2.192558358390384E-4</v>
      </c>
      <c r="E17">
        <v>-0.21043165467625899</v>
      </c>
      <c r="F17">
        <v>3.238866396761142E-2</v>
      </c>
      <c r="H17">
        <v>0.13207547169811321</v>
      </c>
      <c r="J17">
        <v>6.5539112050739812E-2</v>
      </c>
      <c r="K17">
        <v>-9.540636042402828E-2</v>
      </c>
      <c r="M17">
        <v>2.037845705967967E-2</v>
      </c>
      <c r="P17">
        <v>7.0080862533692834E-2</v>
      </c>
      <c r="Q17">
        <v>-4.0322580645161248E-2</v>
      </c>
      <c r="R17">
        <v>5.8564751168545648E-2</v>
      </c>
      <c r="T17">
        <v>-0.13812154696132589</v>
      </c>
      <c r="U17">
        <v>-0.48645937813440321</v>
      </c>
      <c r="V17">
        <v>-0.1248374512353706</v>
      </c>
      <c r="W17">
        <v>5.1909892262487663E-2</v>
      </c>
      <c r="X17">
        <v>0.11118431889309829</v>
      </c>
      <c r="Y17">
        <v>-1.3779527559054979E-2</v>
      </c>
      <c r="AB17">
        <v>1.673676831405535E-2</v>
      </c>
      <c r="AC17">
        <v>-1.2755102040816309E-2</v>
      </c>
      <c r="AD17">
        <v>0.36432160804020097</v>
      </c>
      <c r="AE17">
        <v>5.0036791758645949E-2</v>
      </c>
      <c r="AH17">
        <v>0.89863547758284601</v>
      </c>
      <c r="AI17">
        <v>5.9459459459459518E-2</v>
      </c>
      <c r="AK17">
        <v>0.1061946902654867</v>
      </c>
      <c r="AL17">
        <v>-1.04646295521138E-2</v>
      </c>
      <c r="AM17">
        <v>1.8518518518518379E-2</v>
      </c>
      <c r="AN17">
        <v>0.2257627118644068</v>
      </c>
      <c r="AO17">
        <v>-3.5593220338983038E-2</v>
      </c>
      <c r="AP17">
        <v>-5.1175656984785663E-2</v>
      </c>
      <c r="AR17">
        <v>0.52631578947368429</v>
      </c>
      <c r="AT17">
        <v>0.4765625</v>
      </c>
      <c r="AV17">
        <v>-1.212121212121209E-2</v>
      </c>
      <c r="AW17">
        <v>-3.5853251806559183E-2</v>
      </c>
      <c r="AX17">
        <v>8.6657496561210579E-2</v>
      </c>
      <c r="AY17">
        <v>6.7264573991031362E-2</v>
      </c>
      <c r="AZ17">
        <v>0.16913123844731981</v>
      </c>
      <c r="BA17">
        <v>6.228026117528862E-2</v>
      </c>
      <c r="BB17">
        <v>-0.12747875354107641</v>
      </c>
      <c r="BC17">
        <v>0.11382113821138209</v>
      </c>
      <c r="BD17">
        <v>-0.26117076550051971</v>
      </c>
      <c r="BE17">
        <v>3.7656903765690419E-2</v>
      </c>
      <c r="BF17">
        <v>-8.5452695829094538E-2</v>
      </c>
      <c r="BG17">
        <v>0.17357222844344911</v>
      </c>
      <c r="BJ17">
        <v>0.16470588235294131</v>
      </c>
      <c r="BK17">
        <v>0.10344827586206901</v>
      </c>
      <c r="BL17">
        <v>-0.1167083854818524</v>
      </c>
      <c r="BM17">
        <v>9.7826086956520619E-3</v>
      </c>
      <c r="BO17">
        <v>0.15492957746478869</v>
      </c>
      <c r="BP17">
        <v>-0.22000000000000011</v>
      </c>
      <c r="BQ17">
        <v>-2.973977695167274E-3</v>
      </c>
      <c r="BR17">
        <v>0.16299559471365649</v>
      </c>
      <c r="BS17">
        <v>3.5777721390510157E-2</v>
      </c>
      <c r="BT17">
        <v>0.59310344827586192</v>
      </c>
      <c r="BV17">
        <v>-1.2499999999999961E-2</v>
      </c>
      <c r="BW17">
        <v>-2.7507999775445709E-3</v>
      </c>
      <c r="BX17">
        <v>-2.664748568662112E-2</v>
      </c>
      <c r="BZ17">
        <v>-0.17084282460136671</v>
      </c>
      <c r="CA17">
        <v>0.15131578947368429</v>
      </c>
      <c r="CB17">
        <v>0.11461342395921829</v>
      </c>
      <c r="CC17">
        <v>0.14909356603498841</v>
      </c>
      <c r="CD17">
        <v>0.14754098360655751</v>
      </c>
      <c r="CE17">
        <v>-4.9833887043189362E-2</v>
      </c>
      <c r="CF17">
        <v>0.1183844011142061</v>
      </c>
      <c r="CJ17">
        <v>8.3214079720650425E-2</v>
      </c>
      <c r="CK17">
        <v>-4.9816020379281123E-2</v>
      </c>
      <c r="CL17">
        <v>-5.0359712230215847E-2</v>
      </c>
      <c r="CN17">
        <v>-0.4718181818181818</v>
      </c>
      <c r="CO17">
        <v>-0.30277766981486531</v>
      </c>
      <c r="CP17">
        <v>-0.34528832630098449</v>
      </c>
      <c r="CQ17">
        <v>-2.6098901098901121E-2</v>
      </c>
      <c r="CS17">
        <v>-2.3041474654377891E-2</v>
      </c>
      <c r="CT17">
        <v>-2.5078369905956129E-2</v>
      </c>
      <c r="CU17">
        <v>0.16145833333333351</v>
      </c>
      <c r="CV17">
        <v>2.8842023197721559E-2</v>
      </c>
      <c r="CW17">
        <v>4.4716262281933039E-2</v>
      </c>
      <c r="CX17">
        <v>1.648261084554736E-4</v>
      </c>
      <c r="CY17">
        <v>0.3317073170731708</v>
      </c>
      <c r="CZ17">
        <v>1.1102777990357421E-2</v>
      </c>
      <c r="DA17">
        <v>-4.2432814710042448E-2</v>
      </c>
      <c r="DB17">
        <v>-3.1270791749833597E-2</v>
      </c>
      <c r="DC17">
        <v>-1.248550130396042E-3</v>
      </c>
      <c r="DD17">
        <v>0.29166949248332791</v>
      </c>
      <c r="DE17">
        <v>3.3003300330032959E-2</v>
      </c>
      <c r="DF17">
        <v>0.11767866738312741</v>
      </c>
      <c r="DI17">
        <v>-7.4588031222896922E-2</v>
      </c>
      <c r="DJ17">
        <v>-2.799999999999991E-2</v>
      </c>
      <c r="DK17">
        <v>0.58456973293768533</v>
      </c>
      <c r="DL17">
        <v>2.0202020202020332E-3</v>
      </c>
      <c r="DM17">
        <v>7.9505300353357011E-2</v>
      </c>
      <c r="DN17">
        <v>-0.23173277661795399</v>
      </c>
      <c r="DP17">
        <v>-0.10921228768623641</v>
      </c>
      <c r="DQ17">
        <v>-6.1728395061728669E-3</v>
      </c>
      <c r="DR17">
        <v>-3.9267015706806241E-2</v>
      </c>
      <c r="DS17">
        <v>3.1490787269681693E-2</v>
      </c>
      <c r="DU17">
        <v>-0.13025210084033609</v>
      </c>
      <c r="DW17">
        <v>-0.2834599649327878</v>
      </c>
      <c r="DY17">
        <v>-7.194244604316502E-3</v>
      </c>
      <c r="DZ17">
        <v>8.458308338332321E-2</v>
      </c>
      <c r="EA17">
        <v>0.4416475972540046</v>
      </c>
      <c r="EB17">
        <v>3.5874439461883512E-2</v>
      </c>
      <c r="EC17">
        <v>5.6338028169014231E-2</v>
      </c>
      <c r="ED17">
        <v>6.5573770491803351E-2</v>
      </c>
      <c r="EE17">
        <v>-1.6528925619834659E-2</v>
      </c>
      <c r="EF17">
        <v>-8.6070215175537923E-2</v>
      </c>
      <c r="EG17">
        <v>3.5523978685614299E-3</v>
      </c>
      <c r="EH17">
        <v>5.5684454756380619E-2</v>
      </c>
      <c r="EI17">
        <v>-6.2340634696322672E-2</v>
      </c>
      <c r="EK17">
        <v>-0.11139240506329109</v>
      </c>
      <c r="EL17">
        <v>0.30448717948717952</v>
      </c>
      <c r="EM17">
        <v>-4.2904290429042868E-2</v>
      </c>
      <c r="EN17">
        <v>5.4788646408113539E-2</v>
      </c>
      <c r="EO17">
        <v>0.251953125</v>
      </c>
    </row>
    <row r="18" spans="1:145" x14ac:dyDescent="0.25">
      <c r="A18">
        <v>2021</v>
      </c>
      <c r="B18">
        <v>7</v>
      </c>
      <c r="C18">
        <v>2.441245616595622E-2</v>
      </c>
      <c r="D18">
        <v>-1.084199152598941E-4</v>
      </c>
      <c r="E18">
        <v>-0.14977220956719819</v>
      </c>
      <c r="F18">
        <v>-4.3137254901960742E-2</v>
      </c>
      <c r="H18">
        <v>-6.5384615384615374E-2</v>
      </c>
      <c r="J18">
        <v>3.9186507936507908E-2</v>
      </c>
      <c r="K18">
        <v>-3.7109375000000111E-2</v>
      </c>
      <c r="L18">
        <v>6.4281524926686151E-2</v>
      </c>
      <c r="M18">
        <v>-3.1954350927246737E-2</v>
      </c>
      <c r="P18">
        <v>-0.181360201511335</v>
      </c>
      <c r="Q18">
        <v>-0.16</v>
      </c>
      <c r="R18">
        <v>0.31298701298701292</v>
      </c>
      <c r="T18">
        <v>-0.19230769230769229</v>
      </c>
      <c r="U18">
        <v>-6.1523437500000111E-2</v>
      </c>
      <c r="V18">
        <v>0.15453194650817231</v>
      </c>
      <c r="W18">
        <v>0.16573556797020481</v>
      </c>
      <c r="X18">
        <v>-0.27972131633560621</v>
      </c>
      <c r="Y18">
        <v>-0.20758483033932129</v>
      </c>
      <c r="AB18">
        <v>2.3192277859174441E-2</v>
      </c>
      <c r="AC18">
        <v>-1.550387596899294E-3</v>
      </c>
      <c r="AD18">
        <v>-0.2338858195211786</v>
      </c>
      <c r="AE18">
        <v>-0.16117729502452721</v>
      </c>
      <c r="AH18">
        <v>1.0266940451745249E-2</v>
      </c>
      <c r="AI18">
        <v>-0.1224489795918368</v>
      </c>
      <c r="AK18">
        <v>-7.1999999999999953E-2</v>
      </c>
      <c r="AL18">
        <v>5.2876480541455217E-2</v>
      </c>
      <c r="AM18">
        <v>-5.5909090909090908E-2</v>
      </c>
      <c r="AN18">
        <v>0.1200221238938055</v>
      </c>
      <c r="AO18">
        <v>0.14235500878734619</v>
      </c>
      <c r="AP18">
        <v>-0.15306122448979601</v>
      </c>
      <c r="AR18">
        <v>-0.4568965517241379</v>
      </c>
      <c r="AT18">
        <v>-0.18518518518518509</v>
      </c>
      <c r="AV18">
        <v>-0.13496932515337429</v>
      </c>
      <c r="AW18">
        <v>5.1311617180743729E-2</v>
      </c>
      <c r="AX18">
        <v>-0.3177215189873418</v>
      </c>
      <c r="AY18">
        <v>-0.19747899159663859</v>
      </c>
      <c r="AZ18">
        <v>-0.14466403162055341</v>
      </c>
      <c r="BA18">
        <v>-0.27234042553191479</v>
      </c>
      <c r="BB18">
        <v>-0.16558441558441561</v>
      </c>
      <c r="BC18">
        <v>-0.18248175182481749</v>
      </c>
      <c r="BD18">
        <v>-0.17909048288795121</v>
      </c>
      <c r="BE18">
        <v>-0.14717741935483869</v>
      </c>
      <c r="BF18">
        <v>-8.5650723025583964E-2</v>
      </c>
      <c r="BG18">
        <v>-0.3024809160305344</v>
      </c>
      <c r="BJ18">
        <v>-0.22222222222222221</v>
      </c>
      <c r="BK18">
        <v>-0.19375000000000001</v>
      </c>
      <c r="BL18">
        <v>-7.332624867162596E-2</v>
      </c>
      <c r="BM18">
        <v>-3.982777179763175E-2</v>
      </c>
      <c r="BO18">
        <v>7.92682926829269E-2</v>
      </c>
      <c r="BP18">
        <v>-0.29415954415954421</v>
      </c>
      <c r="BQ18">
        <v>5.7419835943325781E-2</v>
      </c>
      <c r="BR18">
        <v>-0.20454545454545461</v>
      </c>
      <c r="BS18">
        <v>-0.15899069083782469</v>
      </c>
      <c r="BT18">
        <v>-0.66281385281385274</v>
      </c>
      <c r="BV18">
        <v>-0.1139240506329114</v>
      </c>
      <c r="BW18">
        <v>-4.5710425579824188E-2</v>
      </c>
      <c r="BX18">
        <v>4.5283477896529423E-2</v>
      </c>
      <c r="BZ18">
        <v>-0.30769230769230771</v>
      </c>
      <c r="CA18">
        <v>-0.11</v>
      </c>
      <c r="CB18">
        <v>-0.13476636938791059</v>
      </c>
      <c r="CC18">
        <v>6.0909705989504959E-2</v>
      </c>
      <c r="CD18">
        <v>-5.7142857142857162E-2</v>
      </c>
      <c r="CE18">
        <v>-0.19580419580419581</v>
      </c>
      <c r="CF18">
        <v>-0.1980074719800746</v>
      </c>
      <c r="CJ18">
        <v>-1.1571932056453569E-2</v>
      </c>
      <c r="CK18">
        <v>2.100089365504898E-2</v>
      </c>
      <c r="CL18">
        <v>-7.9836829836829937E-2</v>
      </c>
      <c r="CN18">
        <v>0.30636833046471601</v>
      </c>
      <c r="CO18">
        <v>-0.28286863694220171</v>
      </c>
      <c r="CP18">
        <v>-7.1965628356605804E-2</v>
      </c>
      <c r="CQ18">
        <v>-0.22355430183356839</v>
      </c>
      <c r="CR18">
        <v>-4.1307606595749842E-2</v>
      </c>
      <c r="CS18">
        <v>-2.291105121293802E-2</v>
      </c>
      <c r="CT18">
        <v>-8.6816720257234636E-2</v>
      </c>
      <c r="CU18">
        <v>6.0538116591928093E-2</v>
      </c>
      <c r="CV18">
        <v>-0.18039860045233999</v>
      </c>
      <c r="CW18">
        <v>8.6372360844528817E-3</v>
      </c>
      <c r="CX18">
        <v>-2.8510217534607699E-2</v>
      </c>
      <c r="CY18">
        <v>-0.26984126984126988</v>
      </c>
      <c r="CZ18">
        <v>0.10317224842719711</v>
      </c>
      <c r="DA18">
        <v>-5.1698670605612951E-2</v>
      </c>
      <c r="DB18">
        <v>-0.30631868131868129</v>
      </c>
      <c r="DC18">
        <v>4.7546133285991887E-2</v>
      </c>
      <c r="DD18">
        <v>0.15485587272695439</v>
      </c>
      <c r="DE18">
        <v>-2.8753993610223679E-2</v>
      </c>
      <c r="DF18">
        <v>-0.18769230769230771</v>
      </c>
      <c r="DI18">
        <v>-0.1877538269290846</v>
      </c>
      <c r="DJ18">
        <v>-0.27983539094650212</v>
      </c>
      <c r="DK18">
        <v>-0.18621254681647939</v>
      </c>
      <c r="DL18">
        <v>4.0322580645162356E-3</v>
      </c>
      <c r="DM18">
        <v>-0.1031096563011457</v>
      </c>
      <c r="DN18">
        <v>-5.2989130434782712E-2</v>
      </c>
      <c r="DP18">
        <v>1.4325025859208919E-2</v>
      </c>
      <c r="DQ18">
        <v>-5.5900621118012417E-2</v>
      </c>
      <c r="DR18">
        <v>-8.5831062670299829E-2</v>
      </c>
      <c r="DS18">
        <v>-0.14485222474829501</v>
      </c>
      <c r="DU18">
        <v>-0.22118702553485159</v>
      </c>
      <c r="DW18">
        <v>-0.38825448613376828</v>
      </c>
      <c r="DY18">
        <v>-0.14492753623188401</v>
      </c>
      <c r="DZ18">
        <v>-0.19192477876106201</v>
      </c>
      <c r="EA18">
        <v>-0.2142857142857143</v>
      </c>
      <c r="EB18">
        <v>-0.28282828282828287</v>
      </c>
      <c r="EC18">
        <v>-0.15555555555555561</v>
      </c>
      <c r="ED18">
        <v>-0.1384615384615385</v>
      </c>
      <c r="EE18">
        <v>-0.1596638655462185</v>
      </c>
      <c r="EF18">
        <v>-0.14869888475836429</v>
      </c>
      <c r="EG18">
        <v>-5.3097345132743452E-2</v>
      </c>
      <c r="EH18">
        <v>-2.1978021978022011E-2</v>
      </c>
      <c r="EI18">
        <v>-1.5390664034663829E-2</v>
      </c>
      <c r="EK18">
        <v>-0.2307692307692307</v>
      </c>
      <c r="EL18">
        <v>-0.24570024570024579</v>
      </c>
      <c r="EM18">
        <v>-0.1103448275862069</v>
      </c>
      <c r="EN18">
        <v>8.9038580726419125E-2</v>
      </c>
      <c r="EO18">
        <v>-0.2129485179407177</v>
      </c>
    </row>
    <row r="19" spans="1:145" x14ac:dyDescent="0.25">
      <c r="A19">
        <v>2021</v>
      </c>
      <c r="B19">
        <v>8</v>
      </c>
      <c r="C19">
        <v>2.9760085482632759E-2</v>
      </c>
      <c r="D19">
        <v>-1.096638494968438E-4</v>
      </c>
      <c r="E19">
        <v>8.5733422638982093E-2</v>
      </c>
      <c r="F19">
        <v>0.68032786885245899</v>
      </c>
      <c r="H19">
        <v>-0.10425240054869681</v>
      </c>
      <c r="J19">
        <v>-6.1575178997613333E-2</v>
      </c>
      <c r="K19">
        <v>0.1440162271805274</v>
      </c>
      <c r="L19">
        <v>-7.0042984679819287E-2</v>
      </c>
      <c r="M19">
        <v>-0.1061007957559682</v>
      </c>
      <c r="P19">
        <v>0.40923076923076929</v>
      </c>
      <c r="Q19">
        <v>-8.873549419767901E-2</v>
      </c>
      <c r="R19">
        <v>-0.1472799208704253</v>
      </c>
      <c r="T19">
        <v>-0.1507936507936507</v>
      </c>
      <c r="U19">
        <v>0.1019771071800208</v>
      </c>
      <c r="V19">
        <v>6.6924066924066938E-2</v>
      </c>
      <c r="W19">
        <v>0.1869009584664536</v>
      </c>
      <c r="X19">
        <v>-0.47149619263222892</v>
      </c>
      <c r="Y19">
        <v>-4.2821158690176442E-2</v>
      </c>
      <c r="AB19">
        <v>-1.48819501183447E-2</v>
      </c>
      <c r="AC19">
        <v>0</v>
      </c>
      <c r="AD19">
        <v>5.2884615384615419E-2</v>
      </c>
      <c r="AE19">
        <v>0.31829573934837119</v>
      </c>
      <c r="AH19">
        <v>0.40040650406504058</v>
      </c>
      <c r="AI19">
        <v>-1.162790697674421E-2</v>
      </c>
      <c r="AK19">
        <v>8.6206896551723755E-3</v>
      </c>
      <c r="AL19">
        <v>-0.17517075130574519</v>
      </c>
      <c r="AM19">
        <v>2.4554646124217649E-2</v>
      </c>
      <c r="AN19">
        <v>-0.15333333333333329</v>
      </c>
      <c r="AO19">
        <v>-0.1138461538461539</v>
      </c>
      <c r="AP19">
        <v>0.1118760757314974</v>
      </c>
      <c r="AR19">
        <v>0.19047619047619049</v>
      </c>
      <c r="AT19">
        <v>0.13636363636363619</v>
      </c>
      <c r="AV19">
        <v>-1.418439716312048E-2</v>
      </c>
      <c r="AW19">
        <v>-8.4727173018919522E-2</v>
      </c>
      <c r="AX19">
        <v>-0.111317254174397</v>
      </c>
      <c r="AY19">
        <v>4.1884816753926753E-2</v>
      </c>
      <c r="AZ19">
        <v>-2.0332717190388209E-2</v>
      </c>
      <c r="BA19">
        <v>-0.15399610136452249</v>
      </c>
      <c r="BB19">
        <v>2.5291828793774229E-2</v>
      </c>
      <c r="BC19">
        <v>4.4642857142856977E-2</v>
      </c>
      <c r="BD19">
        <v>-9.5374071958880702E-2</v>
      </c>
      <c r="BE19">
        <v>0.30023640661938539</v>
      </c>
      <c r="BF19">
        <v>0.33090024330900231</v>
      </c>
      <c r="BG19">
        <v>3.0629274965800271</v>
      </c>
      <c r="BH19">
        <v>0.1101522842639595</v>
      </c>
      <c r="BJ19">
        <v>4.5454545454545407E-2</v>
      </c>
      <c r="BK19">
        <v>5.4263565891472958E-2</v>
      </c>
      <c r="BL19">
        <v>0.29548929663608559</v>
      </c>
      <c r="BM19">
        <v>0.1883408071748878</v>
      </c>
      <c r="BO19">
        <v>-7.9096045197740161E-2</v>
      </c>
      <c r="BP19">
        <v>0.29868819374369321</v>
      </c>
      <c r="BQ19">
        <v>7.6163610719323094E-2</v>
      </c>
      <c r="BR19">
        <v>5.9523809523809527E-2</v>
      </c>
      <c r="BS19">
        <v>-3.2915817069618318E-2</v>
      </c>
      <c r="BT19">
        <v>-0.13981255616895619</v>
      </c>
      <c r="BV19">
        <v>-0.1428571428571429</v>
      </c>
      <c r="BW19">
        <v>-0.2230415290231241</v>
      </c>
      <c r="BX19">
        <v>1.140130324621969E-2</v>
      </c>
      <c r="BZ19">
        <v>-0.26984126984126988</v>
      </c>
      <c r="CA19">
        <v>-1.6051364365972101E-3</v>
      </c>
      <c r="CB19">
        <v>0.16553607611664181</v>
      </c>
      <c r="CC19">
        <v>6.4161706201086854E-2</v>
      </c>
      <c r="CD19">
        <v>-7.5757575757576801E-3</v>
      </c>
      <c r="CE19">
        <v>0.16086956521739129</v>
      </c>
      <c r="CF19">
        <v>0.1086956521739129</v>
      </c>
      <c r="CJ19">
        <v>-7.5448073031173513E-3</v>
      </c>
      <c r="CK19">
        <v>-1.794310722100656E-2</v>
      </c>
      <c r="CL19">
        <v>-1.9632678910702861E-2</v>
      </c>
      <c r="CN19">
        <v>3.4255599472990728E-2</v>
      </c>
      <c r="CO19">
        <v>0.1111067925946079</v>
      </c>
      <c r="CP19">
        <v>6.8287037037036979E-2</v>
      </c>
      <c r="CQ19">
        <v>-4.087193460490457E-2</v>
      </c>
      <c r="CR19">
        <v>0.17806495309129211</v>
      </c>
      <c r="CS19">
        <v>0.1241379310344828</v>
      </c>
      <c r="CT19">
        <v>2.4647887323943522E-2</v>
      </c>
      <c r="CU19">
        <v>0.38689217758985189</v>
      </c>
      <c r="CV19">
        <v>3.1260318688264732E-2</v>
      </c>
      <c r="CW19">
        <v>9.2102759276879276E-2</v>
      </c>
      <c r="CX19">
        <v>5.7675996607293722E-3</v>
      </c>
      <c r="CY19">
        <v>9.0301003344481767E-2</v>
      </c>
      <c r="CZ19">
        <v>7.6148526263790428E-2</v>
      </c>
      <c r="DA19">
        <v>0.10872274143302189</v>
      </c>
      <c r="DB19">
        <v>-9.7029702970297116E-2</v>
      </c>
      <c r="DC19">
        <v>-0.14740836112765299</v>
      </c>
      <c r="DD19">
        <v>-0.25140562248995968</v>
      </c>
      <c r="DE19">
        <v>-0.25986842105263153</v>
      </c>
      <c r="DF19">
        <v>-2.9474431818181879E-2</v>
      </c>
      <c r="DI19">
        <v>-8.0384615384615388E-2</v>
      </c>
      <c r="DJ19">
        <v>0.25714285714285728</v>
      </c>
      <c r="DK19">
        <v>-0.1823673234575004</v>
      </c>
      <c r="DL19">
        <v>2.0080321285140812E-3</v>
      </c>
      <c r="DM19">
        <v>0.14416058394160561</v>
      </c>
      <c r="DN19">
        <v>-6.4562410329985664E-2</v>
      </c>
      <c r="DP19">
        <v>2.5109191310872969E-2</v>
      </c>
      <c r="DQ19">
        <v>0.13815789473684201</v>
      </c>
      <c r="DR19">
        <v>-5.5141579731743613E-2</v>
      </c>
      <c r="DS19">
        <v>4.5575389289783663E-2</v>
      </c>
      <c r="DU19">
        <v>0.17412494461674791</v>
      </c>
      <c r="DW19">
        <v>0.79466666666666685</v>
      </c>
      <c r="DY19">
        <v>-5.0847457627118731E-2</v>
      </c>
      <c r="DZ19">
        <v>-6.2970568104038338E-2</v>
      </c>
      <c r="EA19">
        <v>0.31313131313131309</v>
      </c>
      <c r="EB19">
        <v>7.2434607645875282E-2</v>
      </c>
      <c r="EC19">
        <v>-0.12631578947368419</v>
      </c>
      <c r="ED19">
        <v>0</v>
      </c>
      <c r="EE19">
        <v>-0.20499999999999999</v>
      </c>
      <c r="EF19">
        <v>0.29839883551673951</v>
      </c>
      <c r="EG19">
        <v>4.6728971962616717E-2</v>
      </c>
      <c r="EH19">
        <v>3.292134831460674</v>
      </c>
      <c r="EI19">
        <v>4.7542592839078912E-2</v>
      </c>
      <c r="EK19">
        <v>-0.37037037037037029</v>
      </c>
      <c r="EL19">
        <v>-0.10097719869706839</v>
      </c>
      <c r="EM19">
        <v>-0.1666666666666666</v>
      </c>
      <c r="EN19">
        <v>9.1758656728941901E-3</v>
      </c>
      <c r="EO19">
        <v>-7.8295341922695605E-2</v>
      </c>
    </row>
    <row r="20" spans="1:145" x14ac:dyDescent="0.25">
      <c r="A20">
        <v>2021</v>
      </c>
      <c r="B20">
        <v>9</v>
      </c>
      <c r="C20">
        <v>-4.657539689031498E-2</v>
      </c>
      <c r="D20">
        <v>1.096758769756345E-4</v>
      </c>
      <c r="E20">
        <v>0.1104256631708822</v>
      </c>
      <c r="F20">
        <v>4.6341463414634188E-2</v>
      </c>
      <c r="H20">
        <v>4.7473200612557331E-2</v>
      </c>
      <c r="J20">
        <v>-3.3062054933875817E-2</v>
      </c>
      <c r="K20">
        <v>-5.3191489361702149E-2</v>
      </c>
      <c r="L20">
        <v>-2.9629629629629669E-2</v>
      </c>
      <c r="M20">
        <v>8.2096933728981192E-2</v>
      </c>
      <c r="P20">
        <v>-4.8034934497816477E-2</v>
      </c>
      <c r="Q20">
        <v>-0.13217696783401031</v>
      </c>
      <c r="R20">
        <v>-4.6746317132583037E-2</v>
      </c>
      <c r="T20">
        <v>-0.15327102803738321</v>
      </c>
      <c r="U20">
        <v>-0.11425873465533511</v>
      </c>
      <c r="V20">
        <v>0.1821471652593489</v>
      </c>
      <c r="W20">
        <v>0.17967698519515499</v>
      </c>
      <c r="X20">
        <v>0.28348909657320892</v>
      </c>
      <c r="Y20">
        <v>-0.24210526315789471</v>
      </c>
      <c r="AB20">
        <v>-0.10768659868563921</v>
      </c>
      <c r="AC20">
        <v>7.763975155279379E-3</v>
      </c>
      <c r="AD20">
        <v>-0.24200913242009139</v>
      </c>
      <c r="AE20">
        <v>-2.0912547528517119E-2</v>
      </c>
      <c r="AH20">
        <v>-0.12917271407837441</v>
      </c>
      <c r="AI20">
        <v>-0.1235294117647059</v>
      </c>
      <c r="AK20">
        <v>-0.10256410256410251</v>
      </c>
      <c r="AL20">
        <v>-3.8480272771553969E-2</v>
      </c>
      <c r="AM20">
        <v>-7.5187969924812137E-2</v>
      </c>
      <c r="AN20">
        <v>-0.18562263050452019</v>
      </c>
      <c r="AO20">
        <v>-6.9444444444444309E-2</v>
      </c>
      <c r="AP20">
        <v>-0.28018575851393179</v>
      </c>
      <c r="AR20">
        <v>-9.7777777777777741E-2</v>
      </c>
      <c r="AT20">
        <v>-4.5714285714285707E-2</v>
      </c>
      <c r="AV20">
        <v>-7.9136690647481966E-2</v>
      </c>
      <c r="AW20">
        <v>-4.4637507489514783E-2</v>
      </c>
      <c r="AX20">
        <v>-0.14822546972860129</v>
      </c>
      <c r="AY20">
        <v>4.020100502512558E-2</v>
      </c>
      <c r="AZ20">
        <v>-0.28113207547169811</v>
      </c>
      <c r="BA20">
        <v>-7.4500768049155064E-2</v>
      </c>
      <c r="BB20">
        <v>-4.3643263757115691E-2</v>
      </c>
      <c r="BC20">
        <v>0.1111111111111112</v>
      </c>
      <c r="BD20">
        <v>4.7979797979798011E-2</v>
      </c>
      <c r="BE20">
        <v>-0.1090909090909091</v>
      </c>
      <c r="BF20">
        <v>-4.7531992687385727E-2</v>
      </c>
      <c r="BG20">
        <v>-5.0168350168350077E-2</v>
      </c>
      <c r="BH20">
        <v>8.6877000457246112E-3</v>
      </c>
      <c r="BJ20">
        <v>-4.9689440993788803E-2</v>
      </c>
      <c r="BK20">
        <v>-0.125</v>
      </c>
      <c r="BL20">
        <v>0.13101209796400101</v>
      </c>
      <c r="BM20">
        <v>-0.1424528301886793</v>
      </c>
      <c r="BO20">
        <v>-9.2024539877300526E-2</v>
      </c>
      <c r="BP20">
        <v>-1.94250194250194E-2</v>
      </c>
      <c r="BQ20">
        <v>9.5019659239842902E-2</v>
      </c>
      <c r="BR20">
        <v>0.15730337078651679</v>
      </c>
      <c r="BS20">
        <v>0.1228915662650603</v>
      </c>
      <c r="BT20">
        <v>-0.16656716417910461</v>
      </c>
      <c r="BV20">
        <v>-0.36944444444444452</v>
      </c>
      <c r="BW20">
        <v>-1.138865689772983E-2</v>
      </c>
      <c r="BX20">
        <v>-6.7175150921638282E-2</v>
      </c>
      <c r="BZ20">
        <v>0.2228260869565217</v>
      </c>
      <c r="CA20">
        <v>6.4308681672025081E-3</v>
      </c>
      <c r="CB20">
        <v>5.3061224489795673E-2</v>
      </c>
      <c r="CC20">
        <v>-0.10546297818095821</v>
      </c>
      <c r="CD20">
        <v>-0.1679389312977099</v>
      </c>
      <c r="CE20">
        <v>3.3707865168539193E-2</v>
      </c>
      <c r="CF20">
        <v>0.27787114845938388</v>
      </c>
      <c r="CJ20">
        <v>-6.5928455742553238E-3</v>
      </c>
      <c r="CK20">
        <v>-4.5603089720736678E-2</v>
      </c>
      <c r="CL20">
        <v>0.16020671834625319</v>
      </c>
      <c r="CN20">
        <v>-0.40955414012738861</v>
      </c>
      <c r="CO20">
        <v>-0.124995627485046</v>
      </c>
      <c r="CP20">
        <v>7.6923076923076872E-2</v>
      </c>
      <c r="CQ20">
        <v>-5.3030303030303087E-2</v>
      </c>
      <c r="CR20">
        <v>-3.2458061104624569E-2</v>
      </c>
      <c r="CS20">
        <v>-0.1539877300613498</v>
      </c>
      <c r="CT20">
        <v>3.09278350515465E-2</v>
      </c>
      <c r="CU20">
        <v>0.1168699186991871</v>
      </c>
      <c r="CV20">
        <v>-0.1132141925981494</v>
      </c>
      <c r="CW20">
        <v>-2.2303537201603049E-2</v>
      </c>
      <c r="CX20">
        <v>-5.548996458087363E-2</v>
      </c>
      <c r="CY20">
        <v>0.3144171779141105</v>
      </c>
      <c r="CZ20">
        <v>-6.6419807868369207E-2</v>
      </c>
      <c r="DA20">
        <v>-9.8061253161000339E-2</v>
      </c>
      <c r="DB20">
        <v>-7.456140350877194E-2</v>
      </c>
      <c r="DC20">
        <v>0.16250024156523241</v>
      </c>
      <c r="DD20">
        <v>-2.9840472912786461E-2</v>
      </c>
      <c r="DE20">
        <v>-0.1111111111111112</v>
      </c>
      <c r="DF20">
        <v>-2.4393218685205501E-2</v>
      </c>
      <c r="DG20">
        <v>-3.3622559652928492E-2</v>
      </c>
      <c r="DI20">
        <v>9.6194061062317093E-2</v>
      </c>
      <c r="DJ20">
        <v>-7.4999999999999956E-2</v>
      </c>
      <c r="DK20">
        <v>9.1996481970096688E-2</v>
      </c>
      <c r="DL20">
        <v>2.0040080160319551E-3</v>
      </c>
      <c r="DM20">
        <v>6.0606060606060767E-2</v>
      </c>
      <c r="DN20">
        <v>-0.18711656441717781</v>
      </c>
      <c r="DP20">
        <v>0.13170539434663461</v>
      </c>
      <c r="DQ20">
        <v>-0.12716763005780349</v>
      </c>
      <c r="DR20">
        <v>-0.11987381703470031</v>
      </c>
      <c r="DS20">
        <v>-3.1238648746821581E-2</v>
      </c>
      <c r="DU20">
        <v>-0.18679245283018861</v>
      </c>
      <c r="DW20">
        <v>-0.22585438335809821</v>
      </c>
      <c r="DY20">
        <v>-8.9285714285714302E-2</v>
      </c>
      <c r="DZ20">
        <v>-0.17531044558071579</v>
      </c>
      <c r="EA20">
        <v>0.1076923076923078</v>
      </c>
      <c r="EB20">
        <v>-0.2814258911819888</v>
      </c>
      <c r="EC20">
        <v>-0.15662650602409639</v>
      </c>
      <c r="ED20">
        <v>-0.1651785714285714</v>
      </c>
      <c r="EE20">
        <v>-6.7421383647798705E-2</v>
      </c>
      <c r="EF20">
        <v>-4.3721973094170467E-2</v>
      </c>
      <c r="EG20">
        <v>0.1160714285714286</v>
      </c>
      <c r="EH20">
        <v>-0.74869109947643975</v>
      </c>
      <c r="EI20">
        <v>-7.3814950406200563E-2</v>
      </c>
      <c r="EK20">
        <v>-0.18235294117647061</v>
      </c>
      <c r="EL20">
        <v>-0.11231884057971001</v>
      </c>
      <c r="EM20">
        <v>-3.2558139534883727E-2</v>
      </c>
      <c r="EN20">
        <v>-5.0938699895730737E-2</v>
      </c>
      <c r="EO20">
        <v>3.225806451612856E-3</v>
      </c>
    </row>
    <row r="21" spans="1:145" x14ac:dyDescent="0.25">
      <c r="A21">
        <v>2021</v>
      </c>
      <c r="B21">
        <v>10</v>
      </c>
      <c r="C21">
        <v>7.0163513619843521E-2</v>
      </c>
      <c r="D21">
        <v>-1.096638494968438E-4</v>
      </c>
      <c r="E21">
        <v>-3.6111111111110983E-2</v>
      </c>
      <c r="F21">
        <v>-0.25174825174825177</v>
      </c>
      <c r="H21">
        <v>-0.1038011695906432</v>
      </c>
      <c r="J21">
        <v>-1.735928458705949E-2</v>
      </c>
      <c r="K21">
        <v>2.8089887640449399E-2</v>
      </c>
      <c r="L21">
        <v>1.5267175572519109E-2</v>
      </c>
      <c r="M21">
        <v>0.13893967093235851</v>
      </c>
      <c r="P21">
        <v>0.17889908256880729</v>
      </c>
      <c r="Q21">
        <v>-9.4750158127767214E-2</v>
      </c>
      <c r="R21">
        <v>5.3541007544414487E-2</v>
      </c>
      <c r="T21">
        <v>0.13686534216335541</v>
      </c>
      <c r="U21">
        <v>0.39339019189765462</v>
      </c>
      <c r="V21">
        <v>-9.1836734693877542E-3</v>
      </c>
      <c r="W21">
        <v>-0.66799771819737597</v>
      </c>
      <c r="X21">
        <v>0.1680825242718447</v>
      </c>
      <c r="Y21">
        <v>-0.13541666666666671</v>
      </c>
      <c r="AB21">
        <v>-1.3014589909141391E-2</v>
      </c>
      <c r="AC21">
        <v>1.5408320493066621E-3</v>
      </c>
      <c r="AD21">
        <v>-8.43373493975903E-2</v>
      </c>
      <c r="AE21">
        <v>8.9320388349514612E-2</v>
      </c>
      <c r="AH21">
        <v>-8.9999999999999969E-2</v>
      </c>
      <c r="AI21">
        <v>-7.3825503355704702E-2</v>
      </c>
      <c r="AK21">
        <v>-0.15028571428571419</v>
      </c>
      <c r="AL21">
        <v>-5.572441742654477E-3</v>
      </c>
      <c r="AM21">
        <v>-8.536585365853655E-2</v>
      </c>
      <c r="AN21">
        <v>0.15971351835273051</v>
      </c>
      <c r="AO21">
        <v>3.7313432835819338E-3</v>
      </c>
      <c r="AP21">
        <v>4.5161290322580649E-2</v>
      </c>
      <c r="AR21">
        <v>-7.8817733990147798E-2</v>
      </c>
      <c r="AT21">
        <v>-0.125748502994012</v>
      </c>
      <c r="AV21">
        <v>0</v>
      </c>
      <c r="AW21">
        <v>3.1044214487300211E-2</v>
      </c>
      <c r="AX21">
        <v>-0.1176470588235294</v>
      </c>
      <c r="AY21">
        <v>-0.14975845410628019</v>
      </c>
      <c r="AZ21">
        <v>2.6246719160105011E-2</v>
      </c>
      <c r="BA21">
        <v>-0.25809128630705402</v>
      </c>
      <c r="BB21">
        <v>0.14285714285714279</v>
      </c>
      <c r="BC21">
        <v>-5.3846153846153773E-2</v>
      </c>
      <c r="BD21">
        <v>-6.0240963855422436E-3</v>
      </c>
      <c r="BE21">
        <v>-0.2204081632653061</v>
      </c>
      <c r="BF21">
        <v>0.10076775431861811</v>
      </c>
      <c r="BG21">
        <v>-0.21517192484934419</v>
      </c>
      <c r="BH21">
        <v>0.14732547597461479</v>
      </c>
      <c r="BJ21">
        <v>-6.5359477124182996E-2</v>
      </c>
      <c r="BK21">
        <v>-0.1008403361344538</v>
      </c>
      <c r="BL21">
        <v>8.1920166971040986E-2</v>
      </c>
      <c r="BM21">
        <v>0.1100110011001101</v>
      </c>
      <c r="BO21">
        <v>-5.4054054054054057E-2</v>
      </c>
      <c r="BP21">
        <v>-0.14817749603803479</v>
      </c>
      <c r="BQ21">
        <v>4.4284859365649298E-2</v>
      </c>
      <c r="BR21">
        <v>-0.23495145631067971</v>
      </c>
      <c r="BS21">
        <v>0.15531115879828319</v>
      </c>
      <c r="BT21">
        <v>-4.3696275071633213E-2</v>
      </c>
      <c r="BV21">
        <v>-6.1674008810572722E-2</v>
      </c>
      <c r="BW21">
        <v>2.173412180324075E-2</v>
      </c>
      <c r="BX21">
        <v>8.545192900705656E-3</v>
      </c>
      <c r="BZ21">
        <v>-0.15555555555555561</v>
      </c>
      <c r="CA21">
        <v>-1.1182108626197951E-2</v>
      </c>
      <c r="CB21">
        <v>4.7516508756818787E-2</v>
      </c>
      <c r="CC21">
        <v>0.1026183486509875</v>
      </c>
      <c r="CD21">
        <v>-4.5871559633027581E-2</v>
      </c>
      <c r="CE21">
        <v>0.35869565217391308</v>
      </c>
      <c r="CF21">
        <v>-0.19991231915826399</v>
      </c>
      <c r="CJ21">
        <v>0.1722798654368134</v>
      </c>
      <c r="CK21">
        <v>-0.17509727626459151</v>
      </c>
      <c r="CL21">
        <v>-0.15590200445434299</v>
      </c>
      <c r="CN21">
        <v>9.2772384034519817E-2</v>
      </c>
      <c r="CO21">
        <v>-0.2845701797636021</v>
      </c>
      <c r="CP21">
        <v>-7.7464788732394374E-2</v>
      </c>
      <c r="CQ21">
        <v>-0.33600000000000008</v>
      </c>
      <c r="CR21">
        <v>0.12076674503820151</v>
      </c>
      <c r="CS21">
        <v>-0.54532269760696161</v>
      </c>
      <c r="CT21">
        <v>-0.1166666666666667</v>
      </c>
      <c r="CU21">
        <v>6.5059144676979042E-2</v>
      </c>
      <c r="CV21">
        <v>1.8569144271934679E-2</v>
      </c>
      <c r="CW21">
        <v>6.9149884156121999E-2</v>
      </c>
      <c r="CX21">
        <v>-6.6428571428571392E-2</v>
      </c>
      <c r="CY21">
        <v>-0.19253208868144689</v>
      </c>
      <c r="CZ21">
        <v>1.697160745406778E-2</v>
      </c>
      <c r="DA21">
        <v>-0.26697819314641752</v>
      </c>
      <c r="DB21">
        <v>-5.6279620853080581E-2</v>
      </c>
      <c r="DC21">
        <v>-4.6059912321115497E-2</v>
      </c>
      <c r="DD21">
        <v>0.13269479570969489</v>
      </c>
      <c r="DE21">
        <v>-0.13000000000000009</v>
      </c>
      <c r="DF21">
        <v>8.7635954494311719E-2</v>
      </c>
      <c r="DG21">
        <v>0.29068462401795719</v>
      </c>
      <c r="DI21">
        <v>-0.10454025181228541</v>
      </c>
      <c r="DJ21">
        <v>-0.14004914004914021</v>
      </c>
      <c r="DK21">
        <v>-0.30525128865979378</v>
      </c>
      <c r="DL21">
        <v>2.0500000000001069E-3</v>
      </c>
      <c r="DM21">
        <v>-0.11578947368421059</v>
      </c>
      <c r="DN21">
        <v>-5.471698113207546E-2</v>
      </c>
      <c r="DP21">
        <v>-2.4346960776183701E-2</v>
      </c>
      <c r="DQ21">
        <v>-2.6490066225165591E-2</v>
      </c>
      <c r="DR21">
        <v>3.9426523297491078E-2</v>
      </c>
      <c r="DS21">
        <v>0.11923509561304831</v>
      </c>
      <c r="DU21">
        <v>0.28816705336426912</v>
      </c>
      <c r="DW21">
        <v>-8.8291746641074864E-2</v>
      </c>
      <c r="DY21">
        <v>-0.13725490196078419</v>
      </c>
      <c r="DZ21">
        <v>-8.7688219663418776E-2</v>
      </c>
      <c r="EA21">
        <v>0.33055555555555549</v>
      </c>
      <c r="EB21">
        <v>-9.6605744125326409E-2</v>
      </c>
      <c r="EC21">
        <v>-0.16071428571428559</v>
      </c>
      <c r="ED21">
        <v>-8.0213903743315496E-2</v>
      </c>
      <c r="EE21">
        <v>-1.807391421634752E-2</v>
      </c>
      <c r="EF21">
        <v>-4.2203985932004577E-2</v>
      </c>
      <c r="EG21">
        <v>7.2000000000000952E-3</v>
      </c>
      <c r="EH21">
        <v>-0.12916666666666671</v>
      </c>
      <c r="EI21">
        <v>-1.476489350756249E-2</v>
      </c>
      <c r="EK21">
        <v>-3.5971223021582732E-2</v>
      </c>
      <c r="EL21">
        <v>-0.24081632653061219</v>
      </c>
      <c r="EM21">
        <v>-0.14903846153846151</v>
      </c>
      <c r="EN21">
        <v>0.1149388544028547</v>
      </c>
      <c r="EO21">
        <v>1.8220793140407251E-2</v>
      </c>
    </row>
    <row r="22" spans="1:145" x14ac:dyDescent="0.25">
      <c r="A22">
        <v>2021</v>
      </c>
      <c r="B22">
        <v>11</v>
      </c>
      <c r="C22">
        <v>-8.0348835664538765E-3</v>
      </c>
      <c r="D22">
        <v>-2.1935175395149109E-4</v>
      </c>
      <c r="E22">
        <v>-0.26224783861671469</v>
      </c>
      <c r="F22">
        <v>-0.13395638629283491</v>
      </c>
      <c r="H22">
        <v>-0.2039151712887439</v>
      </c>
      <c r="J22">
        <v>4.7109207708779348E-2</v>
      </c>
      <c r="K22">
        <v>-0.23861566484517319</v>
      </c>
      <c r="L22">
        <v>-9.7744360902255689E-2</v>
      </c>
      <c r="M22">
        <v>0.10058855002675229</v>
      </c>
      <c r="P22">
        <v>0.1478599221789885</v>
      </c>
      <c r="Q22">
        <v>-0.1196198993851314</v>
      </c>
      <c r="R22">
        <v>-0.1267036267036267</v>
      </c>
      <c r="T22">
        <v>0.37864077669902901</v>
      </c>
      <c r="U22">
        <v>3.136954858454466E-2</v>
      </c>
      <c r="V22">
        <v>-7.723995880535528E-2</v>
      </c>
      <c r="W22">
        <v>-0.30498281786941578</v>
      </c>
      <c r="X22">
        <v>-0.1028571428571429</v>
      </c>
      <c r="Y22">
        <v>-0.2128514056224898</v>
      </c>
      <c r="AB22">
        <v>-8.167834286069342E-2</v>
      </c>
      <c r="AC22">
        <v>-2.0512820512820218E-3</v>
      </c>
      <c r="AD22">
        <v>-0.1578947368421052</v>
      </c>
      <c r="AE22">
        <v>-0.2168746286393346</v>
      </c>
      <c r="AH22">
        <v>-0.3278388278388279</v>
      </c>
      <c r="AI22">
        <v>-0.1884057971014492</v>
      </c>
      <c r="AK22">
        <v>6.0524546065905396E-3</v>
      </c>
      <c r="AL22">
        <v>-0.1044319918492105</v>
      </c>
      <c r="AM22">
        <v>0.16666666666666671</v>
      </c>
      <c r="AN22">
        <v>-4.2766712984406263E-2</v>
      </c>
      <c r="AO22">
        <v>0.86988847583643136</v>
      </c>
      <c r="AP22">
        <v>2.4691358024691471E-2</v>
      </c>
      <c r="AR22">
        <v>-9.6256684491978661E-2</v>
      </c>
      <c r="AT22">
        <v>0.23287671232876719</v>
      </c>
      <c r="AV22">
        <v>-0.22671875000000011</v>
      </c>
      <c r="AW22">
        <v>-0.12591240875912421</v>
      </c>
      <c r="AX22">
        <v>-6.1111111111111123E-2</v>
      </c>
      <c r="AY22">
        <v>-0.26136363636363641</v>
      </c>
      <c r="AZ22">
        <v>-0.2915601023017903</v>
      </c>
      <c r="BA22">
        <v>-2.3489932885905951E-2</v>
      </c>
      <c r="BB22">
        <v>-0.32291666666666657</v>
      </c>
      <c r="BC22">
        <v>-0.38219512195121952</v>
      </c>
      <c r="BD22">
        <v>5.5757575757575888E-2</v>
      </c>
      <c r="BE22">
        <v>-4.450261780104714E-2</v>
      </c>
      <c r="BF22">
        <v>0.37750653879686152</v>
      </c>
      <c r="BG22">
        <v>-0.34507678410117443</v>
      </c>
      <c r="BH22">
        <v>4.5831687080205352E-2</v>
      </c>
      <c r="BJ22">
        <v>-0.13286713286713289</v>
      </c>
      <c r="BK22">
        <v>-0.2345794392523364</v>
      </c>
      <c r="BL22">
        <v>-0.17795997106341921</v>
      </c>
      <c r="BM22">
        <v>-8.9197224975222644E-3</v>
      </c>
      <c r="BO22">
        <v>-6.4285714285714168E-2</v>
      </c>
      <c r="BP22">
        <v>0.33069767441860448</v>
      </c>
      <c r="BQ22">
        <v>-4.1833810888252221E-2</v>
      </c>
      <c r="BR22">
        <v>-7.6142131979695096E-3</v>
      </c>
      <c r="BS22">
        <v>-6.0134664499651769E-2</v>
      </c>
      <c r="BT22">
        <v>-8.0524344569288364E-2</v>
      </c>
      <c r="BV22">
        <v>-0.38497652582159619</v>
      </c>
      <c r="BW22">
        <v>-9.8992784125075062E-2</v>
      </c>
      <c r="BX22">
        <v>-3.6315456898836078E-2</v>
      </c>
      <c r="BZ22">
        <v>-0.20526315789473679</v>
      </c>
      <c r="CA22">
        <v>-0.14378029079159951</v>
      </c>
      <c r="CB22">
        <v>0.10949705358366429</v>
      </c>
      <c r="CC22">
        <v>-2.3190257653272761E-2</v>
      </c>
      <c r="CD22">
        <v>5.7692307692307709E-2</v>
      </c>
      <c r="CE22">
        <v>0.1066666666666667</v>
      </c>
      <c r="CF22">
        <v>-0.23287671232876719</v>
      </c>
      <c r="CJ22">
        <v>-0.14923269178926049</v>
      </c>
      <c r="CK22">
        <v>-5.6603773584905648E-2</v>
      </c>
      <c r="CL22">
        <v>-0.25725593667546182</v>
      </c>
      <c r="CN22">
        <v>-0.34057255676209269</v>
      </c>
      <c r="CO22">
        <v>2.555505885859044E-2</v>
      </c>
      <c r="CP22">
        <v>-2.181025081788435E-2</v>
      </c>
      <c r="CQ22">
        <v>3.012048192771077E-2</v>
      </c>
      <c r="CR22">
        <v>-0.19749769274573081</v>
      </c>
      <c r="CS22">
        <v>0.14832535885167461</v>
      </c>
      <c r="CT22">
        <v>-0.39999999999999991</v>
      </c>
      <c r="CU22">
        <v>-0.17898334045279801</v>
      </c>
      <c r="CV22">
        <v>-0.1021978021978022</v>
      </c>
      <c r="CW22">
        <v>-6.7344557426237683E-2</v>
      </c>
      <c r="CX22">
        <v>6.5034429992347764E-3</v>
      </c>
      <c r="CY22">
        <v>-0.21098265895953761</v>
      </c>
      <c r="CZ22">
        <v>0.23932096858673901</v>
      </c>
      <c r="DA22">
        <v>-0.23756906077348061</v>
      </c>
      <c r="DB22">
        <v>-0.1098556183301946</v>
      </c>
      <c r="DC22">
        <v>-0.18693410541043171</v>
      </c>
      <c r="DD22">
        <v>6.6211013061660662E-2</v>
      </c>
      <c r="DE22">
        <v>0.64367816091954055</v>
      </c>
      <c r="DF22">
        <v>-0.23333333333333331</v>
      </c>
      <c r="DG22">
        <v>0.28869565217391302</v>
      </c>
      <c r="DI22">
        <v>-0.23902854708138041</v>
      </c>
      <c r="DJ22">
        <v>3.7142857142857137E-2</v>
      </c>
      <c r="DK22">
        <v>0.2402040343148619</v>
      </c>
      <c r="DL22">
        <v>3.0437602914026311E-3</v>
      </c>
      <c r="DM22">
        <v>-0.26190476190476192</v>
      </c>
      <c r="DN22">
        <v>0.47305389221556893</v>
      </c>
      <c r="DP22">
        <v>0.13175922620565389</v>
      </c>
      <c r="DQ22">
        <v>-0.15646258503401361</v>
      </c>
      <c r="DR22">
        <v>-8.6206896551724088E-2</v>
      </c>
      <c r="DS22">
        <v>4.020100502512447E-3</v>
      </c>
      <c r="DU22">
        <v>-4.17867435158501E-2</v>
      </c>
      <c r="DW22">
        <v>-0.20526315789473679</v>
      </c>
      <c r="DY22">
        <v>-0.25931818181818189</v>
      </c>
      <c r="DZ22">
        <v>-1.7475728155339931E-2</v>
      </c>
      <c r="EA22">
        <v>-0.20041753653444669</v>
      </c>
      <c r="EB22">
        <v>-0.13294797687861271</v>
      </c>
      <c r="EC22">
        <v>-0.15353191489361709</v>
      </c>
      <c r="ED22">
        <v>-0.16284883720930229</v>
      </c>
      <c r="EE22">
        <v>-0.32005494505494497</v>
      </c>
      <c r="EF22">
        <v>-8.2007343941248423E-2</v>
      </c>
      <c r="EG22">
        <v>-0.1779189833200954</v>
      </c>
      <c r="EH22">
        <v>0.1196172248803828</v>
      </c>
      <c r="EI22">
        <v>-7.0170400153168666E-2</v>
      </c>
      <c r="EK22">
        <v>-0.23134328358208969</v>
      </c>
      <c r="EL22">
        <v>0.1236559139784945</v>
      </c>
      <c r="EM22">
        <v>-5.0847457627118731E-2</v>
      </c>
      <c r="EN22">
        <v>2.701194095817239E-2</v>
      </c>
      <c r="EO22">
        <v>-0.1757894736842105</v>
      </c>
    </row>
    <row r="23" spans="1:145" x14ac:dyDescent="0.25">
      <c r="A23">
        <v>2021</v>
      </c>
      <c r="B23">
        <v>12</v>
      </c>
      <c r="C23">
        <v>4.628842196021532E-2</v>
      </c>
      <c r="D23">
        <v>0</v>
      </c>
      <c r="E23">
        <v>0.13593749999999979</v>
      </c>
      <c r="F23">
        <v>-2.877697841726623E-2</v>
      </c>
      <c r="H23">
        <v>-0.1618852459016393</v>
      </c>
      <c r="J23">
        <v>0.19069529652351741</v>
      </c>
      <c r="K23">
        <v>0.14593301435406711</v>
      </c>
      <c r="L23">
        <v>2.500000000000013E-2</v>
      </c>
      <c r="M23">
        <v>0.1200777831793873</v>
      </c>
      <c r="P23">
        <v>-0.34067796610169498</v>
      </c>
      <c r="Q23">
        <v>-0.17619047619047609</v>
      </c>
      <c r="R23">
        <v>8.6364237534717558E-2</v>
      </c>
      <c r="T23">
        <v>0.53521126760563398</v>
      </c>
      <c r="U23">
        <v>-3.3382789317507489E-2</v>
      </c>
      <c r="V23">
        <v>-9.8214285714285809E-2</v>
      </c>
      <c r="W23">
        <v>0.1050679851668725</v>
      </c>
      <c r="X23">
        <v>9.3804284887087475E-2</v>
      </c>
      <c r="Y23">
        <v>-0.31122448979591838</v>
      </c>
      <c r="Z23">
        <v>0.25542570951585991</v>
      </c>
      <c r="AB23">
        <v>0.16259676113189131</v>
      </c>
      <c r="AC23">
        <v>7.194244604316502E-3</v>
      </c>
      <c r="AD23">
        <v>-0.28515625</v>
      </c>
      <c r="AE23">
        <v>-7.5872534142640391E-2</v>
      </c>
      <c r="AF23">
        <v>-0.27188940092165892</v>
      </c>
      <c r="AH23">
        <v>-0.25068119891008178</v>
      </c>
      <c r="AI23">
        <v>-0.37285714285714289</v>
      </c>
      <c r="AJ23">
        <v>-0.61337209302325579</v>
      </c>
      <c r="AK23">
        <v>-0.27584670231729058</v>
      </c>
      <c r="AL23">
        <v>6.2571103526735117E-2</v>
      </c>
      <c r="AM23">
        <v>-5.7142857142857162E-2</v>
      </c>
      <c r="AN23">
        <v>-0.22161290322580651</v>
      </c>
      <c r="AO23">
        <v>-7.1570576540755493E-2</v>
      </c>
      <c r="AP23">
        <v>-8.6345381526104492E-2</v>
      </c>
      <c r="AR23">
        <v>-8.8757396449704151E-2</v>
      </c>
      <c r="AT23">
        <v>0.1111111111111109</v>
      </c>
      <c r="AV23">
        <v>-3.940189937361005E-3</v>
      </c>
      <c r="AW23">
        <v>-1.252609603340293E-2</v>
      </c>
      <c r="AX23">
        <v>-0.33431952662721892</v>
      </c>
      <c r="AY23">
        <v>-0.2846153846153846</v>
      </c>
      <c r="AZ23">
        <v>0.1750902527075813</v>
      </c>
      <c r="BA23">
        <v>-0.42726231386025199</v>
      </c>
      <c r="BB23">
        <v>0.1000000000000001</v>
      </c>
      <c r="BC23">
        <v>-0.27622055533622852</v>
      </c>
      <c r="BD23">
        <v>-0.1228473019517797</v>
      </c>
      <c r="BE23">
        <v>9.5890410958904049E-2</v>
      </c>
      <c r="BF23">
        <v>-0.22531645569620251</v>
      </c>
      <c r="BG23">
        <v>0.2200000000000002</v>
      </c>
      <c r="BH23">
        <v>-0.1186248583301851</v>
      </c>
      <c r="BJ23">
        <v>-8.064516129032262E-2</v>
      </c>
      <c r="BK23">
        <v>-0.19426129426129429</v>
      </c>
      <c r="BL23">
        <v>0.25080668817835128</v>
      </c>
      <c r="BM23">
        <v>-0.1359999999999999</v>
      </c>
      <c r="BO23">
        <v>-0.25458015267175571</v>
      </c>
      <c r="BP23">
        <v>-0.1233834323663056</v>
      </c>
      <c r="BQ23">
        <v>3.1698564593301448E-2</v>
      </c>
      <c r="BR23">
        <v>-4.6035805626598481E-2</v>
      </c>
      <c r="BS23">
        <v>0.2929841897233203</v>
      </c>
      <c r="BT23">
        <v>-0.20203665987780051</v>
      </c>
      <c r="BV23">
        <v>-0.20610687022900759</v>
      </c>
      <c r="BW23">
        <v>6.2818052890631471E-2</v>
      </c>
      <c r="BX23">
        <v>9.7095017915536763E-2</v>
      </c>
      <c r="BZ23">
        <v>0</v>
      </c>
      <c r="CA23">
        <v>-0.23962264150943391</v>
      </c>
      <c r="CB23">
        <v>-4.6072134387351693E-2</v>
      </c>
      <c r="CC23">
        <v>0.1136105674495396</v>
      </c>
      <c r="CD23">
        <v>-9.8999999999999866E-2</v>
      </c>
      <c r="CE23">
        <v>0.17349397590361451</v>
      </c>
      <c r="CF23">
        <v>-0.22142857142857131</v>
      </c>
      <c r="CJ23">
        <v>3.266893807812532E-2</v>
      </c>
      <c r="CK23">
        <v>-0.24679999999999999</v>
      </c>
      <c r="CL23">
        <v>0.19982238010657191</v>
      </c>
      <c r="CN23">
        <v>-0.28443113772455092</v>
      </c>
      <c r="CO23">
        <v>0.57008717762440964</v>
      </c>
      <c r="CP23">
        <v>-5.2396878483835119E-2</v>
      </c>
      <c r="CQ23">
        <v>1.9005847953216248E-2</v>
      </c>
      <c r="CR23">
        <v>4.1735484949696262E-2</v>
      </c>
      <c r="CS23">
        <v>-0.10694444444444449</v>
      </c>
      <c r="CT23">
        <v>1.8867924528301879E-2</v>
      </c>
      <c r="CU23">
        <v>-0.25702393340270552</v>
      </c>
      <c r="CV23">
        <v>4.2371495129421399E-2</v>
      </c>
      <c r="CW23">
        <v>8.4003574620196586E-2</v>
      </c>
      <c r="CX23">
        <v>0.14348156594450789</v>
      </c>
      <c r="CY23">
        <v>-0.10256410256410251</v>
      </c>
      <c r="CZ23">
        <v>9.9013205661984571E-2</v>
      </c>
      <c r="DA23">
        <v>9.6432552954292206E-2</v>
      </c>
      <c r="DB23">
        <v>-4.7954866008462549E-2</v>
      </c>
      <c r="DC23">
        <v>6.6754848468147499E-2</v>
      </c>
      <c r="DD23">
        <v>0.14171922246220331</v>
      </c>
      <c r="DE23">
        <v>0.16433566433566421</v>
      </c>
      <c r="DF23">
        <v>-0.34392803598200888</v>
      </c>
      <c r="DG23">
        <v>-0.44838056680161942</v>
      </c>
      <c r="DI23">
        <v>0.26147816349384101</v>
      </c>
      <c r="DJ23">
        <v>-0.20385674931129469</v>
      </c>
      <c r="DK23">
        <v>-0.18302486446064681</v>
      </c>
      <c r="DL23">
        <v>-1.094418465824365E-3</v>
      </c>
      <c r="DM23">
        <v>0.1566820276497696</v>
      </c>
      <c r="DN23">
        <v>-0.1734417344173442</v>
      </c>
      <c r="DP23">
        <v>-7.8434317642464446E-2</v>
      </c>
      <c r="DQ23">
        <v>-0.2106451612903226</v>
      </c>
      <c r="DR23">
        <v>-0.1396226415094339</v>
      </c>
      <c r="DS23">
        <v>-2.702702702702697E-2</v>
      </c>
      <c r="DU23">
        <v>-0.15413533834586471</v>
      </c>
      <c r="DW23">
        <v>-6.3576158940397254E-2</v>
      </c>
      <c r="DY23">
        <v>-0.14053390610616739</v>
      </c>
      <c r="DZ23">
        <v>-0.30533596837944649</v>
      </c>
      <c r="EA23">
        <v>-0.20887728459530031</v>
      </c>
      <c r="EB23">
        <v>-0.15</v>
      </c>
      <c r="EC23">
        <v>-0.2135531872109391</v>
      </c>
      <c r="ED23">
        <v>-0.29161747343565531</v>
      </c>
      <c r="EE23">
        <v>-0.28181818181818191</v>
      </c>
      <c r="EF23">
        <v>-0.2146666666666667</v>
      </c>
      <c r="EG23">
        <v>-0.114975845410628</v>
      </c>
      <c r="EH23">
        <v>-0.26709401709401709</v>
      </c>
      <c r="EI23">
        <v>9.9108037026290896E-2</v>
      </c>
      <c r="EJ23">
        <v>1.0687022900763401E-2</v>
      </c>
      <c r="EK23">
        <v>-9.7087378640776656E-3</v>
      </c>
      <c r="EL23">
        <v>0.40191387559808622</v>
      </c>
      <c r="EM23">
        <v>-0.3571428571428571</v>
      </c>
      <c r="EN23">
        <v>9.9035884213357628E-2</v>
      </c>
      <c r="EO23">
        <v>0.112388250319285</v>
      </c>
    </row>
    <row r="24" spans="1:145" x14ac:dyDescent="0.25">
      <c r="A24">
        <v>2022</v>
      </c>
      <c r="B24">
        <v>1</v>
      </c>
      <c r="C24">
        <v>-5.2741390128007382E-2</v>
      </c>
      <c r="D24">
        <v>0</v>
      </c>
      <c r="E24">
        <v>-0.24896836313617601</v>
      </c>
      <c r="F24">
        <v>-0.2296296296296296</v>
      </c>
      <c r="H24">
        <v>-0.25672371638141811</v>
      </c>
      <c r="J24">
        <v>-8.587376556462023E-3</v>
      </c>
      <c r="K24">
        <v>-7.5156576200417602E-2</v>
      </c>
      <c r="L24">
        <v>7.4796747967479593E-2</v>
      </c>
      <c r="M24">
        <v>-0.12282986111111099</v>
      </c>
      <c r="P24">
        <v>-0.30077120822622111</v>
      </c>
      <c r="Q24">
        <v>-0.1907514450867053</v>
      </c>
      <c r="R24">
        <v>-0.1296566837107378</v>
      </c>
      <c r="T24">
        <v>0.18807339449541269</v>
      </c>
      <c r="U24">
        <v>-0.20951650038372971</v>
      </c>
      <c r="V24">
        <v>-0.25495049504950501</v>
      </c>
      <c r="W24">
        <v>-0.2013422818791947</v>
      </c>
      <c r="X24">
        <v>-0.27368978295394392</v>
      </c>
      <c r="Y24">
        <v>-2.9629629629629669E-2</v>
      </c>
      <c r="Z24">
        <v>-0.54920212765957444</v>
      </c>
      <c r="AB24">
        <v>4.9877964942656172E-2</v>
      </c>
      <c r="AC24">
        <v>4.0816326530610514E-3</v>
      </c>
      <c r="AD24">
        <v>-0.26229508196721318</v>
      </c>
      <c r="AE24">
        <v>-4.9261083743842297E-2</v>
      </c>
      <c r="AF24">
        <v>-0.30379746835443028</v>
      </c>
      <c r="AH24">
        <v>-0.29090909090909089</v>
      </c>
      <c r="AI24">
        <v>-0.14436218678815491</v>
      </c>
      <c r="AJ24">
        <v>-0.23308270676691731</v>
      </c>
      <c r="AK24">
        <v>-0.13076923076923069</v>
      </c>
      <c r="AL24">
        <v>-4.4432548179871412E-2</v>
      </c>
      <c r="AM24">
        <v>-5.2020202020202078E-2</v>
      </c>
      <c r="AN24">
        <v>-0.15043514297554911</v>
      </c>
      <c r="AO24">
        <v>-0.28051391862955027</v>
      </c>
      <c r="AP24">
        <v>-7.0329670329670191E-2</v>
      </c>
      <c r="AR24">
        <v>-1.9480519480519431E-2</v>
      </c>
      <c r="AT24">
        <v>-0.215</v>
      </c>
      <c r="AU24">
        <v>-7.4349442379182404E-3</v>
      </c>
      <c r="AV24">
        <v>-0.23227507860837809</v>
      </c>
      <c r="AW24">
        <v>-8.2452431289640638E-2</v>
      </c>
      <c r="AX24">
        <v>-0.38222222222222219</v>
      </c>
      <c r="AY24">
        <v>-0.31580645161290322</v>
      </c>
      <c r="AZ24">
        <v>0.13978494623655921</v>
      </c>
      <c r="BA24">
        <v>-0.14199999999999999</v>
      </c>
      <c r="BB24">
        <v>-0.13752913752913751</v>
      </c>
      <c r="BC24">
        <v>-8.7272727272728057E-3</v>
      </c>
      <c r="BD24">
        <v>-0.1099476439790575</v>
      </c>
      <c r="BE24">
        <v>-0.23</v>
      </c>
      <c r="BF24">
        <v>-0.23447712418300659</v>
      </c>
      <c r="BG24">
        <v>-0.31260599208592432</v>
      </c>
      <c r="BH24">
        <v>-0.27218174024860692</v>
      </c>
      <c r="BJ24">
        <v>-0.1402631578947369</v>
      </c>
      <c r="BK24">
        <v>-0.14108198211850281</v>
      </c>
      <c r="BL24">
        <v>-0.1590056285178236</v>
      </c>
      <c r="BM24">
        <v>-0.1319444444444445</v>
      </c>
      <c r="BO24">
        <v>-1.8945212493599709E-2</v>
      </c>
      <c r="BP24">
        <v>-0.2240829346092503</v>
      </c>
      <c r="BQ24">
        <v>-7.072463768115933E-2</v>
      </c>
      <c r="BR24">
        <v>-0.15013404825737259</v>
      </c>
      <c r="BS24">
        <v>-9.2663354986625923E-2</v>
      </c>
      <c r="BT24">
        <v>-0.12557427258805509</v>
      </c>
      <c r="BV24">
        <v>-0.21769230769230771</v>
      </c>
      <c r="BW24">
        <v>9.0345368916797453E-2</v>
      </c>
      <c r="BX24">
        <v>7.1315922402723766E-3</v>
      </c>
      <c r="BZ24">
        <v>-0.49006622516556297</v>
      </c>
      <c r="CA24">
        <v>-7.4441687344913854E-3</v>
      </c>
      <c r="CB24">
        <v>-0.19312443351029401</v>
      </c>
      <c r="CC24">
        <v>-0.1116138379997266</v>
      </c>
      <c r="CD24">
        <v>2.9159519725557411E-2</v>
      </c>
      <c r="CE24">
        <v>0.16221765913757699</v>
      </c>
      <c r="CF24">
        <v>-6.1926605504587277E-2</v>
      </c>
      <c r="CJ24">
        <v>6.3153306357486283E-2</v>
      </c>
      <c r="CK24">
        <v>-0.20313329792883689</v>
      </c>
      <c r="CL24">
        <v>-0.17690599555884531</v>
      </c>
      <c r="CN24">
        <v>-0.37866108786610869</v>
      </c>
      <c r="CO24">
        <v>-0.56646115050492196</v>
      </c>
      <c r="CP24">
        <v>-0.28235294117647058</v>
      </c>
      <c r="CQ24">
        <v>-0.18794835007173591</v>
      </c>
      <c r="CR24">
        <v>4.7947699113312092E-2</v>
      </c>
      <c r="CS24">
        <v>-6.6874027993779173E-2</v>
      </c>
      <c r="CT24">
        <v>0.41975308641975301</v>
      </c>
      <c r="CU24">
        <v>-0.37254901960784298</v>
      </c>
      <c r="CV24">
        <v>-5.4848188050930502E-2</v>
      </c>
      <c r="CW24">
        <v>-6.9249793899422873E-2</v>
      </c>
      <c r="CX24">
        <v>4.3210902443078007E-2</v>
      </c>
      <c r="CY24">
        <v>-0.24489795918367349</v>
      </c>
      <c r="CZ24">
        <v>-0.1010162164720546</v>
      </c>
      <c r="DA24">
        <v>-0.1459074733096086</v>
      </c>
      <c r="DB24">
        <v>-0.13111111111111109</v>
      </c>
      <c r="DC24">
        <v>-2.1334672789896762E-2</v>
      </c>
      <c r="DD24">
        <v>9.0651815306383998E-3</v>
      </c>
      <c r="DE24">
        <v>-0.48048048048048042</v>
      </c>
      <c r="DF24">
        <v>-9.7577696526508384E-2</v>
      </c>
      <c r="DG24">
        <v>0.26788990825688058</v>
      </c>
      <c r="DI24">
        <v>-0.18375499334221029</v>
      </c>
      <c r="DJ24">
        <v>-0.41522491349480972</v>
      </c>
      <c r="DK24">
        <v>1.2585812356979311E-2</v>
      </c>
      <c r="DL24">
        <v>4.980079681274896E-3</v>
      </c>
      <c r="DM24">
        <v>-0.14143426294820721</v>
      </c>
      <c r="DN24">
        <v>-0.19672131147540969</v>
      </c>
      <c r="DP24">
        <v>-0.1343144924701741</v>
      </c>
      <c r="DQ24">
        <v>-2.9423784225582339E-2</v>
      </c>
      <c r="DR24">
        <v>-0.16885964912280699</v>
      </c>
      <c r="DS24">
        <v>5.7956104252400609E-2</v>
      </c>
      <c r="DU24">
        <v>-0.108</v>
      </c>
      <c r="DW24">
        <v>-0.1131541725601133</v>
      </c>
      <c r="DY24">
        <v>-0.1420921099607283</v>
      </c>
      <c r="DZ24">
        <v>-0.15220483641536281</v>
      </c>
      <c r="EA24">
        <v>-0.27722772277227731</v>
      </c>
      <c r="EB24">
        <v>-0.2352941176470589</v>
      </c>
      <c r="EC24">
        <v>-0.1847353618000511</v>
      </c>
      <c r="ED24">
        <v>2.5588235294117689E-2</v>
      </c>
      <c r="EE24">
        <v>-0.14627285513361449</v>
      </c>
      <c r="EF24">
        <v>-0.1171477079796264</v>
      </c>
      <c r="EG24">
        <v>-0.1058951965065503</v>
      </c>
      <c r="EH24">
        <v>-0.37900874635568521</v>
      </c>
      <c r="EI24">
        <v>0.1064275495605969</v>
      </c>
      <c r="EJ24">
        <v>-0.18126888217522649</v>
      </c>
      <c r="EK24">
        <v>-0.39088235294117651</v>
      </c>
      <c r="EL24">
        <v>-0.279863481228669</v>
      </c>
      <c r="EM24">
        <v>-3.703703703703709E-2</v>
      </c>
      <c r="EN24">
        <v>-0.17996243785177601</v>
      </c>
      <c r="EO24">
        <v>-0.172215843857635</v>
      </c>
    </row>
    <row r="25" spans="1:145" x14ac:dyDescent="0.25">
      <c r="A25">
        <v>2022</v>
      </c>
      <c r="B25">
        <v>2</v>
      </c>
      <c r="C25">
        <v>-2.9516988798389598E-2</v>
      </c>
      <c r="D25">
        <v>-2.181672961059089E-4</v>
      </c>
      <c r="E25">
        <v>0.36446886446886451</v>
      </c>
      <c r="F25">
        <v>-9.6153846153845812E-3</v>
      </c>
      <c r="H25">
        <v>-0.1792763157894737</v>
      </c>
      <c r="J25">
        <v>0.20008661758336951</v>
      </c>
      <c r="K25">
        <v>2.257336343115135E-2</v>
      </c>
      <c r="L25">
        <v>0.1028744326777609</v>
      </c>
      <c r="M25">
        <v>-7.3478476001979209E-2</v>
      </c>
      <c r="P25">
        <v>2.5735294117646971E-2</v>
      </c>
      <c r="Q25">
        <v>-5.4047619047619011E-2</v>
      </c>
      <c r="R25">
        <v>-9.3439641907959059E-2</v>
      </c>
      <c r="T25">
        <v>-0.111969111969112</v>
      </c>
      <c r="U25">
        <v>-0.1106796116504855</v>
      </c>
      <c r="V25">
        <v>0.33887043189368787</v>
      </c>
      <c r="W25">
        <v>-0.1120448179271708</v>
      </c>
      <c r="X25">
        <v>2.441690962099119E-2</v>
      </c>
      <c r="Y25">
        <v>-3.8167938931297662E-2</v>
      </c>
      <c r="Z25">
        <v>-0.12979351032448369</v>
      </c>
      <c r="AB25">
        <v>5.8253806297605681E-2</v>
      </c>
      <c r="AC25">
        <v>0</v>
      </c>
      <c r="AD25">
        <v>-1.481481481481473E-2</v>
      </c>
      <c r="AE25">
        <v>-0.10449050086355791</v>
      </c>
      <c r="AF25">
        <v>-0.30227272727272742</v>
      </c>
      <c r="AG25">
        <v>-0.22702702702702701</v>
      </c>
      <c r="AH25">
        <v>-0.1820512820512821</v>
      </c>
      <c r="AI25">
        <v>-0.35108153078203003</v>
      </c>
      <c r="AJ25">
        <v>-7.8431372549019662E-2</v>
      </c>
      <c r="AK25">
        <v>-4.4247787610619427E-2</v>
      </c>
      <c r="AL25">
        <v>9.0756302521008303E-2</v>
      </c>
      <c r="AM25">
        <v>0.18753329781566319</v>
      </c>
      <c r="AN25">
        <v>6.8292682926829107E-2</v>
      </c>
      <c r="AO25">
        <v>-6.5476190476190355E-2</v>
      </c>
      <c r="AP25">
        <v>0.1536643026004727</v>
      </c>
      <c r="AR25">
        <v>1.986754966887427E-2</v>
      </c>
      <c r="AT25">
        <v>-5.0955414012738953E-2</v>
      </c>
      <c r="AU25">
        <v>-4.49438202247191E-2</v>
      </c>
      <c r="AV25">
        <v>-0.12379442462676719</v>
      </c>
      <c r="AW25">
        <v>9.1013824884792704E-2</v>
      </c>
      <c r="AX25">
        <v>9.3525179856115193E-2</v>
      </c>
      <c r="AY25">
        <v>-0.56859971711456869</v>
      </c>
      <c r="AZ25">
        <v>0.2331536388140163</v>
      </c>
      <c r="BA25">
        <v>-4.6620046620046707E-2</v>
      </c>
      <c r="BB25">
        <v>1.6216216216216051E-2</v>
      </c>
      <c r="BC25">
        <v>0.16929567131327961</v>
      </c>
      <c r="BD25">
        <v>-0.1330882352941177</v>
      </c>
      <c r="BE25">
        <v>-9.0909090909090939E-2</v>
      </c>
      <c r="BF25">
        <v>6.1899679829242382E-2</v>
      </c>
      <c r="BG25">
        <v>-9.539473684210531E-2</v>
      </c>
      <c r="BH25">
        <v>-2.8268551236749099E-2</v>
      </c>
      <c r="BJ25">
        <v>0.122334455667789</v>
      </c>
      <c r="BK25">
        <v>5.6457304163726194E-3</v>
      </c>
      <c r="BL25">
        <v>0.11433351924149469</v>
      </c>
      <c r="BM25">
        <v>2.8000000000000021E-2</v>
      </c>
      <c r="BO25">
        <v>0.10647181628392489</v>
      </c>
      <c r="BP25">
        <v>-0.37204522096608428</v>
      </c>
      <c r="BQ25">
        <v>0.19837804117280089</v>
      </c>
      <c r="BR25">
        <v>7.8864353312302793E-2</v>
      </c>
      <c r="BS25">
        <v>0.16824594651505559</v>
      </c>
      <c r="BT25">
        <v>0.1646234676007006</v>
      </c>
      <c r="BV25">
        <v>-0.44014257620452307</v>
      </c>
      <c r="BW25">
        <v>-1.072636959182216E-2</v>
      </c>
      <c r="BX25">
        <v>-3.8610046001259613E-2</v>
      </c>
      <c r="BZ25">
        <v>-0.18831168831168829</v>
      </c>
      <c r="CA25">
        <v>-0.1125</v>
      </c>
      <c r="CB25">
        <v>-0.1878359945438498</v>
      </c>
      <c r="CC25">
        <v>2.283602590317502E-2</v>
      </c>
      <c r="CD25">
        <v>0.20588235294117641</v>
      </c>
      <c r="CE25">
        <v>0.14310954063604231</v>
      </c>
      <c r="CF25">
        <v>0.1907090464547678</v>
      </c>
      <c r="CJ25">
        <v>-6.0138268114984128E-2</v>
      </c>
      <c r="CK25">
        <v>5.2649116961013043E-2</v>
      </c>
      <c r="CL25">
        <v>-7.9136690647481966E-2</v>
      </c>
      <c r="CN25">
        <v>6.7340067340067034E-3</v>
      </c>
      <c r="CO25">
        <v>-0.1098481816483898</v>
      </c>
      <c r="CP25">
        <v>-0.17049180327868849</v>
      </c>
      <c r="CQ25">
        <v>-1.4134275618374549E-2</v>
      </c>
      <c r="CR25">
        <v>0.1785739634581405</v>
      </c>
      <c r="CS25">
        <v>0.2</v>
      </c>
      <c r="CT25">
        <v>0.27391304347826079</v>
      </c>
      <c r="CU25">
        <v>0.1495535714285714</v>
      </c>
      <c r="CV25">
        <v>0.1036269430051813</v>
      </c>
      <c r="CW25">
        <v>5.4561558901682787E-2</v>
      </c>
      <c r="CX25">
        <v>6.2450215070893662E-2</v>
      </c>
      <c r="CY25">
        <v>3.5135135135134998E-2</v>
      </c>
      <c r="CZ25">
        <v>-0.1091292387474937</v>
      </c>
      <c r="DA25">
        <v>7.9166666666666607E-2</v>
      </c>
      <c r="DB25">
        <v>-0.23529411764705879</v>
      </c>
      <c r="DC25">
        <v>-6.0184709957268427E-2</v>
      </c>
      <c r="DD25">
        <v>-8.5008098866158788E-2</v>
      </c>
      <c r="DE25">
        <v>-0.20231213872832371</v>
      </c>
      <c r="DF25">
        <v>-0.21828310964801209</v>
      </c>
      <c r="DG25">
        <v>-0.19488663772310649</v>
      </c>
      <c r="DI25">
        <v>0.1152800435019032</v>
      </c>
      <c r="DJ25">
        <v>0.14201183431952669</v>
      </c>
      <c r="DK25">
        <v>-3.9322033898305131E-2</v>
      </c>
      <c r="DL25">
        <v>3.964321110009994E-3</v>
      </c>
      <c r="DM25">
        <v>0.21809744779582371</v>
      </c>
      <c r="DN25">
        <v>-0.14693877551020421</v>
      </c>
      <c r="DP25">
        <v>-7.8339452132165865E-2</v>
      </c>
      <c r="DQ25">
        <v>-0.19473684210526321</v>
      </c>
      <c r="DR25">
        <v>-0.16094986807387859</v>
      </c>
      <c r="DS25">
        <v>3.5656401944894611E-2</v>
      </c>
      <c r="DU25">
        <v>-0.1215744892874938</v>
      </c>
      <c r="DW25">
        <v>-0.47049441786283891</v>
      </c>
      <c r="DY25">
        <v>-6.0549313358302159E-2</v>
      </c>
      <c r="DZ25">
        <v>2.3489932885905951E-2</v>
      </c>
      <c r="EA25">
        <v>-8.9041095890410982E-2</v>
      </c>
      <c r="EB25">
        <v>-0.16923076923076921</v>
      </c>
      <c r="EC25">
        <v>3.6067116198839071E-3</v>
      </c>
      <c r="ED25">
        <v>-2.49498135933468E-2</v>
      </c>
      <c r="EE25">
        <v>-0.2118616144975288</v>
      </c>
      <c r="EF25">
        <v>7.4999999999999956E-2</v>
      </c>
      <c r="EG25">
        <v>2.3199023199023339E-2</v>
      </c>
      <c r="EH25">
        <v>1.877934272300474E-2</v>
      </c>
      <c r="EI25">
        <v>-0.25836219502809199</v>
      </c>
      <c r="EJ25">
        <v>-0.28105781057810592</v>
      </c>
      <c r="EK25">
        <v>-0.12747464992757129</v>
      </c>
      <c r="EL25">
        <v>0.127962085308057</v>
      </c>
      <c r="EM25">
        <v>-0.17307692307692299</v>
      </c>
      <c r="EN25">
        <v>-3.0732119711501141E-2</v>
      </c>
      <c r="EO25">
        <v>-0.17753120665742031</v>
      </c>
    </row>
    <row r="26" spans="1:145" x14ac:dyDescent="0.25">
      <c r="A26">
        <v>2022</v>
      </c>
      <c r="B26">
        <v>3</v>
      </c>
      <c r="C26">
        <v>3.7555700981335871E-2</v>
      </c>
      <c r="D26">
        <v>4.5368974279003099E-4</v>
      </c>
      <c r="E26">
        <v>0.15704697986577171</v>
      </c>
      <c r="F26">
        <v>-2.4271844660194161E-2</v>
      </c>
      <c r="H26">
        <v>0.39879759519038083</v>
      </c>
      <c r="I26">
        <v>-0.60942249240121582</v>
      </c>
      <c r="J26">
        <v>0.29556116925297721</v>
      </c>
      <c r="K26">
        <v>-7.9470198675496762E-2</v>
      </c>
      <c r="L26">
        <v>-2.8806584362139901E-2</v>
      </c>
      <c r="M26">
        <v>-0.24939919893190929</v>
      </c>
      <c r="P26">
        <v>-6.4516129032258118E-2</v>
      </c>
      <c r="Q26">
        <v>0.13264535615403969</v>
      </c>
      <c r="R26">
        <v>3.8419996914056398E-2</v>
      </c>
      <c r="T26">
        <v>0.24782608695652189</v>
      </c>
      <c r="U26">
        <v>0.47379912663755452</v>
      </c>
      <c r="V26">
        <v>-0.15260545905707201</v>
      </c>
      <c r="W26">
        <v>0.13880126182965299</v>
      </c>
      <c r="X26">
        <v>0.47242974030594098</v>
      </c>
      <c r="Y26">
        <v>-0.14285714285714279</v>
      </c>
      <c r="Z26">
        <v>0.12881355932203389</v>
      </c>
      <c r="AB26">
        <v>7.1354324392898905E-2</v>
      </c>
      <c r="AC26">
        <v>4.0650406504065817E-3</v>
      </c>
      <c r="AD26">
        <v>-7.5187969924812137E-2</v>
      </c>
      <c r="AE26">
        <v>0.17164898746383811</v>
      </c>
      <c r="AF26">
        <v>-0.10423452768729639</v>
      </c>
      <c r="AG26">
        <v>0.37762237762237771</v>
      </c>
      <c r="AH26">
        <v>0.4357366771159874</v>
      </c>
      <c r="AI26">
        <v>-0.12564102564102561</v>
      </c>
      <c r="AJ26">
        <v>0.1542553191489362</v>
      </c>
      <c r="AK26">
        <v>1.8518518518518379E-2</v>
      </c>
      <c r="AL26">
        <v>4.5711350796096673E-2</v>
      </c>
      <c r="AM26">
        <v>1.0318528488111319E-2</v>
      </c>
      <c r="AN26">
        <v>-0.1095890410958904</v>
      </c>
      <c r="AO26">
        <v>-0.1019108280254778</v>
      </c>
      <c r="AP26">
        <v>0.1229508196721312</v>
      </c>
      <c r="AR26">
        <v>0.16233766233766239</v>
      </c>
      <c r="AT26">
        <v>0</v>
      </c>
      <c r="AU26">
        <v>-5.2941176470588158E-2</v>
      </c>
      <c r="AV26">
        <v>1.01025331724971E-2</v>
      </c>
      <c r="AW26">
        <v>-8.1661386835621297E-2</v>
      </c>
      <c r="AX26">
        <v>0.23684210526315769</v>
      </c>
      <c r="AY26">
        <v>0.20218579234972681</v>
      </c>
      <c r="AZ26">
        <v>0.22622950819672141</v>
      </c>
      <c r="BA26">
        <v>0.13447432762836181</v>
      </c>
      <c r="BB26">
        <v>0.15957446808510661</v>
      </c>
      <c r="BC26">
        <v>-0.22352941176470589</v>
      </c>
      <c r="BD26">
        <v>-0.17726887192536039</v>
      </c>
      <c r="BE26">
        <v>8.9285714285714191E-2</v>
      </c>
      <c r="BF26">
        <v>0.221105527638191</v>
      </c>
      <c r="BG26">
        <v>1.1499999999999999</v>
      </c>
      <c r="BH26">
        <v>0.10848484848484841</v>
      </c>
      <c r="BJ26">
        <v>0.17272727272727259</v>
      </c>
      <c r="BK26">
        <v>0.21403508771929819</v>
      </c>
      <c r="BL26">
        <v>0.21746746746746751</v>
      </c>
      <c r="BM26">
        <v>-0.1154345006485084</v>
      </c>
      <c r="BO26">
        <v>-0.10481132075471709</v>
      </c>
      <c r="BP26">
        <v>-1.636661211129375E-3</v>
      </c>
      <c r="BQ26">
        <v>7.2878709005725906E-3</v>
      </c>
      <c r="BR26">
        <v>-5.2631578947368363E-2</v>
      </c>
      <c r="BS26">
        <v>0.10291997116077869</v>
      </c>
      <c r="BT26">
        <v>-0.1102756892230576</v>
      </c>
      <c r="BV26">
        <v>0.55543358946212962</v>
      </c>
      <c r="BW26">
        <v>0.1328045408237519</v>
      </c>
      <c r="BX26">
        <v>7.6927620959177601E-2</v>
      </c>
      <c r="BZ26">
        <v>-4.1600000000000534E-3</v>
      </c>
      <c r="CA26">
        <v>-7.0422535211267623E-2</v>
      </c>
      <c r="CB26">
        <v>0.1113416320885201</v>
      </c>
      <c r="CC26">
        <v>0.1457087912923809</v>
      </c>
      <c r="CD26">
        <v>0.11382113821138209</v>
      </c>
      <c r="CE26">
        <v>0.1097372488408037</v>
      </c>
      <c r="CF26">
        <v>-0.17453798767967149</v>
      </c>
      <c r="CJ26">
        <v>8.0933548390800025E-2</v>
      </c>
      <c r="CK26">
        <v>-6.2044950933839993E-2</v>
      </c>
      <c r="CL26">
        <v>-0.4736328125</v>
      </c>
      <c r="CN26">
        <v>-0.1806020066889632</v>
      </c>
      <c r="CO26">
        <v>8.2249265631556767E-2</v>
      </c>
      <c r="CP26">
        <v>3.9525691699604737E-2</v>
      </c>
      <c r="CQ26">
        <v>-0.1129032258064516</v>
      </c>
      <c r="CR26">
        <v>-6.4292415751705301E-2</v>
      </c>
      <c r="CS26">
        <v>-0.16527777777777791</v>
      </c>
      <c r="CT26">
        <v>-0.15699658703071681</v>
      </c>
      <c r="CU26">
        <v>-0.16019417475728159</v>
      </c>
      <c r="CV26">
        <v>-5.7982517573210823E-2</v>
      </c>
      <c r="CW26">
        <v>-0.1107004871493366</v>
      </c>
      <c r="CX26">
        <v>0.14439946018893379</v>
      </c>
      <c r="CY26">
        <v>-0.2140992167101827</v>
      </c>
      <c r="CZ26">
        <v>0.1028965272699067</v>
      </c>
      <c r="DA26">
        <v>-0.2493105350248207</v>
      </c>
      <c r="DB26">
        <v>-0.21850613154960979</v>
      </c>
      <c r="DC26">
        <v>8.1926440024216118E-2</v>
      </c>
      <c r="DD26">
        <v>0.1075924468922109</v>
      </c>
      <c r="DE26">
        <v>0.13043478260869559</v>
      </c>
      <c r="DF26">
        <v>0.1062520246193714</v>
      </c>
      <c r="DG26">
        <v>-0.1911324146195327</v>
      </c>
      <c r="DI26">
        <v>0.31594344222330562</v>
      </c>
      <c r="DJ26">
        <v>0.27461139896373071</v>
      </c>
      <c r="DK26">
        <v>-0.12632321806633731</v>
      </c>
      <c r="DL26">
        <v>4.9358341559722074E-3</v>
      </c>
      <c r="DM26">
        <v>8.1904761904761925E-2</v>
      </c>
      <c r="DN26">
        <v>-6.4593301435406647E-2</v>
      </c>
      <c r="DP26">
        <v>0.1816603341912815</v>
      </c>
      <c r="DQ26">
        <v>-4.5751633986928053E-2</v>
      </c>
      <c r="DR26">
        <v>0.26100628930817621</v>
      </c>
      <c r="DS26">
        <v>1.1580594679186261E-2</v>
      </c>
      <c r="DU26">
        <v>-4.5944412932501399E-2</v>
      </c>
      <c r="DW26">
        <v>-0.10542168674698781</v>
      </c>
      <c r="DY26">
        <v>-0.36766334440753051</v>
      </c>
      <c r="DZ26">
        <v>0.27377049180327861</v>
      </c>
      <c r="EA26">
        <v>0.16791979949874691</v>
      </c>
      <c r="EB26">
        <v>0.13580246913580241</v>
      </c>
      <c r="EC26">
        <v>2.4375</v>
      </c>
      <c r="ED26">
        <v>-6.2254901960784308E-2</v>
      </c>
      <c r="EE26">
        <v>0.58862876254180585</v>
      </c>
      <c r="EF26">
        <v>-0.1359570661896243</v>
      </c>
      <c r="EG26">
        <v>-3.2219570405728093E-2</v>
      </c>
      <c r="EH26">
        <v>2.3041474654377891E-2</v>
      </c>
      <c r="EI26">
        <v>-1.180975705939136E-2</v>
      </c>
      <c r="EJ26">
        <v>0.16082121471343019</v>
      </c>
      <c r="EK26">
        <v>0.19922523519645829</v>
      </c>
      <c r="EL26">
        <v>7.5630252100840512E-2</v>
      </c>
      <c r="EM26">
        <v>0.2093023255813953</v>
      </c>
      <c r="EN26">
        <v>-2.6129776669800538E-2</v>
      </c>
      <c r="EO26">
        <v>-0.15177065767284981</v>
      </c>
    </row>
    <row r="27" spans="1:145" x14ac:dyDescent="0.25">
      <c r="A27">
        <v>2022</v>
      </c>
      <c r="B27">
        <v>4</v>
      </c>
      <c r="C27">
        <v>-8.7769141316052401E-2</v>
      </c>
      <c r="D27">
        <v>-1.0844182650548979E-4</v>
      </c>
      <c r="E27">
        <v>-0.28538283062644998</v>
      </c>
      <c r="F27">
        <v>-0.29850746268656708</v>
      </c>
      <c r="H27">
        <v>-0.29226361031518622</v>
      </c>
      <c r="I27">
        <v>-0.29961089494163418</v>
      </c>
      <c r="J27">
        <v>-1.197771587743734E-2</v>
      </c>
      <c r="K27">
        <v>-7.4340527577937632E-2</v>
      </c>
      <c r="L27">
        <v>-0.47598870056497178</v>
      </c>
      <c r="M27">
        <v>4.9804340092493897E-2</v>
      </c>
      <c r="P27">
        <v>-0.46360153256704978</v>
      </c>
      <c r="Q27">
        <v>-0.152</v>
      </c>
      <c r="R27">
        <v>-0.1832095096582467</v>
      </c>
      <c r="T27">
        <v>-0.26480836236933802</v>
      </c>
      <c r="U27">
        <v>-0.23777777777777789</v>
      </c>
      <c r="V27">
        <v>-0.2679355783308931</v>
      </c>
      <c r="W27">
        <v>-0.18698060941828251</v>
      </c>
      <c r="X27">
        <v>-0.2329064991543851</v>
      </c>
      <c r="Y27">
        <v>-0.40287037037037038</v>
      </c>
      <c r="Z27">
        <v>0.1111111111111112</v>
      </c>
      <c r="AB27">
        <v>3.0672971878652699E-2</v>
      </c>
      <c r="AC27">
        <v>4.0485829959513442E-3</v>
      </c>
      <c r="AD27">
        <v>-0.13008130081300809</v>
      </c>
      <c r="AE27">
        <v>-0.28230452674897122</v>
      </c>
      <c r="AF27">
        <v>7.2727272727273204E-3</v>
      </c>
      <c r="AG27">
        <v>-0.17766497461928929</v>
      </c>
      <c r="AH27">
        <v>-0.33187772925764192</v>
      </c>
      <c r="AI27">
        <v>-8.2111436950146333E-3</v>
      </c>
      <c r="AJ27">
        <v>-0.33179723502304148</v>
      </c>
      <c r="AK27">
        <v>-0.1454545454545455</v>
      </c>
      <c r="AL27">
        <v>-0.20923379174852641</v>
      </c>
      <c r="AM27">
        <v>-4.4849023090586027E-2</v>
      </c>
      <c r="AN27">
        <v>-0.2846153846153846</v>
      </c>
      <c r="AO27">
        <v>-0.1666666666666666</v>
      </c>
      <c r="AP27">
        <v>-0.37226277372262778</v>
      </c>
      <c r="AR27">
        <v>-0.43575418994413412</v>
      </c>
      <c r="AT27">
        <v>-0.24161073825503351</v>
      </c>
      <c r="AU27">
        <v>-0.20289855072463769</v>
      </c>
      <c r="AV27">
        <v>-0.32825794894760407</v>
      </c>
      <c r="AW27">
        <v>-2.9896512073591449E-2</v>
      </c>
      <c r="AX27">
        <v>-0.2872340425531914</v>
      </c>
      <c r="AY27">
        <v>-0.18151515151515149</v>
      </c>
      <c r="AZ27">
        <v>-2.673796791443972E-3</v>
      </c>
      <c r="BA27">
        <v>0.2241379310344829</v>
      </c>
      <c r="BB27">
        <v>-0.19036697247706441</v>
      </c>
      <c r="BC27">
        <v>-5.0505050505050393E-2</v>
      </c>
      <c r="BD27">
        <v>-0.1773195876288659</v>
      </c>
      <c r="BE27">
        <v>-0.20655737704918031</v>
      </c>
      <c r="BF27">
        <v>-6.9958847736625529E-2</v>
      </c>
      <c r="BG27">
        <v>-0.59323467230443971</v>
      </c>
      <c r="BH27">
        <v>-0.2039365773646801</v>
      </c>
      <c r="BJ27">
        <v>-0.28124031007751937</v>
      </c>
      <c r="BK27">
        <v>-0.24364161849710991</v>
      </c>
      <c r="BL27">
        <v>-7.4203494347379273E-2</v>
      </c>
      <c r="BM27">
        <v>-7.3313782991203391E-3</v>
      </c>
      <c r="BO27">
        <v>-0.22004426177679409</v>
      </c>
      <c r="BP27">
        <v>-0.36393442622950822</v>
      </c>
      <c r="BQ27">
        <v>-0.1183462532299743</v>
      </c>
      <c r="BR27">
        <v>-0.2777777777777779</v>
      </c>
      <c r="BS27">
        <v>-0.17290406929236801</v>
      </c>
      <c r="BT27">
        <v>-0.28507042253521131</v>
      </c>
      <c r="BV27">
        <v>-0.36810162314749473</v>
      </c>
      <c r="BW27">
        <v>2.9228496177812199E-2</v>
      </c>
      <c r="BX27">
        <v>1.822468066747818E-2</v>
      </c>
      <c r="BZ27">
        <v>-0.14845758354755781</v>
      </c>
      <c r="CA27">
        <v>-0.15757575757575759</v>
      </c>
      <c r="CB27">
        <v>-0.1745044003911459</v>
      </c>
      <c r="CC27">
        <v>2.0114109268704491E-2</v>
      </c>
      <c r="CD27">
        <v>-0.35627737226277367</v>
      </c>
      <c r="CE27">
        <v>-0.2423398328690807</v>
      </c>
      <c r="CF27">
        <v>0.40547263681592072</v>
      </c>
      <c r="CJ27">
        <v>8.0927372462390457E-2</v>
      </c>
      <c r="CK27">
        <v>-0.19136010799865</v>
      </c>
      <c r="CL27">
        <v>-0.23376623376623371</v>
      </c>
      <c r="CN27">
        <v>-0.36326530612244901</v>
      </c>
      <c r="CO27">
        <v>-6.1734891707749262E-2</v>
      </c>
      <c r="CP27">
        <v>-0.1140684410646388</v>
      </c>
      <c r="CQ27">
        <v>-0.27878787878787881</v>
      </c>
      <c r="CR27">
        <v>-7.443464357817442E-2</v>
      </c>
      <c r="CS27">
        <v>-0.42262895174708809</v>
      </c>
      <c r="CT27">
        <v>-2.0242914979757051E-2</v>
      </c>
      <c r="CU27">
        <v>-0.40578034682080932</v>
      </c>
      <c r="CV27">
        <v>-9.824437738176528E-2</v>
      </c>
      <c r="CW27">
        <v>3.2489610880241708E-2</v>
      </c>
      <c r="CX27">
        <v>-2.2929769392033509E-2</v>
      </c>
      <c r="CY27">
        <v>-7.9734219269103068E-2</v>
      </c>
      <c r="CZ27">
        <v>-5.2152964763984337E-2</v>
      </c>
      <c r="DA27">
        <v>-4.9228508449669313E-2</v>
      </c>
      <c r="DB27">
        <v>-0.1640513552068473</v>
      </c>
      <c r="DC27">
        <v>-0.1074678611706408</v>
      </c>
      <c r="DD27">
        <v>6.0010063339844821E-2</v>
      </c>
      <c r="DE27">
        <v>-0.27564102564102549</v>
      </c>
      <c r="DF27">
        <v>-0.25183016105417277</v>
      </c>
      <c r="DG27">
        <v>-9.4074074074074088E-2</v>
      </c>
      <c r="DI27">
        <v>-6.9655427936272662E-2</v>
      </c>
      <c r="DJ27">
        <v>-0.15040650406504069</v>
      </c>
      <c r="DK27">
        <v>-0.43807215939687671</v>
      </c>
      <c r="DL27">
        <v>0</v>
      </c>
      <c r="DM27">
        <v>-0.125</v>
      </c>
      <c r="DN27">
        <v>-0.31713554987212278</v>
      </c>
      <c r="DP27">
        <v>-3.1030131208187098E-2</v>
      </c>
      <c r="DQ27">
        <v>-6.4246575342465695E-2</v>
      </c>
      <c r="DR27">
        <v>-0.33665835411471318</v>
      </c>
      <c r="DS27">
        <v>-0.1367574257425743</v>
      </c>
      <c r="DU27">
        <v>8.8585017835909552E-2</v>
      </c>
      <c r="DW27">
        <v>-0.46127946127946129</v>
      </c>
      <c r="DY27">
        <v>-0.12539404553415071</v>
      </c>
      <c r="DZ27">
        <v>-0.35907335907335902</v>
      </c>
      <c r="EA27">
        <v>-0.19742489270386271</v>
      </c>
      <c r="EB27">
        <v>-0.2445652173913043</v>
      </c>
      <c r="EC27">
        <v>0.22727272727272729</v>
      </c>
      <c r="ED27">
        <v>-0.27130162049137468</v>
      </c>
      <c r="EE27">
        <v>-0.46921052631578941</v>
      </c>
      <c r="EF27">
        <v>1.4265010351966869</v>
      </c>
      <c r="EG27">
        <v>-0.18988902589395801</v>
      </c>
      <c r="EH27">
        <v>-0.20270270270270269</v>
      </c>
      <c r="EI27">
        <v>-5.0555012969555557E-2</v>
      </c>
      <c r="EJ27">
        <v>7.0744288872512717E-2</v>
      </c>
      <c r="EK27">
        <v>-0.35394554683894802</v>
      </c>
      <c r="EL27">
        <v>-4.6875E-2</v>
      </c>
      <c r="EM27">
        <v>-0.38461538461538458</v>
      </c>
      <c r="EN27">
        <v>-5.8503934604239187E-2</v>
      </c>
      <c r="EO27">
        <v>-0.1113320079522864</v>
      </c>
    </row>
    <row r="28" spans="1:145" x14ac:dyDescent="0.25">
      <c r="A28">
        <v>2022</v>
      </c>
      <c r="B28">
        <v>5</v>
      </c>
      <c r="C28">
        <v>2.2573655428113071E-3</v>
      </c>
      <c r="D28">
        <v>3.2782561649091768E-4</v>
      </c>
      <c r="E28">
        <v>3.8149350649350662E-2</v>
      </c>
      <c r="F28">
        <v>-0.1063829787234043</v>
      </c>
      <c r="H28">
        <v>0.51012145748987847</v>
      </c>
      <c r="I28">
        <v>-1.2222222222222129E-2</v>
      </c>
      <c r="J28">
        <v>4.7082041161544907E-2</v>
      </c>
      <c r="K28">
        <v>-5.9585492227979257E-2</v>
      </c>
      <c r="L28">
        <v>-0.27223719676549862</v>
      </c>
      <c r="M28">
        <v>2.5076245340562409E-2</v>
      </c>
      <c r="O28">
        <v>-4.0307101727447232E-2</v>
      </c>
      <c r="P28">
        <v>-0.28999999999999992</v>
      </c>
      <c r="Q28">
        <v>-0.1325995807127883</v>
      </c>
      <c r="R28">
        <v>-0.24158631981080589</v>
      </c>
      <c r="T28">
        <v>0.42654028436018948</v>
      </c>
      <c r="U28">
        <v>-0.1175898931000972</v>
      </c>
      <c r="V28">
        <v>-0.55800000000000005</v>
      </c>
      <c r="W28">
        <v>0.34241908006814298</v>
      </c>
      <c r="X28">
        <v>-0.21259842519685029</v>
      </c>
      <c r="Y28">
        <v>-0.15382229803070249</v>
      </c>
      <c r="Z28">
        <v>-0.22432432432432439</v>
      </c>
      <c r="AB28">
        <v>2.3911883301708241E-3</v>
      </c>
      <c r="AC28">
        <v>-0.344758064516129</v>
      </c>
      <c r="AD28">
        <v>-8.8317757009345854E-2</v>
      </c>
      <c r="AE28">
        <v>-4.587155963302747E-2</v>
      </c>
      <c r="AF28">
        <v>-5.4151624548736448E-2</v>
      </c>
      <c r="AG28">
        <v>-0.3271604938271605</v>
      </c>
      <c r="AH28">
        <v>-0.15032679738562091</v>
      </c>
      <c r="AI28">
        <v>-0.10348905972797159</v>
      </c>
      <c r="AJ28">
        <v>0.54482758620689675</v>
      </c>
      <c r="AK28">
        <v>-0.1446808510638298</v>
      </c>
      <c r="AL28">
        <v>-2.981366459627344E-2</v>
      </c>
      <c r="AM28">
        <v>-3.1148303114830411E-2</v>
      </c>
      <c r="AN28">
        <v>-0.16810035842293899</v>
      </c>
      <c r="AO28">
        <v>-0.1106382978723405</v>
      </c>
      <c r="AP28">
        <v>-5.8139534883720811E-2</v>
      </c>
      <c r="AR28">
        <v>-6.9603960396039666E-2</v>
      </c>
      <c r="AT28">
        <v>8.8495575221238854E-2</v>
      </c>
      <c r="AU28">
        <v>5.1948051948051974E-3</v>
      </c>
      <c r="AV28">
        <v>0.22222222222222229</v>
      </c>
      <c r="AW28">
        <v>-6.3611220861319651E-2</v>
      </c>
      <c r="AX28">
        <v>-9.7014925373134386E-2</v>
      </c>
      <c r="AY28">
        <v>-0.26804887078859668</v>
      </c>
      <c r="AZ28">
        <v>0.15281501340482581</v>
      </c>
      <c r="BA28">
        <v>3.521126760563487E-3</v>
      </c>
      <c r="BB28">
        <v>-0.13881019830028321</v>
      </c>
      <c r="BC28">
        <v>-0.52304964539007093</v>
      </c>
      <c r="BD28">
        <v>-0.21679197994987481</v>
      </c>
      <c r="BE28">
        <v>-3.7190082644628093E-2</v>
      </c>
      <c r="BF28">
        <v>-0.14601769911504431</v>
      </c>
      <c r="BG28">
        <v>-0.25987525987525978</v>
      </c>
      <c r="BH28">
        <v>-0.31181318681318682</v>
      </c>
      <c r="BJ28">
        <v>-0.15864969801553061</v>
      </c>
      <c r="BK28">
        <v>-0.1643102789453573</v>
      </c>
      <c r="BL28">
        <v>-3.1971580817051433E-2</v>
      </c>
      <c r="BM28">
        <v>6.794682422452003E-2</v>
      </c>
      <c r="BO28">
        <v>-0.41305229023104978</v>
      </c>
      <c r="BP28">
        <v>5.1546391752577136E-3</v>
      </c>
      <c r="BQ28">
        <v>-0.1107854630715123</v>
      </c>
      <c r="BR28">
        <v>-9.4017094017093905E-2</v>
      </c>
      <c r="BS28">
        <v>0.1341632088520055</v>
      </c>
      <c r="BT28">
        <v>-9.377462568951922E-2</v>
      </c>
      <c r="BV28">
        <v>-0.18650882287245929</v>
      </c>
      <c r="BW28">
        <v>-6.5784546248907727E-2</v>
      </c>
      <c r="BX28">
        <v>1.1113162378677539E-3</v>
      </c>
      <c r="BZ28">
        <v>-0.16981132075471711</v>
      </c>
      <c r="CA28">
        <v>-0.26258992805755399</v>
      </c>
      <c r="CB28">
        <v>-4.2537152702993741E-2</v>
      </c>
      <c r="CC28">
        <v>7.6552357626159306E-2</v>
      </c>
      <c r="CD28">
        <v>-8.0394602562648743E-2</v>
      </c>
      <c r="CE28">
        <v>-0.25367647058823539</v>
      </c>
      <c r="CF28">
        <v>-5.3097345132743452E-2</v>
      </c>
      <c r="CJ28">
        <v>3.7658984952617658E-2</v>
      </c>
      <c r="CK28">
        <v>-0.15609348914858101</v>
      </c>
      <c r="CL28">
        <v>-0.15738498789346239</v>
      </c>
      <c r="CN28">
        <v>-0.6414102564102564</v>
      </c>
      <c r="CO28">
        <v>0.18732473359506449</v>
      </c>
      <c r="CP28">
        <v>-0.24248927038626611</v>
      </c>
      <c r="CQ28">
        <v>-0.123249299719888</v>
      </c>
      <c r="CR28">
        <v>0.18355060423513581</v>
      </c>
      <c r="CS28">
        <v>-0.28530259365994243</v>
      </c>
      <c r="CT28">
        <v>-0.15082644628099171</v>
      </c>
      <c r="CU28">
        <v>-9.9221789883268463E-2</v>
      </c>
      <c r="CV28">
        <v>7.4486405940835887E-2</v>
      </c>
      <c r="CW28">
        <v>2.122210025612881E-2</v>
      </c>
      <c r="CX28">
        <v>-0.15180367439989259</v>
      </c>
      <c r="CY28">
        <v>-7.9422382671480163E-2</v>
      </c>
      <c r="CZ28">
        <v>8.9483788144675946E-2</v>
      </c>
      <c r="DA28">
        <v>-0.4459041731066461</v>
      </c>
      <c r="DB28">
        <v>-3.924914675767921E-2</v>
      </c>
      <c r="DC28">
        <v>0.1620992761116857</v>
      </c>
      <c r="DD28">
        <v>0.26349002471135191</v>
      </c>
      <c r="DE28">
        <v>-0.13734513274336291</v>
      </c>
      <c r="DF28">
        <v>5.7279843444226992E-2</v>
      </c>
      <c r="DG28">
        <v>-6.7865903515944348E-2</v>
      </c>
      <c r="DI28">
        <v>-0.25169255276782171</v>
      </c>
      <c r="DJ28">
        <v>-0.1483253588516745</v>
      </c>
      <c r="DK28">
        <v>0.46621945376138002</v>
      </c>
      <c r="DL28">
        <v>2.946954813359604E-3</v>
      </c>
      <c r="DM28">
        <v>-3.4205231388329982E-2</v>
      </c>
      <c r="DN28">
        <v>-0.2097378277153559</v>
      </c>
      <c r="DP28">
        <v>0.68980589452651109</v>
      </c>
      <c r="DQ28">
        <v>-0.27404479578392621</v>
      </c>
      <c r="DR28">
        <v>0.29699248120300742</v>
      </c>
      <c r="DS28">
        <v>-1.0752688172042111E-3</v>
      </c>
      <c r="DU28">
        <v>-0.24904423812124521</v>
      </c>
      <c r="DW28">
        <v>8.1249999999999822E-2</v>
      </c>
      <c r="DY28">
        <v>-9.0508610332398876E-2</v>
      </c>
      <c r="DZ28">
        <v>-9.8393574297188757E-2</v>
      </c>
      <c r="EA28">
        <v>-0.1951871657754011</v>
      </c>
      <c r="EB28">
        <v>-0.1510791366906474</v>
      </c>
      <c r="EC28">
        <v>-0.1037037037037037</v>
      </c>
      <c r="ED28">
        <v>-0.40286944045911038</v>
      </c>
      <c r="EE28">
        <v>-1.536936043629167E-2</v>
      </c>
      <c r="EF28">
        <v>0.1040955631399316</v>
      </c>
      <c r="EG28">
        <v>-0.70624048706240483</v>
      </c>
      <c r="EH28">
        <v>-0.19774011299435021</v>
      </c>
      <c r="EI28">
        <v>0.20005751639770389</v>
      </c>
      <c r="EJ28">
        <v>0.20509291121816939</v>
      </c>
      <c r="EK28">
        <v>-3.000000000000003E-2</v>
      </c>
      <c r="EL28">
        <v>-9.4262295081967262E-2</v>
      </c>
      <c r="EM28">
        <v>7.828125000000008E-2</v>
      </c>
      <c r="EN28">
        <v>-3.5655498281289548E-2</v>
      </c>
      <c r="EO28">
        <v>3.5794183445190253E-2</v>
      </c>
    </row>
    <row r="29" spans="1:145" x14ac:dyDescent="0.25">
      <c r="A29">
        <v>2022</v>
      </c>
      <c r="B29">
        <v>6</v>
      </c>
      <c r="C29">
        <v>-8.2469431607706145E-2</v>
      </c>
      <c r="D29">
        <v>7.7987071148100107E-4</v>
      </c>
      <c r="E29">
        <v>9.1477716966380074E-2</v>
      </c>
      <c r="F29">
        <v>6.3492063492063489E-2</v>
      </c>
      <c r="H29">
        <v>-0.30831099195710449</v>
      </c>
      <c r="I29">
        <v>1.166479190101237</v>
      </c>
      <c r="J29">
        <v>-6.3274098007539026E-2</v>
      </c>
      <c r="K29">
        <v>-0.12396694214876031</v>
      </c>
      <c r="L29">
        <v>0.92592592592592582</v>
      </c>
      <c r="M29">
        <v>-1.91735537190082E-2</v>
      </c>
      <c r="O29">
        <v>-0.48333333333333328</v>
      </c>
      <c r="P29">
        <v>-0.35633802816901411</v>
      </c>
      <c r="Q29">
        <v>-4.2900302114803668E-2</v>
      </c>
      <c r="R29">
        <v>9.5946270088751451E-3</v>
      </c>
      <c r="S29">
        <v>3.0150753768845022E-3</v>
      </c>
      <c r="T29">
        <v>-1.993355481727566E-2</v>
      </c>
      <c r="U29">
        <v>-0.66409691629955947</v>
      </c>
      <c r="V29">
        <v>0.1040723981900453</v>
      </c>
      <c r="W29">
        <v>-9.898477157360408E-2</v>
      </c>
      <c r="X29">
        <v>0.53199999999999981</v>
      </c>
      <c r="Y29">
        <v>0.26443100604727882</v>
      </c>
      <c r="Z29">
        <v>-0.35191637630662009</v>
      </c>
      <c r="AB29">
        <v>2.7700011683400531E-2</v>
      </c>
      <c r="AC29">
        <v>-0.42</v>
      </c>
      <c r="AD29">
        <v>0.1173757047667863</v>
      </c>
      <c r="AE29">
        <v>9.7355769230769162E-2</v>
      </c>
      <c r="AF29">
        <v>-0.19465648854961839</v>
      </c>
      <c r="AG29">
        <v>0.33944954128440341</v>
      </c>
      <c r="AH29">
        <v>0.13076923076923069</v>
      </c>
      <c r="AI29">
        <v>-7.6517150395778333E-2</v>
      </c>
      <c r="AJ29">
        <v>-5.3571428571428603E-2</v>
      </c>
      <c r="AK29">
        <v>1.990049751243772E-2</v>
      </c>
      <c r="AL29">
        <v>0.1344430217669654</v>
      </c>
      <c r="AM29">
        <v>0.14107485604606529</v>
      </c>
      <c r="AN29">
        <v>-7.5398535114174936E-2</v>
      </c>
      <c r="AO29">
        <v>-7.1770334928228374E-3</v>
      </c>
      <c r="AP29">
        <v>0.24074074074074051</v>
      </c>
      <c r="AR29">
        <v>-2.096413749068848E-2</v>
      </c>
      <c r="AT29">
        <v>0</v>
      </c>
      <c r="AU29">
        <v>-3.3591731266149893E-2</v>
      </c>
      <c r="AV29">
        <v>-0.13090909090909089</v>
      </c>
      <c r="AW29">
        <v>-0.17172995780590719</v>
      </c>
      <c r="AX29">
        <v>8.2644628099173278E-3</v>
      </c>
      <c r="AY29">
        <v>8.3965604451188502E-2</v>
      </c>
      <c r="AZ29">
        <v>-0.10077519379844969</v>
      </c>
      <c r="BA29">
        <v>0.1157894736842104</v>
      </c>
      <c r="BB29">
        <v>-0.13815789473684201</v>
      </c>
      <c r="BC29">
        <v>0.204460966542751</v>
      </c>
      <c r="BD29">
        <v>0.27360000000000012</v>
      </c>
      <c r="BE29">
        <v>-0.16309012875536491</v>
      </c>
      <c r="BF29">
        <v>-0.18445595854922281</v>
      </c>
      <c r="BG29">
        <v>-0.31179775280898869</v>
      </c>
      <c r="BH29">
        <v>-3.9920159680637557E-3</v>
      </c>
      <c r="BJ29">
        <v>-0.26611972823996921</v>
      </c>
      <c r="BK29">
        <v>-4.1609510745313272E-2</v>
      </c>
      <c r="BL29">
        <v>0.1185779816513761</v>
      </c>
      <c r="BM29">
        <v>6.9156293222683018E-3</v>
      </c>
      <c r="BO29">
        <v>0.22007366482504609</v>
      </c>
      <c r="BP29">
        <v>0.13589743589743589</v>
      </c>
      <c r="BQ29">
        <v>-2.7027027027027081E-2</v>
      </c>
      <c r="BR29">
        <v>-9.4339622641509524E-2</v>
      </c>
      <c r="BS29">
        <v>-5.5749128919860844E-3</v>
      </c>
      <c r="BT29">
        <v>-0.1295652173913043</v>
      </c>
      <c r="BV29">
        <v>-0.1927512355848435</v>
      </c>
      <c r="BW29">
        <v>4.2290219134152762E-2</v>
      </c>
      <c r="BX29">
        <v>-1.125137626660366E-2</v>
      </c>
      <c r="BZ29">
        <v>6.9545454545454577E-2</v>
      </c>
      <c r="CA29">
        <v>0.45365853658536598</v>
      </c>
      <c r="CB29">
        <v>3.4866719154200698E-3</v>
      </c>
      <c r="CC29">
        <v>3.4424376466251523E-2</v>
      </c>
      <c r="CD29">
        <v>-1.2330456226880339E-2</v>
      </c>
      <c r="CE29">
        <v>7.389162561576379E-2</v>
      </c>
      <c r="CF29">
        <v>5.6074766355140422E-2</v>
      </c>
      <c r="CJ29">
        <v>-1.2557832903888899E-3</v>
      </c>
      <c r="CK29">
        <v>0.23639960435212659</v>
      </c>
      <c r="CL29">
        <v>9.1954022988505635E-2</v>
      </c>
      <c r="CN29">
        <v>7.2577761887736791E-2</v>
      </c>
      <c r="CO29">
        <v>-0.1236605921984935</v>
      </c>
      <c r="CP29">
        <v>-8.2152974504249188E-2</v>
      </c>
      <c r="CQ29">
        <v>0.28434504792332249</v>
      </c>
      <c r="CR29">
        <v>-0.1109059930548469</v>
      </c>
      <c r="CS29">
        <v>0.1088709677419355</v>
      </c>
      <c r="CT29">
        <v>0.78102189781021902</v>
      </c>
      <c r="CU29">
        <v>-1.079913606911442E-2</v>
      </c>
      <c r="CV29">
        <v>-4.1660746255932626E-3</v>
      </c>
      <c r="CW29">
        <v>5.3385883195987027E-2</v>
      </c>
      <c r="CX29">
        <v>-7.8260869565217384E-2</v>
      </c>
      <c r="CY29">
        <v>0.1019607843137256</v>
      </c>
      <c r="CZ29">
        <v>-1.149994378670083E-2</v>
      </c>
      <c r="DA29">
        <v>0.17712691771269171</v>
      </c>
      <c r="DB29">
        <v>0.42273534635879217</v>
      </c>
      <c r="DC29">
        <v>2.4477196885428269E-2</v>
      </c>
      <c r="DD29">
        <v>0.40110497237569048</v>
      </c>
      <c r="DE29">
        <v>-0.1384899466557242</v>
      </c>
      <c r="DF29">
        <v>-0.1504247876061969</v>
      </c>
      <c r="DG29">
        <v>-9.3859649122807087E-2</v>
      </c>
      <c r="DI29">
        <v>1.0643959552953721E-2</v>
      </c>
      <c r="DJ29">
        <v>-0.38202247191011229</v>
      </c>
      <c r="DK29">
        <v>-8.1045751633986973E-2</v>
      </c>
      <c r="DL29">
        <v>9.7943192948091173E-4</v>
      </c>
      <c r="DM29">
        <v>4.1666666666668739E-3</v>
      </c>
      <c r="DN29">
        <v>-0.1184834123222748</v>
      </c>
      <c r="DP29">
        <v>5.8500585956058559E-2</v>
      </c>
      <c r="DQ29">
        <v>6.3520871143375679E-2</v>
      </c>
      <c r="DR29">
        <v>-0.15362318840579711</v>
      </c>
      <c r="DS29">
        <v>3.7674919268030127E-2</v>
      </c>
      <c r="DU29">
        <v>6.1818181818181772E-2</v>
      </c>
      <c r="DW29">
        <v>0.43352601156069359</v>
      </c>
      <c r="DY29">
        <v>7.5737560546015104E-2</v>
      </c>
      <c r="DZ29">
        <v>-0.30512249443207129</v>
      </c>
      <c r="EA29">
        <v>-0.27906976744186052</v>
      </c>
      <c r="EB29">
        <v>0.1186440677966101</v>
      </c>
      <c r="EC29">
        <v>0.16115702479338839</v>
      </c>
      <c r="ED29">
        <v>0.34262373858721767</v>
      </c>
      <c r="EE29">
        <v>2.0140986908359082E-3</v>
      </c>
      <c r="EF29">
        <v>-0.1267387944358577</v>
      </c>
      <c r="EG29">
        <v>-5.1813471502590858E-3</v>
      </c>
      <c r="EH29">
        <v>0.18309859154929581</v>
      </c>
      <c r="EI29">
        <v>-0.1466966524111489</v>
      </c>
      <c r="EJ29">
        <v>-0.30154197601370653</v>
      </c>
      <c r="EK29">
        <v>-4.5409916543937112E-2</v>
      </c>
      <c r="EL29">
        <v>-0.30316742081447962</v>
      </c>
      <c r="EM29">
        <v>-0.36212143167656857</v>
      </c>
      <c r="EN29">
        <v>5.6160481849008006E-3</v>
      </c>
      <c r="EO29">
        <v>-3.6717062634989188E-2</v>
      </c>
    </row>
    <row r="30" spans="1:145" x14ac:dyDescent="0.25">
      <c r="A30">
        <v>2022</v>
      </c>
      <c r="B30">
        <v>7</v>
      </c>
      <c r="C30">
        <v>9.208760760433865E-2</v>
      </c>
      <c r="D30">
        <v>3.5947044586648319E-4</v>
      </c>
      <c r="E30">
        <v>0.1038681948424067</v>
      </c>
      <c r="F30">
        <v>-0.5149253731343284</v>
      </c>
      <c r="H30">
        <v>6.9767441860465018E-2</v>
      </c>
      <c r="I30">
        <v>0.40134994807891983</v>
      </c>
      <c r="J30">
        <v>7.4734118999712607E-2</v>
      </c>
      <c r="K30">
        <v>0.1132075471698113</v>
      </c>
      <c r="L30">
        <v>-0.4259615384615385</v>
      </c>
      <c r="M30">
        <v>0.15436467812605331</v>
      </c>
      <c r="O30">
        <v>0.104516129032258</v>
      </c>
      <c r="P30">
        <v>0.28477649265395422</v>
      </c>
      <c r="Q30">
        <v>7.354797979797989E-2</v>
      </c>
      <c r="R30">
        <v>0.26181990971727243</v>
      </c>
      <c r="S30">
        <v>4.5090180360720664E-3</v>
      </c>
      <c r="T30">
        <v>0.32203389830508461</v>
      </c>
      <c r="U30">
        <v>0.1409836065573771</v>
      </c>
      <c r="V30">
        <v>0.93852459016393475</v>
      </c>
      <c r="W30">
        <v>0.15492957746478869</v>
      </c>
      <c r="X30">
        <v>7.5718015665797722E-3</v>
      </c>
      <c r="Y30">
        <v>-0.24637681159420291</v>
      </c>
      <c r="Z30">
        <v>-0.23118279569892469</v>
      </c>
      <c r="AB30">
        <v>-4.1817347169317183E-2</v>
      </c>
      <c r="AC30">
        <v>-4.50928381962864E-2</v>
      </c>
      <c r="AD30">
        <v>-0.11926605504587159</v>
      </c>
      <c r="AE30">
        <v>-4.2716319824753657E-2</v>
      </c>
      <c r="AF30">
        <v>-0.1042654028436019</v>
      </c>
      <c r="AG30">
        <v>-0.1575342465753424</v>
      </c>
      <c r="AH30">
        <v>4.7619047619047672E-2</v>
      </c>
      <c r="AI30">
        <v>-0.2153571428571428</v>
      </c>
      <c r="AJ30">
        <v>-0.1085377358490567</v>
      </c>
      <c r="AK30">
        <v>-2.0731707317073189E-2</v>
      </c>
      <c r="AL30">
        <v>-2.9909706546275231E-2</v>
      </c>
      <c r="AM30">
        <v>0.2052144659377628</v>
      </c>
      <c r="AN30">
        <v>-1.397949673811749E-2</v>
      </c>
      <c r="AO30">
        <v>9.3975903614457845E-2</v>
      </c>
      <c r="AP30">
        <v>0.33084577114427871</v>
      </c>
      <c r="AR30">
        <v>-2.9347826086956519E-2</v>
      </c>
      <c r="AT30">
        <v>-9.7560975609756073E-2</v>
      </c>
      <c r="AU30">
        <v>-2.673796791443861E-3</v>
      </c>
      <c r="AV30">
        <v>2.5104602510460209E-2</v>
      </c>
      <c r="AW30">
        <v>3.2093734080489211E-2</v>
      </c>
      <c r="AX30">
        <v>-4.0983606557377088E-2</v>
      </c>
      <c r="AY30">
        <v>-0.40270648623425098</v>
      </c>
      <c r="AZ30">
        <v>6.2931034482758719E-2</v>
      </c>
      <c r="BA30">
        <v>-9.2767295597484423E-2</v>
      </c>
      <c r="BB30">
        <v>2.290076335877855E-2</v>
      </c>
      <c r="BC30">
        <v>-5.8641975308642007E-2</v>
      </c>
      <c r="BD30">
        <v>0.21482412060301501</v>
      </c>
      <c r="BE30">
        <v>-0.12820512820512819</v>
      </c>
      <c r="BF30">
        <v>0.1601016518424396</v>
      </c>
      <c r="BG30">
        <v>0.2</v>
      </c>
      <c r="BH30">
        <v>0.1182364729458918</v>
      </c>
      <c r="BJ30">
        <v>-5.6768558951965087E-2</v>
      </c>
      <c r="BK30">
        <v>-2.67175572519085E-2</v>
      </c>
      <c r="BL30">
        <v>4.0188640557719868E-2</v>
      </c>
      <c r="BM30">
        <v>-7.6923076923076983E-2</v>
      </c>
      <c r="BO30">
        <v>-2.8301886792453379E-3</v>
      </c>
      <c r="BP30">
        <v>0.1422121896162527</v>
      </c>
      <c r="BQ30">
        <v>-2.845528455284552E-2</v>
      </c>
      <c r="BR30">
        <v>-2.604166666666663E-2</v>
      </c>
      <c r="BS30">
        <v>-5.1857042747021742E-2</v>
      </c>
      <c r="BT30">
        <v>9.8901098901098772E-2</v>
      </c>
      <c r="BV30">
        <v>-0.12619047619047619</v>
      </c>
      <c r="BW30">
        <v>3.2049227613617498E-4</v>
      </c>
      <c r="BX30">
        <v>-1.684377755573507E-2</v>
      </c>
      <c r="BZ30">
        <v>-0.6874203144921377</v>
      </c>
      <c r="CA30">
        <v>-9.3959731543624136E-2</v>
      </c>
      <c r="CB30">
        <v>3.1495180452813187E-2</v>
      </c>
      <c r="CC30">
        <v>1.683999164729344E-2</v>
      </c>
      <c r="CD30">
        <v>-5.9300873907615508E-2</v>
      </c>
      <c r="CE30">
        <v>0.125</v>
      </c>
      <c r="CF30">
        <v>0.1486725663716815</v>
      </c>
      <c r="CJ30">
        <v>-2.0072763471315262E-2</v>
      </c>
      <c r="CK30">
        <v>-4.0000000000000042E-2</v>
      </c>
      <c r="CL30">
        <v>4.2105263157894868E-2</v>
      </c>
      <c r="CN30">
        <v>0.32166666666666649</v>
      </c>
      <c r="CO30">
        <v>0.24573746772958091</v>
      </c>
      <c r="CP30">
        <v>-0.14814814814814831</v>
      </c>
      <c r="CQ30">
        <v>0.1144278606965177</v>
      </c>
      <c r="CR30">
        <v>-6.0147813233631942E-2</v>
      </c>
      <c r="CS30">
        <v>0.81090909090909102</v>
      </c>
      <c r="CT30">
        <v>-1.092896174863389E-2</v>
      </c>
      <c r="CU30">
        <v>0.91703056768558944</v>
      </c>
      <c r="CV30">
        <v>2.3000707714083472E-2</v>
      </c>
      <c r="CW30">
        <v>2.5680272108843601E-2</v>
      </c>
      <c r="CX30">
        <v>-2.9845626072041109E-2</v>
      </c>
      <c r="CY30">
        <v>0.103202846975089</v>
      </c>
      <c r="CZ30">
        <v>-2.9021992322918692E-2</v>
      </c>
      <c r="DA30">
        <v>9.1232227488151851E-2</v>
      </c>
      <c r="DB30">
        <v>1.168539325842697</v>
      </c>
      <c r="DC30">
        <v>3.2041085553281327E-2</v>
      </c>
      <c r="DD30">
        <v>-0.18454258675078861</v>
      </c>
      <c r="DE30">
        <v>-5.4774946415813257E-2</v>
      </c>
      <c r="DF30">
        <v>-4.1394335511982461E-2</v>
      </c>
      <c r="DG30">
        <v>8.9060987415295223E-2</v>
      </c>
      <c r="DI30">
        <v>0.34807793575566109</v>
      </c>
      <c r="DJ30">
        <v>-0.4219090909090909</v>
      </c>
      <c r="DK30">
        <v>-0.41927453769559042</v>
      </c>
      <c r="DL30">
        <v>7.8277886497064575E-3</v>
      </c>
      <c r="DM30">
        <v>2.489626556016589E-2</v>
      </c>
      <c r="DN30">
        <v>0.24193548387096769</v>
      </c>
      <c r="DP30">
        <v>0.48446009296016262</v>
      </c>
      <c r="DQ30">
        <v>2.066742510428532E-2</v>
      </c>
      <c r="DR30">
        <v>3.4246575342467001E-3</v>
      </c>
      <c r="DS30">
        <v>9.7856154910096693E-2</v>
      </c>
      <c r="DU30">
        <v>2.876712328767117E-2</v>
      </c>
      <c r="DW30">
        <v>-0.1411290322580645</v>
      </c>
      <c r="DY30">
        <v>-0.15677445763405651</v>
      </c>
      <c r="DZ30">
        <v>0.16987179487179471</v>
      </c>
      <c r="EA30">
        <v>0.85253456221198154</v>
      </c>
      <c r="EB30">
        <v>-8.7500000000000022E-2</v>
      </c>
      <c r="EC30">
        <v>8.8967971530249157E-2</v>
      </c>
      <c r="ED30">
        <v>1.3622047244094491</v>
      </c>
      <c r="EE30">
        <v>-0.37386934673366817</v>
      </c>
      <c r="EF30">
        <v>7.0796460176991038E-2</v>
      </c>
      <c r="EG30">
        <v>0.640625</v>
      </c>
      <c r="EH30">
        <v>-9.5238095238095233E-2</v>
      </c>
      <c r="EI30">
        <v>-7.4497731691509861E-2</v>
      </c>
      <c r="EJ30">
        <v>0.23548650858544559</v>
      </c>
      <c r="EK30">
        <v>0.1110825404988429</v>
      </c>
      <c r="EL30">
        <v>-7.7922077922077948E-2</v>
      </c>
      <c r="EM30">
        <v>9.0640617900954235E-2</v>
      </c>
      <c r="EN30">
        <v>6.3974905339779786E-2</v>
      </c>
      <c r="EO30">
        <v>0.25560538116591908</v>
      </c>
    </row>
    <row r="31" spans="1:145" x14ac:dyDescent="0.25">
      <c r="A31">
        <v>2022</v>
      </c>
      <c r="B31">
        <v>8</v>
      </c>
      <c r="C31">
        <v>-4.0801900015809973E-2</v>
      </c>
      <c r="D31">
        <v>1.93453589597814E-3</v>
      </c>
      <c r="E31">
        <v>3.2446463335496389E-2</v>
      </c>
      <c r="F31">
        <v>-0.1741538461538461</v>
      </c>
      <c r="H31">
        <v>7.6086956521739246E-2</v>
      </c>
      <c r="I31">
        <v>-6.4838829195998482E-2</v>
      </c>
      <c r="J31">
        <v>-0.20834447713292331</v>
      </c>
      <c r="K31">
        <v>-0.38700564971751422</v>
      </c>
      <c r="L31">
        <v>0.16247906197654949</v>
      </c>
      <c r="M31">
        <v>7.7080291970802906E-2</v>
      </c>
      <c r="O31">
        <v>1.002336448598131</v>
      </c>
      <c r="P31">
        <v>0.75790754257907555</v>
      </c>
      <c r="Q31">
        <v>-0.2453200039204155</v>
      </c>
      <c r="R31">
        <v>-0.20278666917717941</v>
      </c>
      <c r="S31">
        <v>5.9850374064838166E-3</v>
      </c>
      <c r="T31">
        <v>-0.34615384615384609</v>
      </c>
      <c r="U31">
        <v>-2.873563218390807E-2</v>
      </c>
      <c r="V31">
        <v>0.40380549682875261</v>
      </c>
      <c r="W31">
        <v>-8.536585365853655E-2</v>
      </c>
      <c r="X31">
        <v>0.65327805130862893</v>
      </c>
      <c r="Y31">
        <v>-0.57211538461538458</v>
      </c>
      <c r="Z31">
        <v>-0.18881118881118891</v>
      </c>
      <c r="AB31">
        <v>-8.6338541760532572E-2</v>
      </c>
      <c r="AC31">
        <v>0.22222222222222229</v>
      </c>
      <c r="AD31">
        <v>4.1666666666666741E-2</v>
      </c>
      <c r="AE31">
        <v>0.18077803203661319</v>
      </c>
      <c r="AF31">
        <v>8.4656084656084651E-2</v>
      </c>
      <c r="AG31">
        <v>0.34146341463414642</v>
      </c>
      <c r="AH31">
        <v>-0.1103896103896104</v>
      </c>
      <c r="AI31">
        <v>0.1124260355029585</v>
      </c>
      <c r="AJ31">
        <v>5.344198105719844E-3</v>
      </c>
      <c r="AK31">
        <v>-1.4943960149438329E-3</v>
      </c>
      <c r="AL31">
        <v>2.268760907504341E-2</v>
      </c>
      <c r="AM31">
        <v>-9.9092812281926013E-2</v>
      </c>
      <c r="AN31">
        <v>-7.7504725897920679E-2</v>
      </c>
      <c r="AO31">
        <v>3.524229074889873E-2</v>
      </c>
      <c r="AP31">
        <v>-0.34018691588785038</v>
      </c>
      <c r="AR31">
        <v>0.37737961926091818</v>
      </c>
      <c r="AT31">
        <v>-2.702702702702697E-2</v>
      </c>
      <c r="AU31">
        <v>-9.193029490616611E-2</v>
      </c>
      <c r="AV31">
        <v>0.48469387755102028</v>
      </c>
      <c r="AW31">
        <v>-0.25320829220138208</v>
      </c>
      <c r="AX31">
        <v>8.5470085470085166E-3</v>
      </c>
      <c r="AY31">
        <v>-0.12812499999999991</v>
      </c>
      <c r="AZ31">
        <v>-0.22060016220600159</v>
      </c>
      <c r="BA31">
        <v>0.29289428076256518</v>
      </c>
      <c r="BB31">
        <v>-0.15671641791044791</v>
      </c>
      <c r="BC31">
        <v>-0.11475409836065591</v>
      </c>
      <c r="BD31">
        <v>4.2399172699069343E-2</v>
      </c>
      <c r="BE31">
        <v>-4.1176470588235259E-2</v>
      </c>
      <c r="BF31">
        <v>9.5290251916757773E-2</v>
      </c>
      <c r="BG31">
        <v>0.25850340136054428</v>
      </c>
      <c r="BH31">
        <v>0.39336917562724022</v>
      </c>
      <c r="BJ31">
        <v>0.26425925925925942</v>
      </c>
      <c r="BK31">
        <v>5.3921568627451011E-2</v>
      </c>
      <c r="BL31">
        <v>-0.1344372166370984</v>
      </c>
      <c r="BM31">
        <v>0.33779761904761912</v>
      </c>
      <c r="BO31">
        <v>5.9602649006622599E-2</v>
      </c>
      <c r="BP31">
        <v>-6.1264822134387331E-2</v>
      </c>
      <c r="BQ31">
        <v>-8.228730822873076E-2</v>
      </c>
      <c r="BR31">
        <v>0.21390374331550799</v>
      </c>
      <c r="BS31">
        <v>-7.1322985957132268E-2</v>
      </c>
      <c r="BT31">
        <v>-0.2</v>
      </c>
      <c r="BV31">
        <v>-8.524717789022962E-2</v>
      </c>
      <c r="BW31">
        <v>-5.3825451749327513E-3</v>
      </c>
      <c r="BX31">
        <v>-6.9288215965273903E-2</v>
      </c>
      <c r="BZ31">
        <v>0.32154996600951707</v>
      </c>
      <c r="CA31">
        <v>9.6296296296296102E-2</v>
      </c>
      <c r="CB31">
        <v>3.9117679017710572E-3</v>
      </c>
      <c r="CC31">
        <v>-8.3417242796653412E-2</v>
      </c>
      <c r="CD31">
        <v>-0.23025879230258789</v>
      </c>
      <c r="CE31">
        <v>0.1763506625891946</v>
      </c>
      <c r="CF31">
        <v>-0.1078582434514638</v>
      </c>
      <c r="CJ31">
        <v>-4.4548743971401412E-2</v>
      </c>
      <c r="CK31">
        <v>-2.083333333333337E-2</v>
      </c>
      <c r="CL31">
        <v>-5.050505050505083E-3</v>
      </c>
      <c r="CN31">
        <v>-0.18032786885245899</v>
      </c>
      <c r="CO31">
        <v>-0.1232265263829109</v>
      </c>
      <c r="CP31">
        <v>1.449275362318847E-2</v>
      </c>
      <c r="CQ31">
        <v>0.1339285714285714</v>
      </c>
      <c r="CR31">
        <v>-9.2443131987077765E-2</v>
      </c>
      <c r="CS31">
        <v>-0.19076305220883541</v>
      </c>
      <c r="CT31">
        <v>8.2872928176795924E-3</v>
      </c>
      <c r="CU31">
        <v>-2.505694760820032E-2</v>
      </c>
      <c r="CV31">
        <v>-0.24322982336729099</v>
      </c>
      <c r="CW31">
        <v>-0.1613331122533577</v>
      </c>
      <c r="CX31">
        <v>-7.2135785007072184E-2</v>
      </c>
      <c r="CY31">
        <v>-0.1129032258064516</v>
      </c>
      <c r="CZ31">
        <v>-0.1045353384271608</v>
      </c>
      <c r="DA31">
        <v>-7.2747014115092434E-2</v>
      </c>
      <c r="DB31">
        <v>0.1099597006332758</v>
      </c>
      <c r="DC31">
        <v>-0.10627922757662971</v>
      </c>
      <c r="DD31">
        <v>0.17117988394584141</v>
      </c>
      <c r="DE31">
        <v>-0.17422524565381711</v>
      </c>
      <c r="DF31">
        <v>4.5454545454544082E-3</v>
      </c>
      <c r="DG31">
        <v>-0.2088888888888889</v>
      </c>
      <c r="DI31">
        <v>0.13828124999999991</v>
      </c>
      <c r="DJ31">
        <v>2.4439377260575559</v>
      </c>
      <c r="DK31">
        <v>0.57562767911818757</v>
      </c>
      <c r="DL31">
        <v>3.8834951456310218E-3</v>
      </c>
      <c r="DM31">
        <v>0.18421052631578941</v>
      </c>
      <c r="DN31">
        <v>9.5238095238095122E-2</v>
      </c>
      <c r="DP31">
        <v>-0.1227448951481229</v>
      </c>
      <c r="DQ31">
        <v>4.0312093628088297E-2</v>
      </c>
      <c r="DR31">
        <v>-5.1194539249146742E-2</v>
      </c>
      <c r="DS31">
        <v>7.8110236220472418E-2</v>
      </c>
      <c r="DU31">
        <v>2.3968042609853631E-2</v>
      </c>
      <c r="DW31">
        <v>0.83098591549295775</v>
      </c>
      <c r="DY31">
        <v>0.43203883495145629</v>
      </c>
      <c r="DZ31">
        <v>4.1095890410958853E-2</v>
      </c>
      <c r="EA31">
        <v>-6.9651741293532243E-2</v>
      </c>
      <c r="EB31">
        <v>-7.8870900788708953E-3</v>
      </c>
      <c r="EC31">
        <v>3.9215686274509887E-2</v>
      </c>
      <c r="ED31">
        <v>0</v>
      </c>
      <c r="EE31">
        <v>0.59069020866773658</v>
      </c>
      <c r="EF31">
        <v>0.26446280991735538</v>
      </c>
      <c r="EG31">
        <v>0.24444444444444449</v>
      </c>
      <c r="EH31">
        <v>-0.1644736842105263</v>
      </c>
      <c r="EI31">
        <v>-2.801022373166262E-3</v>
      </c>
      <c r="EJ31">
        <v>0.35009927200529439</v>
      </c>
      <c r="EK31">
        <v>-0.27493635732469329</v>
      </c>
      <c r="EL31">
        <v>0.176056338028169</v>
      </c>
      <c r="EM31">
        <v>-0.16871485107269341</v>
      </c>
      <c r="EN31">
        <v>-0.14253641226154451</v>
      </c>
      <c r="EO31">
        <v>-2.4999999999999911E-2</v>
      </c>
    </row>
    <row r="32" spans="1:145" x14ac:dyDescent="0.25">
      <c r="A32">
        <v>2022</v>
      </c>
      <c r="B32">
        <v>9</v>
      </c>
      <c r="C32">
        <v>-9.2416539384395202E-2</v>
      </c>
      <c r="D32">
        <v>2.0609946325707011E-3</v>
      </c>
      <c r="E32">
        <v>-1.068510370835951E-2</v>
      </c>
      <c r="F32">
        <v>-0.34798807749627431</v>
      </c>
      <c r="H32">
        <v>-0.27946127946127952</v>
      </c>
      <c r="I32">
        <v>0.1152931854199684</v>
      </c>
      <c r="J32">
        <v>-5.0675675675675658E-2</v>
      </c>
      <c r="K32">
        <v>-6.9124423963133563E-2</v>
      </c>
      <c r="L32">
        <v>-0.19308357348703181</v>
      </c>
      <c r="M32">
        <v>-0.12876118189211169</v>
      </c>
      <c r="O32">
        <v>1.4002333722286989E-2</v>
      </c>
      <c r="P32">
        <v>-0.19031141868512111</v>
      </c>
      <c r="Q32">
        <v>-0.10389610389610381</v>
      </c>
      <c r="R32">
        <v>5.0779404818138918E-2</v>
      </c>
      <c r="S32">
        <v>5.4536440257808572E-3</v>
      </c>
      <c r="T32">
        <v>-0.10980392156862739</v>
      </c>
      <c r="U32">
        <v>-0.12130177514792891</v>
      </c>
      <c r="V32">
        <v>-0.24548192771084329</v>
      </c>
      <c r="W32">
        <v>-0.24133333333333329</v>
      </c>
      <c r="X32">
        <v>-0.30062695924764887</v>
      </c>
      <c r="Y32">
        <v>-0.1685393258426966</v>
      </c>
      <c r="Z32">
        <v>-9.4827586206896575E-2</v>
      </c>
      <c r="AB32">
        <v>5.4591390567365172E-2</v>
      </c>
      <c r="AC32">
        <v>-2.7272727272727341E-2</v>
      </c>
      <c r="AD32">
        <v>-5.9599999999999993E-2</v>
      </c>
      <c r="AE32">
        <v>-9.3023255813953543E-2</v>
      </c>
      <c r="AF32">
        <v>-7.3170731707317027E-2</v>
      </c>
      <c r="AG32">
        <v>-0.35151515151515139</v>
      </c>
      <c r="AH32">
        <v>-0.17518248175182491</v>
      </c>
      <c r="AI32">
        <v>-0.2675941080196399</v>
      </c>
      <c r="AJ32">
        <v>-0.41578947368421049</v>
      </c>
      <c r="AK32">
        <v>-0.27413320029932647</v>
      </c>
      <c r="AL32">
        <v>-8.8737201365187701E-2</v>
      </c>
      <c r="AM32">
        <v>-6.9713400464755937E-3</v>
      </c>
      <c r="AN32">
        <v>-0.33401639344262291</v>
      </c>
      <c r="AO32">
        <v>2.5531914893617062E-2</v>
      </c>
      <c r="AP32">
        <v>-0.1983002832861189</v>
      </c>
      <c r="AR32">
        <v>-1.626016260162599E-2</v>
      </c>
      <c r="AT32">
        <v>-7.4074074074074181E-2</v>
      </c>
      <c r="AU32">
        <v>-0.27371497741430728</v>
      </c>
      <c r="AV32">
        <v>-0.2052233676975945</v>
      </c>
      <c r="AW32">
        <v>-0.1797752808988764</v>
      </c>
      <c r="AX32">
        <v>0.93220338983050843</v>
      </c>
      <c r="AY32">
        <v>-0.2437275985663083</v>
      </c>
      <c r="AZ32">
        <v>-0.16233090530697181</v>
      </c>
      <c r="BA32">
        <v>-0.1018766756032171</v>
      </c>
      <c r="BB32">
        <v>-7.0796460176991038E-2</v>
      </c>
      <c r="BC32">
        <v>-0.30740740740740741</v>
      </c>
      <c r="BD32">
        <v>-2.3809523809523839E-2</v>
      </c>
      <c r="BE32">
        <v>0.19938650306748459</v>
      </c>
      <c r="BF32">
        <v>-0.20899999999999999</v>
      </c>
      <c r="BG32">
        <v>9.3243243243243068E-2</v>
      </c>
      <c r="BH32">
        <v>-0.25273311897106121</v>
      </c>
      <c r="BJ32">
        <v>-0.25999707045554421</v>
      </c>
      <c r="BK32">
        <v>-0.1909302325581396</v>
      </c>
      <c r="BL32">
        <v>8.6540651332271956E-3</v>
      </c>
      <c r="BM32">
        <v>0.34260289210233591</v>
      </c>
      <c r="BO32">
        <v>-0.22982142857142859</v>
      </c>
      <c r="BP32">
        <v>-0.25263157894736837</v>
      </c>
      <c r="BQ32">
        <v>-0.11778115501519761</v>
      </c>
      <c r="BR32">
        <v>-0.1145374449339208</v>
      </c>
      <c r="BS32">
        <v>-7.4214086748905617E-2</v>
      </c>
      <c r="BT32">
        <v>-0.38636363636363641</v>
      </c>
      <c r="BV32">
        <v>-0.33617021276595749</v>
      </c>
      <c r="BW32">
        <v>-0.1412833397758021</v>
      </c>
      <c r="BX32">
        <v>1.25202405543523E-2</v>
      </c>
      <c r="BZ32">
        <v>-0.20910493827160481</v>
      </c>
      <c r="CA32">
        <v>-0.17229729729729731</v>
      </c>
      <c r="CB32">
        <v>-6.7972724320813915E-2</v>
      </c>
      <c r="CC32">
        <v>7.3432470761779944E-2</v>
      </c>
      <c r="CD32">
        <v>-0.22413793103448271</v>
      </c>
      <c r="CE32">
        <v>-5.7192374350086513E-2</v>
      </c>
      <c r="CF32">
        <v>-0.13471502590673581</v>
      </c>
      <c r="CJ32">
        <v>1.691021511160606E-2</v>
      </c>
      <c r="CK32">
        <v>-0.53191489361702127</v>
      </c>
      <c r="CL32">
        <v>-0.1878172588832486</v>
      </c>
      <c r="CN32">
        <v>0.13846153846153841</v>
      </c>
      <c r="CO32">
        <v>-6.7532467532467555E-2</v>
      </c>
      <c r="CP32">
        <v>-0.19999999999999979</v>
      </c>
      <c r="CQ32">
        <v>-0.18307086614173221</v>
      </c>
      <c r="CR32">
        <v>-0.17980835881753299</v>
      </c>
      <c r="CS32">
        <v>-0.218362282878412</v>
      </c>
      <c r="CT32">
        <v>2.739726027397138E-3</v>
      </c>
      <c r="CU32">
        <v>-0.2429906542056075</v>
      </c>
      <c r="CV32">
        <v>-9.530760440856656E-2</v>
      </c>
      <c r="CW32">
        <v>-1.482799525504153E-2</v>
      </c>
      <c r="CX32">
        <v>1.3528963414634051E-2</v>
      </c>
      <c r="CY32">
        <v>-0.17818181818181811</v>
      </c>
      <c r="CZ32">
        <v>-3.2500773528472027E-2</v>
      </c>
      <c r="DA32">
        <v>0.29742388758782212</v>
      </c>
      <c r="DB32">
        <v>8.3506224066389967E-2</v>
      </c>
      <c r="DC32">
        <v>-4.0297470850328643E-2</v>
      </c>
      <c r="DD32">
        <v>-6.8538398018166857E-2</v>
      </c>
      <c r="DE32">
        <v>-0.22196796338672781</v>
      </c>
      <c r="DF32">
        <v>-0.19230769230769229</v>
      </c>
      <c r="DG32">
        <v>7.6404494382022348E-2</v>
      </c>
      <c r="DI32">
        <v>0.27041866849691171</v>
      </c>
      <c r="DJ32">
        <v>-0.27397260273972601</v>
      </c>
      <c r="DK32">
        <v>0.62534006995724822</v>
      </c>
      <c r="DL32">
        <v>-9.6711798839455021E-4</v>
      </c>
      <c r="DM32">
        <v>0.11452991452991459</v>
      </c>
      <c r="DN32">
        <v>-5.1383399209486091E-2</v>
      </c>
      <c r="DP32">
        <v>-0.31697827069339229</v>
      </c>
      <c r="DQ32">
        <v>-0.37410714285714292</v>
      </c>
      <c r="DR32">
        <v>-0.23381294964028779</v>
      </c>
      <c r="DS32">
        <v>-1.110137306456316E-2</v>
      </c>
      <c r="DU32">
        <v>0.1131339401820546</v>
      </c>
      <c r="DW32">
        <v>0.51025641025641022</v>
      </c>
      <c r="DY32">
        <v>-0.29152542372881363</v>
      </c>
      <c r="DZ32">
        <v>-0.27631578947368418</v>
      </c>
      <c r="EA32">
        <v>-0.30213903743315518</v>
      </c>
      <c r="EB32">
        <v>-0.26276150627615069</v>
      </c>
      <c r="EC32">
        <v>-0.51572327044025157</v>
      </c>
      <c r="ED32">
        <v>-0.1818181818181818</v>
      </c>
      <c r="EE32">
        <v>-0.32996972754793141</v>
      </c>
      <c r="EF32">
        <v>-0.2470588235294118</v>
      </c>
      <c r="EG32">
        <v>-0.25510204081632648</v>
      </c>
      <c r="EH32">
        <v>-6.2992125984251968E-2</v>
      </c>
      <c r="EI32">
        <v>-0.1078496775628197</v>
      </c>
      <c r="EJ32">
        <v>0.71127450980392148</v>
      </c>
      <c r="EK32">
        <v>-0.2879029684008938</v>
      </c>
      <c r="EL32">
        <v>-6.5868263473053856E-2</v>
      </c>
      <c r="EM32">
        <v>-0.43598095715359553</v>
      </c>
      <c r="EN32">
        <v>-5.2641911838327671E-2</v>
      </c>
      <c r="EO32">
        <v>0.14285714285714279</v>
      </c>
    </row>
    <row r="33" spans="1:145" x14ac:dyDescent="0.25">
      <c r="A33">
        <v>2022</v>
      </c>
      <c r="B33">
        <v>10</v>
      </c>
      <c r="C33">
        <v>8.1275790602356901E-2</v>
      </c>
      <c r="D33">
        <v>1.5897569155038931E-3</v>
      </c>
      <c r="E33">
        <v>-8.259212198221122E-3</v>
      </c>
      <c r="F33">
        <v>-0.15714285714285711</v>
      </c>
      <c r="H33">
        <v>6.0747663551401709E-2</v>
      </c>
      <c r="I33">
        <v>0.26714031971580821</v>
      </c>
      <c r="J33">
        <v>9.9644128113878905E-2</v>
      </c>
      <c r="K33">
        <v>8.9108910891089188E-2</v>
      </c>
      <c r="L33">
        <v>-0.13928571428571421</v>
      </c>
      <c r="M33">
        <v>0.20068450528935911</v>
      </c>
      <c r="O33">
        <v>-0.17031070195627149</v>
      </c>
      <c r="P33">
        <v>-0.25641025641025639</v>
      </c>
      <c r="Q33">
        <v>-0.1681159420289855</v>
      </c>
      <c r="R33">
        <v>0.117329737019555</v>
      </c>
      <c r="S33">
        <v>2.9585798816567088E-3</v>
      </c>
      <c r="T33">
        <v>0.1365638766519823</v>
      </c>
      <c r="U33">
        <v>0.1144781144781144</v>
      </c>
      <c r="V33">
        <v>0.31536926147704603</v>
      </c>
      <c r="W33">
        <v>5.4481546572934907E-2</v>
      </c>
      <c r="X33">
        <v>1.1878081577767929E-2</v>
      </c>
      <c r="Y33">
        <v>-0.1135135135135136</v>
      </c>
      <c r="Z33">
        <v>2.8571428571428688E-2</v>
      </c>
      <c r="AB33">
        <v>9.8123812477886041E-2</v>
      </c>
      <c r="AC33">
        <v>5.1401869158878448E-2</v>
      </c>
      <c r="AD33">
        <v>9.5278604849000414E-2</v>
      </c>
      <c r="AE33">
        <v>4.2735042735042583E-3</v>
      </c>
      <c r="AF33">
        <v>-6.315789473684208E-2</v>
      </c>
      <c r="AG33">
        <v>9.3457943925232545E-3</v>
      </c>
      <c r="AH33">
        <v>8.8495575221239076E-3</v>
      </c>
      <c r="AI33">
        <v>-0.1061452513966481</v>
      </c>
      <c r="AJ33">
        <v>0.13513513513513509</v>
      </c>
      <c r="AK33">
        <v>-0.28980526918671251</v>
      </c>
      <c r="AL33">
        <v>0.1198501872659177</v>
      </c>
      <c r="AM33">
        <v>0.1154446177847115</v>
      </c>
      <c r="AN33">
        <v>-3.7692307692307692E-2</v>
      </c>
      <c r="AO33">
        <v>2.0746887966804909E-2</v>
      </c>
      <c r="AP33">
        <v>8.4805653710247286E-2</v>
      </c>
      <c r="AR33">
        <v>-0.1074380165289256</v>
      </c>
      <c r="AT33">
        <v>-2.9999999999999919E-2</v>
      </c>
      <c r="AU33">
        <v>-8.536585365853655E-2</v>
      </c>
      <c r="AV33">
        <v>0.1241784849533034</v>
      </c>
      <c r="AW33">
        <v>6.2852538275584235E-2</v>
      </c>
      <c r="AX33">
        <v>0.94736842105263186</v>
      </c>
      <c r="AY33">
        <v>-0.19194312796208529</v>
      </c>
      <c r="AZ33">
        <v>6.3354037267080665E-2</v>
      </c>
      <c r="BA33">
        <v>0.2134328358208957</v>
      </c>
      <c r="BB33">
        <v>0.21428571428571419</v>
      </c>
      <c r="BC33">
        <v>-7.4866310160427774E-2</v>
      </c>
      <c r="BD33">
        <v>-3.3536585365853688E-2</v>
      </c>
      <c r="BE33">
        <v>0.1048593350383633</v>
      </c>
      <c r="BF33">
        <v>-0.31731984829329962</v>
      </c>
      <c r="BG33">
        <v>-0.31273176761433868</v>
      </c>
      <c r="BH33">
        <v>-0.1239242685025818</v>
      </c>
      <c r="BJ33">
        <v>5.4038004750593949E-2</v>
      </c>
      <c r="BK33">
        <v>-0.35613682092555332</v>
      </c>
      <c r="BL33">
        <v>0.17407992774892761</v>
      </c>
      <c r="BM33">
        <v>-3.314001657000909E-3</v>
      </c>
      <c r="BO33">
        <v>2.457686065383724E-2</v>
      </c>
      <c r="BP33">
        <v>-0.22535211267605629</v>
      </c>
      <c r="BQ33">
        <v>0.16795865633074941</v>
      </c>
      <c r="BR33">
        <v>0.16915422885572151</v>
      </c>
      <c r="BS33">
        <v>-1.848269933376312E-2</v>
      </c>
      <c r="BT33">
        <v>4.3209876543209853E-2</v>
      </c>
      <c r="BV33">
        <v>-0.1038461538461538</v>
      </c>
      <c r="BW33">
        <v>7.8775602070672912E-2</v>
      </c>
      <c r="BX33">
        <v>6.4948333852546725E-2</v>
      </c>
      <c r="BZ33">
        <v>6.8292682926829329E-2</v>
      </c>
      <c r="CA33">
        <v>-9.7959183673469452E-2</v>
      </c>
      <c r="CB33">
        <v>1.7884101730345051E-2</v>
      </c>
      <c r="CC33">
        <v>0.1198083167976678</v>
      </c>
      <c r="CD33">
        <v>-9.1111111111111143E-2</v>
      </c>
      <c r="CE33">
        <v>-0.1011029411764707</v>
      </c>
      <c r="CF33">
        <v>-6.3872255489021867E-2</v>
      </c>
      <c r="CJ33">
        <v>0.17510377575723621</v>
      </c>
      <c r="CK33">
        <v>-3.6363636363636383E-2</v>
      </c>
      <c r="CL33">
        <v>0.17499999999999979</v>
      </c>
      <c r="CN33">
        <v>9.4594594594594517E-2</v>
      </c>
      <c r="CO33">
        <v>0.1922005571030643</v>
      </c>
      <c r="CP33">
        <v>-1.7857142857142901E-2</v>
      </c>
      <c r="CQ33">
        <v>-0.130120481927711</v>
      </c>
      <c r="CR33">
        <v>0.11880070792236699</v>
      </c>
      <c r="CS33">
        <v>5.0793650793650842E-2</v>
      </c>
      <c r="CT33">
        <v>-4.644808743169393E-2</v>
      </c>
      <c r="CU33">
        <v>9.7222222222222099E-2</v>
      </c>
      <c r="CV33">
        <v>0.1053399284532706</v>
      </c>
      <c r="CW33">
        <v>9.3317278747742316E-2</v>
      </c>
      <c r="CX33">
        <v>-2.6884752773077669E-2</v>
      </c>
      <c r="CY33">
        <v>-6.1946902654867353E-2</v>
      </c>
      <c r="CZ33">
        <v>6.3758258387089262E-2</v>
      </c>
      <c r="DA33">
        <v>-4.332129963898923E-2</v>
      </c>
      <c r="DB33">
        <v>0.19052178075634291</v>
      </c>
      <c r="DC33">
        <v>0.12955643121080621</v>
      </c>
      <c r="DD33">
        <v>6.8262411347517871E-2</v>
      </c>
      <c r="DE33">
        <v>-5.8823529411764719E-2</v>
      </c>
      <c r="DF33">
        <v>-3.6414565826330507E-2</v>
      </c>
      <c r="DG33">
        <v>-0.36325678496868491</v>
      </c>
      <c r="DI33">
        <v>-0.82739059967585094</v>
      </c>
      <c r="DJ33">
        <v>1.465408805031446</v>
      </c>
      <c r="DK33">
        <v>-0.12864658058345291</v>
      </c>
      <c r="DL33">
        <v>8.7221684414326983E-3</v>
      </c>
      <c r="DM33">
        <v>-0.18098159509202449</v>
      </c>
      <c r="DN33">
        <v>-3.7499999999999978E-2</v>
      </c>
      <c r="DP33">
        <v>-0.107764420920427</v>
      </c>
      <c r="DQ33">
        <v>-0.50356633380884452</v>
      </c>
      <c r="DR33">
        <v>-6.5727699530516492E-2</v>
      </c>
      <c r="DS33">
        <v>1.240768094534728E-2</v>
      </c>
      <c r="DU33">
        <v>7.5934579439252303E-2</v>
      </c>
      <c r="DW33">
        <v>0.17317487266553491</v>
      </c>
      <c r="DY33">
        <v>-0.36842105263157893</v>
      </c>
      <c r="DZ33">
        <v>0.4800000000000002</v>
      </c>
      <c r="EA33">
        <v>6.1302681992337238E-2</v>
      </c>
      <c r="EB33">
        <v>-0.1827468785471055</v>
      </c>
      <c r="EC33">
        <v>0.28571428571428559</v>
      </c>
      <c r="ED33">
        <v>-7.4074074074074181E-2</v>
      </c>
      <c r="EE33">
        <v>-4.6686746987951722E-2</v>
      </c>
      <c r="EF33">
        <v>6.25E-2</v>
      </c>
      <c r="EG33">
        <v>-0.14726027397260269</v>
      </c>
      <c r="EH33">
        <v>-0.1008403361344538</v>
      </c>
      <c r="EI33">
        <v>0.18897255601616211</v>
      </c>
      <c r="EJ33">
        <v>-7.2758521913491858E-2</v>
      </c>
      <c r="EK33">
        <v>0.1456745853877186</v>
      </c>
      <c r="EL33">
        <v>2.5641025641025769E-2</v>
      </c>
      <c r="EM33">
        <v>0.46601510439804522</v>
      </c>
      <c r="EN33">
        <v>1.8983336994469639E-2</v>
      </c>
      <c r="EO33">
        <v>-0.1025641025641026</v>
      </c>
    </row>
    <row r="34" spans="1:145" x14ac:dyDescent="0.25">
      <c r="A34">
        <v>2022</v>
      </c>
      <c r="B34">
        <v>11</v>
      </c>
      <c r="C34">
        <v>5.5591284383854862E-2</v>
      </c>
      <c r="D34">
        <v>3.146320420488236E-3</v>
      </c>
      <c r="E34">
        <v>-2.4983984625240211E-2</v>
      </c>
      <c r="F34">
        <v>-8.5084745762711966E-2</v>
      </c>
      <c r="H34">
        <v>-0.14317180616740091</v>
      </c>
      <c r="I34">
        <v>7.569386038687953E-2</v>
      </c>
      <c r="J34">
        <v>-4.5631067961165013E-2</v>
      </c>
      <c r="K34">
        <v>0.16363636363636361</v>
      </c>
      <c r="L34">
        <v>-8.7136929460580936E-2</v>
      </c>
      <c r="M34">
        <v>8.7069188909043804E-2</v>
      </c>
      <c r="O34">
        <v>-0.30859916782246882</v>
      </c>
      <c r="P34">
        <v>6.6666666666666652E-2</v>
      </c>
      <c r="Q34">
        <v>-0.1428571428571429</v>
      </c>
      <c r="R34">
        <v>-0.17441158720579361</v>
      </c>
      <c r="S34">
        <v>7.8662733529990536E-3</v>
      </c>
      <c r="T34">
        <v>0.20155038759689911</v>
      </c>
      <c r="U34">
        <v>-6.0422960725075581E-2</v>
      </c>
      <c r="V34">
        <v>0.39150227617602429</v>
      </c>
      <c r="W34">
        <v>-0.2183333333333333</v>
      </c>
      <c r="X34">
        <v>0.60110741971207116</v>
      </c>
      <c r="Y34">
        <v>0.25060975609756109</v>
      </c>
      <c r="Z34">
        <v>-2.777777777777779E-2</v>
      </c>
      <c r="AB34">
        <v>3.6271504002725267E-2</v>
      </c>
      <c r="AC34">
        <v>-0.1133333333333333</v>
      </c>
      <c r="AD34">
        <v>-0.39922330097087377</v>
      </c>
      <c r="AE34">
        <v>0.25531914893617008</v>
      </c>
      <c r="AF34">
        <v>0.97191011235955038</v>
      </c>
      <c r="AG34">
        <v>-8.0833333333333313E-2</v>
      </c>
      <c r="AH34">
        <v>6.1403508771929793E-2</v>
      </c>
      <c r="AI34">
        <v>-0.36875000000000002</v>
      </c>
      <c r="AJ34">
        <v>9.5238095238095122E-2</v>
      </c>
      <c r="AK34">
        <v>0.1048387096774195</v>
      </c>
      <c r="AL34">
        <v>0.21906354515050161</v>
      </c>
      <c r="AM34">
        <v>-0.11608391608391611</v>
      </c>
      <c r="AN34">
        <v>-3.5171862509991943E-2</v>
      </c>
      <c r="AO34">
        <v>-7.7235772357723609E-2</v>
      </c>
      <c r="AP34">
        <v>0.35504885993485358</v>
      </c>
      <c r="AR34">
        <v>8.3333333333333259E-2</v>
      </c>
      <c r="AT34">
        <v>-8.2371134020618575E-2</v>
      </c>
      <c r="AU34">
        <v>-0.2</v>
      </c>
      <c r="AV34">
        <v>-0.35399999999999998</v>
      </c>
      <c r="AW34">
        <v>-2.4260803639120532E-2</v>
      </c>
      <c r="AX34">
        <v>-4.0540540540540682E-2</v>
      </c>
      <c r="AY34">
        <v>-0.15835777126099709</v>
      </c>
      <c r="AZ34">
        <v>-0.15420560747663559</v>
      </c>
      <c r="BA34">
        <v>-0.17589175891758921</v>
      </c>
      <c r="BB34">
        <v>0.18431372549019609</v>
      </c>
      <c r="BC34">
        <v>-0.13294797687861279</v>
      </c>
      <c r="BD34">
        <v>-5.8885383806519531E-2</v>
      </c>
      <c r="BE34">
        <v>-8.7962962962963021E-2</v>
      </c>
      <c r="BF34">
        <v>-0.40740740740740738</v>
      </c>
      <c r="BG34">
        <v>0.23201438848920869</v>
      </c>
      <c r="BH34">
        <v>7.4656188605108031E-2</v>
      </c>
      <c r="BJ34">
        <v>-0.31417840375586858</v>
      </c>
      <c r="BK34">
        <v>-0.2767857142857143</v>
      </c>
      <c r="BL34">
        <v>0.14942307692307691</v>
      </c>
      <c r="BM34">
        <v>-7.3150457190357399E-2</v>
      </c>
      <c r="BO34">
        <v>-0.16270649468205481</v>
      </c>
      <c r="BP34">
        <v>-0.18909090909090909</v>
      </c>
      <c r="BQ34">
        <v>-3.1710914454277317E-2</v>
      </c>
      <c r="BR34">
        <v>0.31063829787234032</v>
      </c>
      <c r="BS34">
        <v>0.18721261221808619</v>
      </c>
      <c r="BT34">
        <v>-0.2307692307692307</v>
      </c>
      <c r="BV34">
        <v>-7.0100143061516462E-2</v>
      </c>
      <c r="BW34">
        <v>9.1244175533764516E-2</v>
      </c>
      <c r="BX34">
        <v>2.9735063054844298E-2</v>
      </c>
      <c r="BZ34">
        <v>-0.45966514459665148</v>
      </c>
      <c r="CA34">
        <v>0.33936651583710398</v>
      </c>
      <c r="CB34">
        <v>-0.16828294352538509</v>
      </c>
      <c r="CC34">
        <v>2.7648723518968629E-2</v>
      </c>
      <c r="CD34">
        <v>0.1004889975550121</v>
      </c>
      <c r="CE34">
        <v>2.6584867075664539E-2</v>
      </c>
      <c r="CF34">
        <v>-0.2515991471215353</v>
      </c>
      <c r="CJ34">
        <v>8.8142519404806219E-2</v>
      </c>
      <c r="CK34">
        <v>-0.43102425876010769</v>
      </c>
      <c r="CL34">
        <v>-0.25531914893617019</v>
      </c>
      <c r="CN34">
        <v>0.7777777777777779</v>
      </c>
      <c r="CO34">
        <v>-8.4112149532710401E-2</v>
      </c>
      <c r="CP34">
        <v>-0.13181818181818189</v>
      </c>
      <c r="CQ34">
        <v>-0.17728531855955679</v>
      </c>
      <c r="CR34">
        <v>5.1499895578295263E-3</v>
      </c>
      <c r="CS34">
        <v>-0.35347432024169179</v>
      </c>
      <c r="CT34">
        <v>-0.49283667621776511</v>
      </c>
      <c r="CU34">
        <v>0.18846694796061869</v>
      </c>
      <c r="CV34">
        <v>-0.15366695172657829</v>
      </c>
      <c r="CW34">
        <v>0.1281204111600589</v>
      </c>
      <c r="CX34">
        <v>-6.7812982998454396E-2</v>
      </c>
      <c r="CY34">
        <v>-0.104009433962264</v>
      </c>
      <c r="CZ34">
        <v>8.6155778955884665E-2</v>
      </c>
      <c r="DA34">
        <v>-5.8490566037735732E-2</v>
      </c>
      <c r="DB34">
        <v>-0.26095697627663861</v>
      </c>
      <c r="DC34">
        <v>-0.1998512300667292</v>
      </c>
      <c r="DD34">
        <v>-0.1394190871369296</v>
      </c>
      <c r="DE34">
        <v>-0.14354166666666671</v>
      </c>
      <c r="DF34">
        <v>8.720930232558155E-2</v>
      </c>
      <c r="DG34">
        <v>0.35737704918032792</v>
      </c>
      <c r="DI34">
        <v>-0.27230046948356801</v>
      </c>
      <c r="DJ34">
        <v>-6.3775510204081676E-2</v>
      </c>
      <c r="DK34">
        <v>-4.4182217343578523E-2</v>
      </c>
      <c r="DL34">
        <v>-0.56804637191581653</v>
      </c>
      <c r="DM34">
        <v>0.37265917602996268</v>
      </c>
      <c r="DN34">
        <v>2.1645021645021471E-2</v>
      </c>
      <c r="DP34">
        <v>-1.0934318678832431E-3</v>
      </c>
      <c r="DQ34">
        <v>-0.16666666666666671</v>
      </c>
      <c r="DR34">
        <v>-0.1407035175879395</v>
      </c>
      <c r="DS34">
        <v>7.1491100087540005E-2</v>
      </c>
      <c r="DU34">
        <v>-8.7404994571118499E-2</v>
      </c>
      <c r="DW34">
        <v>0.12445730824891441</v>
      </c>
      <c r="DX34">
        <v>-0.18648310387984979</v>
      </c>
      <c r="DY34">
        <v>-9.4696969696969724E-2</v>
      </c>
      <c r="DZ34">
        <v>-4.9140049140049213E-2</v>
      </c>
      <c r="EA34">
        <v>-0.22743682310469299</v>
      </c>
      <c r="EB34">
        <v>0.15972222222222229</v>
      </c>
      <c r="EC34">
        <v>-5.0505050505050497E-2</v>
      </c>
      <c r="ED34">
        <v>-0.18800000000000011</v>
      </c>
      <c r="EE34">
        <v>-0.2764612954186414</v>
      </c>
      <c r="EF34">
        <v>-0.53594771241830075</v>
      </c>
      <c r="EG34">
        <v>0.30522088353413629</v>
      </c>
      <c r="EH34">
        <v>-0.21495401869158881</v>
      </c>
      <c r="EI34">
        <v>0.1006476669645715</v>
      </c>
      <c r="EJ34">
        <v>-0.1044176706827309</v>
      </c>
      <c r="EK34">
        <v>-8.9984350547730796E-2</v>
      </c>
      <c r="EL34">
        <v>-6.25E-2</v>
      </c>
      <c r="EM34">
        <v>-0.1818181818181818</v>
      </c>
      <c r="EN34">
        <v>2.2284303842605269E-2</v>
      </c>
      <c r="EO34">
        <v>-0.15</v>
      </c>
    </row>
    <row r="35" spans="1:145" x14ac:dyDescent="0.25">
      <c r="A35">
        <v>2022</v>
      </c>
      <c r="B35">
        <v>12</v>
      </c>
      <c r="C35">
        <v>-5.7575769899241069E-2</v>
      </c>
      <c r="D35">
        <v>3.6305256942648079E-3</v>
      </c>
      <c r="E35">
        <v>3.4822601839684657E-2</v>
      </c>
      <c r="F35">
        <v>-0.2034086698777324</v>
      </c>
      <c r="H35">
        <v>-0.29562982005141381</v>
      </c>
      <c r="I35">
        <v>-3.7008079228563862E-2</v>
      </c>
      <c r="J35">
        <v>-4.984740590030512E-2</v>
      </c>
      <c r="K35">
        <v>-0.22265625</v>
      </c>
      <c r="L35">
        <v>0.10168181818181821</v>
      </c>
      <c r="M35">
        <v>-4.100119189511342E-2</v>
      </c>
      <c r="O35">
        <v>-4.4132397191574801E-2</v>
      </c>
      <c r="P35">
        <v>-2.7909482758620711E-2</v>
      </c>
      <c r="Q35">
        <v>0.17479674796747971</v>
      </c>
      <c r="R35">
        <v>-0.16642300194931769</v>
      </c>
      <c r="S35">
        <v>4.8780487804878092E-3</v>
      </c>
      <c r="T35">
        <v>0.38709677419354832</v>
      </c>
      <c r="U35">
        <v>1.929260450160775E-2</v>
      </c>
      <c r="V35">
        <v>-0.2191930207197382</v>
      </c>
      <c r="W35">
        <v>2.558635394456266E-2</v>
      </c>
      <c r="X35">
        <v>6.6952552220223893E-2</v>
      </c>
      <c r="Y35">
        <v>-7.849829351535853E-2</v>
      </c>
      <c r="Z35">
        <v>-0.12704761904761899</v>
      </c>
      <c r="AB35">
        <v>-0.1037607146672803</v>
      </c>
      <c r="AC35">
        <v>-6.5162907268170533E-2</v>
      </c>
      <c r="AD35">
        <v>-0.19198448610213309</v>
      </c>
      <c r="AE35">
        <v>-8.9830508474576298E-2</v>
      </c>
      <c r="AF35">
        <v>-0.40170940170940161</v>
      </c>
      <c r="AG35">
        <v>7.353681877707352E-3</v>
      </c>
      <c r="AH35">
        <v>-7.4380165289256062E-2</v>
      </c>
      <c r="AI35">
        <v>-0.20792079207920791</v>
      </c>
      <c r="AJ35">
        <v>-0.5277536231884058</v>
      </c>
      <c r="AK35">
        <v>-0.28832116788321172</v>
      </c>
      <c r="AL35">
        <v>6.0813900320073173E-2</v>
      </c>
      <c r="AM35">
        <v>-0.19659810126582289</v>
      </c>
      <c r="AN35">
        <v>-0.20546810273405139</v>
      </c>
      <c r="AO35">
        <v>-8.8105726872246271E-3</v>
      </c>
      <c r="AP35">
        <v>1.442307692307687E-2</v>
      </c>
      <c r="AR35">
        <v>-0.32478632478632469</v>
      </c>
      <c r="AT35">
        <v>-6.7520503314234315E-2</v>
      </c>
      <c r="AU35">
        <v>6.6666666666666652E-2</v>
      </c>
      <c r="AV35">
        <v>-0.17599428435341749</v>
      </c>
      <c r="AW35">
        <v>-5.0505050505050393E-2</v>
      </c>
      <c r="AX35">
        <v>-3.9906103286384997E-2</v>
      </c>
      <c r="AY35">
        <v>-0.27526132404181181</v>
      </c>
      <c r="AZ35">
        <v>3.7292817679557937E-2</v>
      </c>
      <c r="BA35">
        <v>-7.0149253731343286E-2</v>
      </c>
      <c r="BB35">
        <v>-6.6225165562913912E-2</v>
      </c>
      <c r="BC35">
        <v>0.7866666666666664</v>
      </c>
      <c r="BD35">
        <v>-1.117318435754133E-3</v>
      </c>
      <c r="BE35">
        <v>-0.17258883248730961</v>
      </c>
      <c r="BF35">
        <v>9.375E-2</v>
      </c>
      <c r="BG35">
        <v>6.2773722627737394E-2</v>
      </c>
      <c r="BH35">
        <v>-0.1115173674588664</v>
      </c>
      <c r="BJ35">
        <v>-0.17771084337349399</v>
      </c>
      <c r="BK35">
        <v>0.92592592592592604</v>
      </c>
      <c r="BL35">
        <v>-7.8132842563158778E-2</v>
      </c>
      <c r="BM35">
        <v>0.32376681614349773</v>
      </c>
      <c r="BO35">
        <v>-0.14027027027027031</v>
      </c>
      <c r="BP35">
        <v>0.1928251121076234</v>
      </c>
      <c r="BQ35">
        <v>9.1393754760091817E-3</v>
      </c>
      <c r="BR35">
        <v>0.1461038961038961</v>
      </c>
      <c r="BS35">
        <v>-2.3976392475101419E-2</v>
      </c>
      <c r="BT35">
        <v>-0.35384615384615392</v>
      </c>
      <c r="BV35">
        <v>-0.33153846153846162</v>
      </c>
      <c r="BW35">
        <v>1.5295392263080739E-2</v>
      </c>
      <c r="BX35">
        <v>-7.5841381311038134E-3</v>
      </c>
      <c r="BZ35">
        <v>-3.3802816901408413E-2</v>
      </c>
      <c r="CA35">
        <v>-0.168918918918919</v>
      </c>
      <c r="CB35">
        <v>-8.3676268861454184E-2</v>
      </c>
      <c r="CC35">
        <v>-1.412098630130976E-2</v>
      </c>
      <c r="CD35">
        <v>-0.1161964007998223</v>
      </c>
      <c r="CE35">
        <v>0.26892430278884483</v>
      </c>
      <c r="CF35">
        <v>-0.10541310541310531</v>
      </c>
      <c r="CJ35">
        <v>1.413106644433859E-2</v>
      </c>
      <c r="CK35">
        <v>-7.6223411814865694E-2</v>
      </c>
      <c r="CL35">
        <v>-0.19285714285714281</v>
      </c>
      <c r="CN35">
        <v>-0.22916666666666671</v>
      </c>
      <c r="CO35">
        <v>-8.0408163265306087E-2</v>
      </c>
      <c r="CP35">
        <v>5.2356020942407877E-3</v>
      </c>
      <c r="CQ35">
        <v>-5.387205387205396E-2</v>
      </c>
      <c r="CR35">
        <v>7.3405891922478483E-2</v>
      </c>
      <c r="CS35">
        <v>5.6074766355139971E-2</v>
      </c>
      <c r="CT35">
        <v>4.5197740112994378E-2</v>
      </c>
      <c r="CU35">
        <v>0.42366863905325453</v>
      </c>
      <c r="CV35">
        <v>8.9355400696864207E-2</v>
      </c>
      <c r="CW35">
        <v>1.854864952814839E-2</v>
      </c>
      <c r="CX35">
        <v>-0.1997927461139897</v>
      </c>
      <c r="CY35">
        <v>-0.42090023690444861</v>
      </c>
      <c r="CZ35">
        <v>2.2143210765560809E-2</v>
      </c>
      <c r="DA35">
        <v>0.1242484969939881</v>
      </c>
      <c r="DB35">
        <v>5.1686615886833431E-2</v>
      </c>
      <c r="DC35">
        <v>6.6265632527872098E-2</v>
      </c>
      <c r="DD35">
        <v>-7.1359691417550497E-2</v>
      </c>
      <c r="DE35">
        <v>-0.43322792507905622</v>
      </c>
      <c r="DF35">
        <v>3.7433155080213831E-2</v>
      </c>
      <c r="DG35">
        <v>-0.28743961352656999</v>
      </c>
      <c r="DI35">
        <v>-0.24946236559139789</v>
      </c>
      <c r="DJ35">
        <v>0.15803814713896469</v>
      </c>
      <c r="DK35">
        <v>-0.15188056273327591</v>
      </c>
      <c r="DL35">
        <v>-0.11353032659409019</v>
      </c>
      <c r="DM35">
        <v>-2.1828103683492531E-2</v>
      </c>
      <c r="DN35">
        <v>-0.33898305084745761</v>
      </c>
      <c r="DP35">
        <v>-0.19825362674417141</v>
      </c>
      <c r="DQ35">
        <v>6.5517241379310365E-2</v>
      </c>
      <c r="DR35">
        <v>-0.34502923976608202</v>
      </c>
      <c r="DS35">
        <v>-2.859477124182996E-2</v>
      </c>
      <c r="DU35">
        <v>-0.12790005948839969</v>
      </c>
      <c r="DW35">
        <v>0.31016731016731008</v>
      </c>
      <c r="DX35">
        <v>-0.77948717948717949</v>
      </c>
      <c r="DY35">
        <v>-5.439330543933063E-2</v>
      </c>
      <c r="DZ35">
        <v>-0.30490956072351427</v>
      </c>
      <c r="EA35">
        <v>-0.46261682242990648</v>
      </c>
      <c r="EB35">
        <v>-0.22670658682634739</v>
      </c>
      <c r="EC35">
        <v>2.659574468085113E-2</v>
      </c>
      <c r="ED35">
        <v>-3.5591133004926001E-2</v>
      </c>
      <c r="EE35">
        <v>0.2205240174672489</v>
      </c>
      <c r="EF35">
        <v>-7.0422535211267512E-2</v>
      </c>
      <c r="EG35">
        <v>-0.15384615384615391</v>
      </c>
      <c r="EH35">
        <v>-0.25916596111043921</v>
      </c>
      <c r="EI35">
        <v>9.0622023958697451E-3</v>
      </c>
      <c r="EJ35">
        <v>0.13107968264918929</v>
      </c>
      <c r="EK35">
        <v>-0.35511607910576087</v>
      </c>
      <c r="EL35">
        <v>-0.1133333333333333</v>
      </c>
      <c r="EM35">
        <v>-0.15925925925925929</v>
      </c>
      <c r="EN35">
        <v>-4.9241010059078549E-2</v>
      </c>
      <c r="EO35">
        <v>-3.5714285714285698E-2</v>
      </c>
    </row>
    <row r="36" spans="1:145" x14ac:dyDescent="0.25">
      <c r="A36">
        <v>2023</v>
      </c>
      <c r="B36">
        <v>1</v>
      </c>
      <c r="C36">
        <v>6.288730610927229E-2</v>
      </c>
      <c r="D36">
        <v>2.8431053176645178E-3</v>
      </c>
      <c r="E36">
        <v>7.3015873015872979E-2</v>
      </c>
      <c r="F36">
        <v>1.2093023255813951</v>
      </c>
      <c r="H36">
        <v>0.15328467153284661</v>
      </c>
      <c r="I36">
        <v>6.0622462787550679E-2</v>
      </c>
      <c r="J36">
        <v>7.994289793005005E-2</v>
      </c>
      <c r="K36">
        <v>0.1055276381909549</v>
      </c>
      <c r="L36">
        <v>5.2110409704171128E-2</v>
      </c>
      <c r="M36">
        <v>0.11185682326621919</v>
      </c>
      <c r="O36">
        <v>0.27597061909758658</v>
      </c>
      <c r="P36">
        <v>-1.341314710120833E-2</v>
      </c>
      <c r="Q36">
        <v>0.1141868512110726</v>
      </c>
      <c r="R36">
        <v>-4.2092955276234911E-2</v>
      </c>
      <c r="S36">
        <v>9.7087378640776656E-3</v>
      </c>
      <c r="T36">
        <v>-4.418604651162783E-2</v>
      </c>
      <c r="U36">
        <v>0.27444794952681401</v>
      </c>
      <c r="V36">
        <v>5.0977653631284918E-2</v>
      </c>
      <c r="W36">
        <v>-3.7422037422037313E-2</v>
      </c>
      <c r="X36">
        <v>-2.7615713730066101E-2</v>
      </c>
      <c r="Y36">
        <v>-0.126984126984127</v>
      </c>
      <c r="Z36">
        <v>-7.2878027492908726E-2</v>
      </c>
      <c r="AB36">
        <v>1.77313581560119E-2</v>
      </c>
      <c r="AC36">
        <v>0.1072386058981234</v>
      </c>
      <c r="AD36">
        <v>0.36759999999999993</v>
      </c>
      <c r="AE36">
        <v>8.7523277467411509E-2</v>
      </c>
      <c r="AF36">
        <v>-6.1904761904761907E-2</v>
      </c>
      <c r="AG36">
        <v>-3.9300000000000002E-2</v>
      </c>
      <c r="AH36">
        <v>0.25892857142857117</v>
      </c>
      <c r="AI36">
        <v>-7.9166666666666718E-2</v>
      </c>
      <c r="AJ36">
        <v>0.62651526776124</v>
      </c>
      <c r="AK36">
        <v>0.44615384615384612</v>
      </c>
      <c r="AL36">
        <v>0.21034482758620679</v>
      </c>
      <c r="AM36">
        <v>0.1255539143279174</v>
      </c>
      <c r="AN36">
        <v>0.1157455683003128</v>
      </c>
      <c r="AO36">
        <v>0.2044444444444444</v>
      </c>
      <c r="AP36">
        <v>2.843601895734604E-2</v>
      </c>
      <c r="AR36">
        <v>0.759493670886076</v>
      </c>
      <c r="AT36">
        <v>0.53012048192771077</v>
      </c>
      <c r="AU36">
        <v>0.19276041666666649</v>
      </c>
      <c r="AV36">
        <v>0.88150289017341033</v>
      </c>
      <c r="AW36">
        <v>0.12356792144026189</v>
      </c>
      <c r="AX36">
        <v>0.1295843520782396</v>
      </c>
      <c r="AY36">
        <v>0.37980769230769229</v>
      </c>
      <c r="AZ36">
        <v>0.3834886817576566</v>
      </c>
      <c r="BA36">
        <v>2.0866773675762399E-2</v>
      </c>
      <c r="BB36">
        <v>0.23404255319148939</v>
      </c>
      <c r="BC36">
        <v>0.50746268656716431</v>
      </c>
      <c r="BD36">
        <v>0.144295302013423</v>
      </c>
      <c r="BE36">
        <v>0.4478527607361964</v>
      </c>
      <c r="BF36">
        <v>0.33142857142857141</v>
      </c>
      <c r="BG36">
        <v>0.73214285714285698</v>
      </c>
      <c r="BH36">
        <v>-8.5390946502057585E-2</v>
      </c>
      <c r="BJ36">
        <v>1.4302364302364301</v>
      </c>
      <c r="BK36">
        <v>-0.35256410256410248</v>
      </c>
      <c r="BL36">
        <v>-0.1257713248638839</v>
      </c>
      <c r="BM36">
        <v>1.7615176151761561E-2</v>
      </c>
      <c r="BO36">
        <v>0.25746620559572458</v>
      </c>
      <c r="BP36">
        <v>0.60150375939849599</v>
      </c>
      <c r="BQ36">
        <v>-4.5283018867924518E-2</v>
      </c>
      <c r="BR36">
        <v>-1.6997167138810051E-2</v>
      </c>
      <c r="BS36">
        <v>-9.4482237339380215E-2</v>
      </c>
      <c r="BT36">
        <v>0.65476190476190466</v>
      </c>
      <c r="BV36">
        <v>-0.30494821634062141</v>
      </c>
      <c r="BW36">
        <v>-1.6634235139037171E-2</v>
      </c>
      <c r="BX36">
        <v>-7.4893883350829915E-2</v>
      </c>
      <c r="BZ36">
        <v>2.9154518950437192E-2</v>
      </c>
      <c r="CA36">
        <v>0.30491869918699188</v>
      </c>
      <c r="CB36">
        <v>4.3413173652694592E-2</v>
      </c>
      <c r="CC36">
        <v>-5.9288302126888508E-2</v>
      </c>
      <c r="CD36">
        <v>0.33232780291603808</v>
      </c>
      <c r="CE36">
        <v>3.6106750392464582E-2</v>
      </c>
      <c r="CF36">
        <v>-9.2356687898089151E-2</v>
      </c>
      <c r="CJ36">
        <v>-3.1906418333928488E-2</v>
      </c>
      <c r="CK36">
        <v>0.27</v>
      </c>
      <c r="CL36">
        <v>0.20353982300884971</v>
      </c>
      <c r="CN36">
        <v>5.4054054054053953E-2</v>
      </c>
      <c r="CO36">
        <v>1.2538837106080839E-2</v>
      </c>
      <c r="CP36">
        <v>0.28125</v>
      </c>
      <c r="CQ36">
        <v>0.39145907473309621</v>
      </c>
      <c r="CR36">
        <v>7.8768434968473633E-2</v>
      </c>
      <c r="CS36">
        <v>0.2831858407079646</v>
      </c>
      <c r="CT36">
        <v>-3.2432432432432427E-2</v>
      </c>
      <c r="CU36">
        <v>-0.8345802161263508</v>
      </c>
      <c r="CV36">
        <v>0.14840314094260251</v>
      </c>
      <c r="CW36">
        <v>5.0479233226837117E-2</v>
      </c>
      <c r="CX36">
        <v>1.7094017094017259E-2</v>
      </c>
      <c r="CY36">
        <v>-0.22272727272727269</v>
      </c>
      <c r="CZ36">
        <v>-0.13018801461846671</v>
      </c>
      <c r="DA36">
        <v>6.3279857397504413E-2</v>
      </c>
      <c r="DB36">
        <v>0.8127263321262288</v>
      </c>
      <c r="DC36">
        <v>9.7683831367395557E-2</v>
      </c>
      <c r="DD36">
        <v>-0.15057113187954321</v>
      </c>
      <c r="DE36">
        <v>0.1158798283261802</v>
      </c>
      <c r="DF36">
        <v>3.8659793814433067E-2</v>
      </c>
      <c r="DG36">
        <v>-6.9491525423728828E-2</v>
      </c>
      <c r="DI36">
        <v>0.16332378223495689</v>
      </c>
      <c r="DJ36">
        <v>0.1199999999999999</v>
      </c>
      <c r="DK36">
        <v>-5.2132701421800931E-2</v>
      </c>
      <c r="DL36">
        <v>0.97744360902255623</v>
      </c>
      <c r="DM36">
        <v>-0.13807531380753149</v>
      </c>
      <c r="DN36">
        <v>0.17628205128205129</v>
      </c>
      <c r="DP36">
        <v>-4.0802234707009166E-3</v>
      </c>
      <c r="DQ36">
        <v>0.2394822006472492</v>
      </c>
      <c r="DR36">
        <v>0.48214285714285737</v>
      </c>
      <c r="DS36">
        <v>0.14970563498738421</v>
      </c>
      <c r="DU36">
        <v>7.5034106412005475E-2</v>
      </c>
      <c r="DW36">
        <v>-0.1090373280943026</v>
      </c>
      <c r="DX36">
        <v>1.6279069767441982E-2</v>
      </c>
      <c r="DY36">
        <v>-0.1150442477876106</v>
      </c>
      <c r="DZ36">
        <v>0.204460966542751</v>
      </c>
      <c r="EA36">
        <v>1.347826086956522</v>
      </c>
      <c r="EB36">
        <v>0.93588353724639939</v>
      </c>
      <c r="EC36">
        <v>0.20725388601036279</v>
      </c>
      <c r="ED36">
        <v>0.30251564295747652</v>
      </c>
      <c r="EE36">
        <v>-5.7245080500894503E-2</v>
      </c>
      <c r="EF36">
        <v>9.0909090909090828E-2</v>
      </c>
      <c r="EG36">
        <v>0.67999999999999994</v>
      </c>
      <c r="EH36">
        <v>0.59055118110236227</v>
      </c>
      <c r="EI36">
        <v>9.2540160343337563E-2</v>
      </c>
      <c r="EJ36">
        <v>0.2808783165599269</v>
      </c>
      <c r="EK36">
        <v>0.73333333333333317</v>
      </c>
      <c r="EL36">
        <v>-6.7669172932330879E-2</v>
      </c>
      <c r="EM36">
        <v>0.51629955947136574</v>
      </c>
      <c r="EN36">
        <v>0.13185412098182631</v>
      </c>
      <c r="EO36">
        <v>0.18954248366013071</v>
      </c>
    </row>
    <row r="37" spans="1:145" x14ac:dyDescent="0.25">
      <c r="A37">
        <v>2023</v>
      </c>
      <c r="B37">
        <v>2</v>
      </c>
      <c r="C37">
        <v>-2.5142616159663182E-2</v>
      </c>
      <c r="D37">
        <v>3.4568398035952348E-3</v>
      </c>
      <c r="E37">
        <v>-0.26272189349112418</v>
      </c>
      <c r="F37">
        <v>-7.3684210526315796E-2</v>
      </c>
      <c r="H37">
        <v>1.607594936708856E-2</v>
      </c>
      <c r="I37">
        <v>-0.11150803776473581</v>
      </c>
      <c r="J37">
        <v>5.2875082617316549E-2</v>
      </c>
      <c r="K37">
        <v>-6.3636363636363713E-2</v>
      </c>
      <c r="L37">
        <v>0.20784313725490211</v>
      </c>
      <c r="M37">
        <v>-6.4609881511289768E-2</v>
      </c>
      <c r="O37">
        <v>-7.2368421052631637E-2</v>
      </c>
      <c r="P37">
        <v>-0.1207865168539326</v>
      </c>
      <c r="Q37">
        <v>-0.110248447204969</v>
      </c>
      <c r="R37">
        <v>-6.4693317058285182E-2</v>
      </c>
      <c r="S37">
        <v>2.8942307692307878E-3</v>
      </c>
      <c r="T37">
        <v>0.34549878345498791</v>
      </c>
      <c r="U37">
        <v>-0.23762376237623761</v>
      </c>
      <c r="V37">
        <v>0.32225913621262442</v>
      </c>
      <c r="W37">
        <v>-0.23542116630669541</v>
      </c>
      <c r="X37">
        <v>-9.0799999999999992E-2</v>
      </c>
      <c r="Y37">
        <v>-0.19393939393939391</v>
      </c>
      <c r="Z37">
        <v>-0.1287361732172275</v>
      </c>
      <c r="AB37">
        <v>-5.0792659211350233E-2</v>
      </c>
      <c r="AC37">
        <v>0.12832929782082331</v>
      </c>
      <c r="AD37">
        <v>-0.19567124890318799</v>
      </c>
      <c r="AE37">
        <v>-0.1301369863013698</v>
      </c>
      <c r="AF37">
        <v>-0.1878172588832486</v>
      </c>
      <c r="AG37">
        <v>0.86322473196627469</v>
      </c>
      <c r="AH37">
        <v>-0.1205673758865248</v>
      </c>
      <c r="AI37">
        <v>-0.1628959276018099</v>
      </c>
      <c r="AJ37">
        <v>-0.27358490566037741</v>
      </c>
      <c r="AK37">
        <v>-0.30851063829787229</v>
      </c>
      <c r="AL37">
        <v>-5.5199430199430077E-2</v>
      </c>
      <c r="AM37">
        <v>-8.8801399825021887E-2</v>
      </c>
      <c r="AN37">
        <v>-0.37009345794392512</v>
      </c>
      <c r="AO37">
        <v>-0.15129151291512921</v>
      </c>
      <c r="AP37">
        <v>-6.6820276497695841E-2</v>
      </c>
      <c r="AR37">
        <v>-0.17266187050359719</v>
      </c>
      <c r="AT37">
        <v>-0.18110236220472439</v>
      </c>
      <c r="AU37">
        <v>-0.27077420199991259</v>
      </c>
      <c r="AV37">
        <v>-0.22273425499231961</v>
      </c>
      <c r="AW37">
        <v>-0.16460305899490171</v>
      </c>
      <c r="AX37">
        <v>0.1655844155844155</v>
      </c>
      <c r="AY37">
        <v>-0.27177700348432038</v>
      </c>
      <c r="AZ37">
        <v>-0.12704523580365731</v>
      </c>
      <c r="BA37">
        <v>-2.8301886792452931E-2</v>
      </c>
      <c r="BB37">
        <v>7.1839080459770166E-2</v>
      </c>
      <c r="BC37">
        <v>-0.27970297029702962</v>
      </c>
      <c r="BD37">
        <v>-6.3538611925708754E-2</v>
      </c>
      <c r="BE37">
        <v>0.23305084745762719</v>
      </c>
      <c r="BF37">
        <v>-0.28326180257510741</v>
      </c>
      <c r="BG37">
        <v>-0.52101506740681991</v>
      </c>
      <c r="BH37">
        <v>7.7615298087738926E-2</v>
      </c>
      <c r="BJ37">
        <v>0.19690326116744331</v>
      </c>
      <c r="BK37">
        <v>-0.42376237623762369</v>
      </c>
      <c r="BL37">
        <v>-8.594560930039441E-2</v>
      </c>
      <c r="BM37">
        <v>0.19307589880159789</v>
      </c>
      <c r="BO37">
        <v>-5.0000000000000037E-2</v>
      </c>
      <c r="BP37">
        <v>-5.868544600938963E-2</v>
      </c>
      <c r="BQ37">
        <v>-4.5849802371541459E-2</v>
      </c>
      <c r="BR37">
        <v>-5.7636887608069074E-3</v>
      </c>
      <c r="BS37">
        <v>2.3163606010016661E-2</v>
      </c>
      <c r="BT37">
        <v>-0.17985611510791369</v>
      </c>
      <c r="BV37">
        <v>-0.57615894039735105</v>
      </c>
      <c r="BW37">
        <v>-0.1037916507085407</v>
      </c>
      <c r="BX37">
        <v>-5.556375012209902E-2</v>
      </c>
      <c r="BZ37">
        <v>0.26062322946175631</v>
      </c>
      <c r="CA37">
        <v>-5.6104171209619753E-2</v>
      </c>
      <c r="CB37">
        <v>3.500717360114769E-2</v>
      </c>
      <c r="CC37">
        <v>-9.2744898937359932E-2</v>
      </c>
      <c r="CD37">
        <v>-0.1484905660377358</v>
      </c>
      <c r="CE37">
        <v>0.146969696969697</v>
      </c>
      <c r="CF37">
        <v>-0.16491228070175451</v>
      </c>
      <c r="CJ37">
        <v>-1.089246639109964E-2</v>
      </c>
      <c r="CK37">
        <v>-7.1269937411669648E-2</v>
      </c>
      <c r="CL37">
        <v>-0.49264705882352938</v>
      </c>
      <c r="CN37">
        <v>-0.12820512820512819</v>
      </c>
      <c r="CO37">
        <v>9.3150684931506911E-2</v>
      </c>
      <c r="CP37">
        <v>-0.21138211382113831</v>
      </c>
      <c r="CQ37">
        <v>0.54475703324808178</v>
      </c>
      <c r="CR37">
        <v>-0.1782934194602559</v>
      </c>
      <c r="CS37">
        <v>0.3</v>
      </c>
      <c r="CT37">
        <v>5.5865921787709993E-3</v>
      </c>
      <c r="CU37">
        <v>5.5276381909547867E-2</v>
      </c>
      <c r="CV37">
        <v>2.7921485617997899E-2</v>
      </c>
      <c r="CW37">
        <v>-8.3789537712895434E-2</v>
      </c>
      <c r="CX37">
        <v>8.4033613445378075E-2</v>
      </c>
      <c r="CY37">
        <v>-0.21649122807017551</v>
      </c>
      <c r="CZ37">
        <v>-8.1296224113231008E-2</v>
      </c>
      <c r="DA37">
        <v>-0.28248113998323537</v>
      </c>
      <c r="DB37">
        <v>-9.0753424657534221E-2</v>
      </c>
      <c r="DC37">
        <v>7.2151619860392202E-3</v>
      </c>
      <c r="DD37">
        <v>-0.1063569682151589</v>
      </c>
      <c r="DE37">
        <v>-0.19230769230769229</v>
      </c>
      <c r="DF37">
        <v>-0.1439950372208437</v>
      </c>
      <c r="DG37">
        <v>0.14754098360655729</v>
      </c>
      <c r="DI37">
        <v>-0.1133004926108373</v>
      </c>
      <c r="DJ37">
        <v>-1.470588235294101E-2</v>
      </c>
      <c r="DK37">
        <v>-0.1178571428571429</v>
      </c>
      <c r="DL37">
        <v>9.6324461343472834E-2</v>
      </c>
      <c r="DM37">
        <v>0.21359223300970889</v>
      </c>
      <c r="DN37">
        <v>-0.18801089918256131</v>
      </c>
      <c r="DP37">
        <v>-6.5488008572058831E-2</v>
      </c>
      <c r="DQ37">
        <v>-0.44908616187989558</v>
      </c>
      <c r="DR37">
        <v>-0.2650602409638555</v>
      </c>
      <c r="DS37">
        <v>-8.3394294074615849E-2</v>
      </c>
      <c r="DU37">
        <v>-1.7131979695431451E-2</v>
      </c>
      <c r="DW37">
        <v>0.11686879823594271</v>
      </c>
      <c r="DX37">
        <v>-2.9748283752860431E-2</v>
      </c>
      <c r="DY37">
        <v>-0.28999999999999998</v>
      </c>
      <c r="DZ37">
        <v>-0.12654320987654319</v>
      </c>
      <c r="EA37">
        <v>-0.29259259259259263</v>
      </c>
      <c r="EB37">
        <v>-0.35120000000000012</v>
      </c>
      <c r="EC37">
        <v>2.575107296137347E-2</v>
      </c>
      <c r="ED37">
        <v>-8.588235294117641E-2</v>
      </c>
      <c r="EE37">
        <v>-5.8823529411764608E-2</v>
      </c>
      <c r="EF37">
        <v>-0.31336805555555552</v>
      </c>
      <c r="EG37">
        <v>0.67748917748917736</v>
      </c>
      <c r="EH37">
        <v>-4.738330975954741E-2</v>
      </c>
      <c r="EI37">
        <v>-6.2496590103115368E-2</v>
      </c>
      <c r="EJ37">
        <v>2.976190476190466E-2</v>
      </c>
      <c r="EK37">
        <v>-0.28739316239316243</v>
      </c>
      <c r="EL37">
        <v>0.1129032258064515</v>
      </c>
      <c r="EM37">
        <v>-0.29692039511911678</v>
      </c>
      <c r="EN37">
        <v>9.1244654235325129E-3</v>
      </c>
      <c r="EO37">
        <v>6.4102564102564097E-2</v>
      </c>
    </row>
    <row r="38" spans="1:145" x14ac:dyDescent="0.25">
      <c r="A38">
        <v>2023</v>
      </c>
      <c r="B38">
        <v>3</v>
      </c>
      <c r="C38">
        <v>3.7125014088041031E-2</v>
      </c>
      <c r="D38">
        <v>3.994525796519488E-3</v>
      </c>
      <c r="E38">
        <v>-0.35072231139646881</v>
      </c>
      <c r="F38">
        <v>-0.20454545454545461</v>
      </c>
      <c r="H38">
        <v>-0.28989659897844777</v>
      </c>
      <c r="I38">
        <v>-0.15738081562320511</v>
      </c>
      <c r="J38">
        <v>0.17702448210922789</v>
      </c>
      <c r="K38">
        <v>-0.32524271844660202</v>
      </c>
      <c r="L38">
        <v>-5.8441558441558517E-2</v>
      </c>
      <c r="M38">
        <v>-5.0669216061185567E-2</v>
      </c>
      <c r="O38">
        <v>-0.125</v>
      </c>
      <c r="P38">
        <v>0.45686900958466442</v>
      </c>
      <c r="Q38">
        <v>-0.19022687609075051</v>
      </c>
      <c r="R38">
        <v>-0.1086460032626427</v>
      </c>
      <c r="S38">
        <v>6.7017574136394309E-3</v>
      </c>
      <c r="T38">
        <v>0.15189873417721511</v>
      </c>
      <c r="U38">
        <v>-0.18831168831168829</v>
      </c>
      <c r="V38">
        <v>-7.9396984924622993E-2</v>
      </c>
      <c r="W38">
        <v>-5.3672316384180803E-2</v>
      </c>
      <c r="X38">
        <v>-9.5468543774747006E-2</v>
      </c>
      <c r="Y38">
        <v>-0.1579323308270677</v>
      </c>
      <c r="Z38">
        <v>-0.17612101566720689</v>
      </c>
      <c r="AB38">
        <v>5.0767363973047708E-3</v>
      </c>
      <c r="AC38">
        <v>0.32832618025751081</v>
      </c>
      <c r="AD38">
        <v>-0.35064935064935071</v>
      </c>
      <c r="AE38">
        <v>-0.5167322834645669</v>
      </c>
      <c r="AF38">
        <v>0.23749999999999979</v>
      </c>
      <c r="AG38">
        <v>-0.44972067039106151</v>
      </c>
      <c r="AH38">
        <v>-0.1612903225806451</v>
      </c>
      <c r="AI38">
        <v>-0.45945945945945937</v>
      </c>
      <c r="AJ38">
        <v>-0.26987012987012982</v>
      </c>
      <c r="AK38">
        <v>2.051282051282044E-2</v>
      </c>
      <c r="AL38">
        <v>-9.5740670938560202E-2</v>
      </c>
      <c r="AM38">
        <v>3.9846375420067297E-2</v>
      </c>
      <c r="AN38">
        <v>-0.42136498516320481</v>
      </c>
      <c r="AO38">
        <v>-0.15217391304347819</v>
      </c>
      <c r="AP38">
        <v>2.222222222222214E-2</v>
      </c>
      <c r="AR38">
        <v>1.739130434782599E-2</v>
      </c>
      <c r="AS38">
        <v>-0.29145728643216079</v>
      </c>
      <c r="AT38">
        <v>0</v>
      </c>
      <c r="AU38">
        <v>-5.9880239520958001E-2</v>
      </c>
      <c r="AV38">
        <v>-0.10474308300395239</v>
      </c>
      <c r="AW38">
        <v>-0.18047079337401919</v>
      </c>
      <c r="AX38">
        <v>1.6713091922005541E-2</v>
      </c>
      <c r="AY38">
        <v>-0.20373205741626799</v>
      </c>
      <c r="AZ38">
        <v>-6.7254685777287659E-2</v>
      </c>
      <c r="BA38">
        <v>-0.74271844660194164</v>
      </c>
      <c r="BB38">
        <v>3.2171581769437019E-2</v>
      </c>
      <c r="BC38">
        <v>-0.34707903780068727</v>
      </c>
      <c r="BD38">
        <v>-0.30375782881002089</v>
      </c>
      <c r="BE38">
        <v>0.21305841924398619</v>
      </c>
      <c r="BF38">
        <v>-0.1197604790419161</v>
      </c>
      <c r="BG38">
        <v>-0.52814569536423839</v>
      </c>
      <c r="BH38">
        <v>-0.1659707724425887</v>
      </c>
      <c r="BJ38">
        <v>-0.11104751001717229</v>
      </c>
      <c r="BK38">
        <v>-0.29209621993127138</v>
      </c>
      <c r="BL38">
        <v>-0.258460140813082</v>
      </c>
      <c r="BM38">
        <v>0.1808035714285714</v>
      </c>
      <c r="BO38">
        <v>-0.106578947368421</v>
      </c>
      <c r="BP38">
        <v>-0.1396508728179551</v>
      </c>
      <c r="BQ38">
        <v>-6.7937033968517024E-2</v>
      </c>
      <c r="BR38">
        <v>8.6956521739130377E-2</v>
      </c>
      <c r="BS38">
        <v>0.1044258617173159</v>
      </c>
      <c r="BT38">
        <v>-0.1228947368421052</v>
      </c>
      <c r="BV38">
        <v>-0.67317708333333326</v>
      </c>
      <c r="BW38">
        <v>4.2236467236467228E-2</v>
      </c>
      <c r="BX38">
        <v>1.1353255904998029E-2</v>
      </c>
      <c r="BZ38">
        <v>-0.24943820224719099</v>
      </c>
      <c r="CA38">
        <v>-0.1023102310231022</v>
      </c>
      <c r="CB38">
        <v>1.9683947879123979E-2</v>
      </c>
      <c r="CC38">
        <v>0.1034637493856836</v>
      </c>
      <c r="CD38">
        <v>-0.29514735209395082</v>
      </c>
      <c r="CE38">
        <v>-8.7186261558784728E-2</v>
      </c>
      <c r="CF38">
        <v>-0.15546218487394961</v>
      </c>
      <c r="CJ38">
        <v>8.2457816301306774E-3</v>
      </c>
      <c r="CK38">
        <v>-0.26086956521739141</v>
      </c>
      <c r="CL38">
        <v>-0.4906521739130435</v>
      </c>
      <c r="CN38">
        <v>-0.35382352941176459</v>
      </c>
      <c r="CO38">
        <v>-0.17042606516290729</v>
      </c>
      <c r="CP38">
        <v>-0.14432989690721651</v>
      </c>
      <c r="CQ38">
        <v>-0.12748344370860931</v>
      </c>
      <c r="CR38">
        <v>-3.9607502427556729E-2</v>
      </c>
      <c r="CS38">
        <v>0.23342175066313001</v>
      </c>
      <c r="CT38">
        <v>7.2222222222222188E-2</v>
      </c>
      <c r="CU38">
        <v>3.8095238095238182E-2</v>
      </c>
      <c r="CV38">
        <v>-2.482608194977887E-2</v>
      </c>
      <c r="CW38">
        <v>3.9502074688796629E-2</v>
      </c>
      <c r="CX38">
        <v>-4.134366925064592E-2</v>
      </c>
      <c r="CY38">
        <v>-0.25347066726377071</v>
      </c>
      <c r="CZ38">
        <v>5.6699369364157093E-3</v>
      </c>
      <c r="DA38">
        <v>-0.16588785046728979</v>
      </c>
      <c r="DB38">
        <v>-0.165097300690521</v>
      </c>
      <c r="DC38">
        <v>-4.1141781572971547E-2</v>
      </c>
      <c r="DD38">
        <v>4.240766073871427E-2</v>
      </c>
      <c r="DE38">
        <v>-0.33571428571428569</v>
      </c>
      <c r="DF38">
        <v>-0.153549584021799</v>
      </c>
      <c r="DG38">
        <v>-0.18095238095238089</v>
      </c>
      <c r="DI38">
        <v>-0.37222222222222229</v>
      </c>
      <c r="DJ38">
        <v>-0.1066098081023454</v>
      </c>
      <c r="DK38">
        <v>-2.3481781376518129E-2</v>
      </c>
      <c r="DL38">
        <v>-5.2023121387283378E-2</v>
      </c>
      <c r="DM38">
        <v>0.2093333333333334</v>
      </c>
      <c r="DN38">
        <v>1.013422818791947</v>
      </c>
      <c r="DP38">
        <v>-0.16057397227936471</v>
      </c>
      <c r="DQ38">
        <v>-0.29383886255924158</v>
      </c>
      <c r="DR38">
        <v>-0.19975409836065569</v>
      </c>
      <c r="DS38">
        <v>-3.6179835062516763E-2</v>
      </c>
      <c r="DU38">
        <v>-0.18850871530019361</v>
      </c>
      <c r="DW38">
        <v>0.16880552813425459</v>
      </c>
      <c r="DX38">
        <v>-2.830188679245282E-2</v>
      </c>
      <c r="DY38">
        <v>-0.53661971830985911</v>
      </c>
      <c r="DZ38">
        <v>-0.1060070671378093</v>
      </c>
      <c r="EA38">
        <v>-9.9476439790575855E-2</v>
      </c>
      <c r="EB38">
        <v>-9.9013563501849644E-2</v>
      </c>
      <c r="EC38">
        <v>-0.22594142259414229</v>
      </c>
      <c r="ED38">
        <v>-0.1098241098241097</v>
      </c>
      <c r="EE38">
        <v>-0.24395161290322581</v>
      </c>
      <c r="EF38">
        <v>-0.706700379266751</v>
      </c>
      <c r="EG38">
        <v>-0.1612903225806451</v>
      </c>
      <c r="EH38">
        <v>-0.1674620850567399</v>
      </c>
      <c r="EI38">
        <v>-0.1465553195410326</v>
      </c>
      <c r="EJ38">
        <v>-0.22543352601156069</v>
      </c>
      <c r="EK38">
        <v>-7.6461769115442224E-2</v>
      </c>
      <c r="EL38">
        <v>0.18115942028985499</v>
      </c>
      <c r="EM38">
        <v>-0.1942148760330579</v>
      </c>
      <c r="EN38">
        <v>-3.353714947663899E-3</v>
      </c>
      <c r="EO38">
        <v>-5.3356282271944888E-2</v>
      </c>
    </row>
    <row r="39" spans="1:145" x14ac:dyDescent="0.25">
      <c r="A39">
        <v>2023</v>
      </c>
      <c r="B39">
        <v>4</v>
      </c>
      <c r="C39">
        <v>1.5974985330810879E-2</v>
      </c>
      <c r="D39">
        <v>3.629735680169333E-3</v>
      </c>
      <c r="E39">
        <v>9.8887515451174357E-2</v>
      </c>
      <c r="F39">
        <v>-1.5714285714285681E-2</v>
      </c>
      <c r="H39">
        <v>-0.18842105263157879</v>
      </c>
      <c r="I39">
        <v>-3.2038173142467707E-2</v>
      </c>
      <c r="J39">
        <v>-4.6133333333333248E-2</v>
      </c>
      <c r="K39">
        <v>0.38848920863309361</v>
      </c>
      <c r="L39">
        <v>6.8965517241379448E-3</v>
      </c>
      <c r="M39">
        <v>-5.0352467270896262E-2</v>
      </c>
      <c r="O39">
        <v>-0.20466058763931111</v>
      </c>
      <c r="P39">
        <v>0.1754385964912282</v>
      </c>
      <c r="Q39">
        <v>-0.29741379310344829</v>
      </c>
      <c r="R39">
        <v>-4.0629575402635447E-2</v>
      </c>
      <c r="S39">
        <v>1.4285714285715569E-3</v>
      </c>
      <c r="T39">
        <v>-0.1350078492935636</v>
      </c>
      <c r="U39">
        <v>0.1160000000000001</v>
      </c>
      <c r="V39">
        <v>0.14410480349344981</v>
      </c>
      <c r="W39">
        <v>-2.3880597014925401E-2</v>
      </c>
      <c r="X39">
        <v>0.15969520103761359</v>
      </c>
      <c r="Y39">
        <v>4.9153980088396887E-2</v>
      </c>
      <c r="Z39">
        <v>-3.2786885245901558E-2</v>
      </c>
      <c r="AB39">
        <v>-2.888520213817547E-2</v>
      </c>
      <c r="AC39">
        <v>4.3618739903069408E-2</v>
      </c>
      <c r="AD39">
        <v>-0.22600000000000001</v>
      </c>
      <c r="AE39">
        <v>-0.144602851323829</v>
      </c>
      <c r="AF39">
        <v>-0.10101010101010099</v>
      </c>
      <c r="AG39">
        <v>9.6446700507614169E-2</v>
      </c>
      <c r="AH39">
        <v>-2.8846153846153851E-2</v>
      </c>
      <c r="AI39">
        <v>0.51</v>
      </c>
      <c r="AJ39">
        <v>3.3617929562433257E-2</v>
      </c>
      <c r="AK39">
        <v>0.24623115577889451</v>
      </c>
      <c r="AL39">
        <v>-3.0012505210504359E-2</v>
      </c>
      <c r="AM39">
        <v>4.0166204986149527E-2</v>
      </c>
      <c r="AN39">
        <v>-7.6923076923076872E-2</v>
      </c>
      <c r="AO39">
        <v>-0.1230769230769231</v>
      </c>
      <c r="AP39">
        <v>0.1932367149758456</v>
      </c>
      <c r="AR39">
        <v>0.23931623931623941</v>
      </c>
      <c r="AS39">
        <v>-4.9645390070921842E-2</v>
      </c>
      <c r="AT39">
        <v>-3.8461538461538547E-2</v>
      </c>
      <c r="AU39">
        <v>0.1019108280254777</v>
      </c>
      <c r="AV39">
        <v>-7.2847682119205337E-2</v>
      </c>
      <c r="AW39">
        <v>7.4468085106382809E-3</v>
      </c>
      <c r="AX39">
        <v>-0.13059360730593611</v>
      </c>
      <c r="AY39">
        <v>0.1004686936666266</v>
      </c>
      <c r="AZ39">
        <v>3.3096926713947823E-2</v>
      </c>
      <c r="BA39">
        <v>-0.16981132075471689</v>
      </c>
      <c r="BB39">
        <v>-5.7142857142857162E-2</v>
      </c>
      <c r="BC39">
        <v>-1.252631578947383E-2</v>
      </c>
      <c r="BD39">
        <v>0.31484257871064458</v>
      </c>
      <c r="BE39">
        <v>0.50708215297450443</v>
      </c>
      <c r="BF39">
        <v>1.1360544217687081</v>
      </c>
      <c r="BG39">
        <v>-0.1228070175438597</v>
      </c>
      <c r="BH39">
        <v>5.1314142678347878E-2</v>
      </c>
      <c r="BJ39">
        <v>-0.1043142305215712</v>
      </c>
      <c r="BK39">
        <v>-0.16019417475728159</v>
      </c>
      <c r="BL39">
        <v>-1.2557427258805379E-2</v>
      </c>
      <c r="BM39">
        <v>0.19234404536861999</v>
      </c>
      <c r="BO39">
        <v>1.6200294550809961E-2</v>
      </c>
      <c r="BP39">
        <v>0.58840579710144936</v>
      </c>
      <c r="BQ39">
        <v>4.2666666666666631E-2</v>
      </c>
      <c r="BR39">
        <v>0.36799999999999988</v>
      </c>
      <c r="BS39">
        <v>0.14773776546629719</v>
      </c>
      <c r="BT39">
        <v>0.17011701170117011</v>
      </c>
      <c r="BV39">
        <v>-0.2050996015936255</v>
      </c>
      <c r="BW39">
        <v>-4.0046470306840831E-2</v>
      </c>
      <c r="BX39">
        <v>5.6129032258064537E-2</v>
      </c>
      <c r="BZ39">
        <v>0.3293413173652695</v>
      </c>
      <c r="CA39">
        <v>-0.23161764705882359</v>
      </c>
      <c r="CB39">
        <v>3.7928221859706353E-2</v>
      </c>
      <c r="CC39">
        <v>0.15269942784187629</v>
      </c>
      <c r="CD39">
        <v>-0.182646966362779</v>
      </c>
      <c r="CE39">
        <v>-2.8943560057887119E-2</v>
      </c>
      <c r="CF39">
        <v>0.1940298507462688</v>
      </c>
      <c r="CJ39">
        <v>8.5345690660521223E-2</v>
      </c>
      <c r="CK39">
        <v>-0.32352941176470579</v>
      </c>
      <c r="CL39">
        <v>7.028026746336602E-2</v>
      </c>
      <c r="CN39">
        <v>-0.11819147322105911</v>
      </c>
      <c r="CO39">
        <v>6.0422960725075034E-3</v>
      </c>
      <c r="CP39">
        <v>-3.012048192771077E-2</v>
      </c>
      <c r="CQ39">
        <v>0.17647058823529421</v>
      </c>
      <c r="CR39">
        <v>4.719126127172113E-2</v>
      </c>
      <c r="CS39">
        <v>0.247311827956989</v>
      </c>
      <c r="CT39">
        <v>-0.1139896373056996</v>
      </c>
      <c r="CU39">
        <v>4.1284403669724627E-2</v>
      </c>
      <c r="CV39">
        <v>1.566385573970908E-2</v>
      </c>
      <c r="CW39">
        <v>-1.7563467986587918E-2</v>
      </c>
      <c r="CX39">
        <v>0.11026709139916679</v>
      </c>
      <c r="CY39">
        <v>0.25974805038992188</v>
      </c>
      <c r="CZ39">
        <v>-4.6813231970412872E-2</v>
      </c>
      <c r="DA39">
        <v>0.49859943977591042</v>
      </c>
      <c r="DB39">
        <v>6.203007518796988E-2</v>
      </c>
      <c r="DC39">
        <v>3.6798914642125917E-2</v>
      </c>
      <c r="DD39">
        <v>-1.5748031496062961E-2</v>
      </c>
      <c r="DE39">
        <v>2.0824372759856629</v>
      </c>
      <c r="DF39">
        <v>6.6438356164384427E-3</v>
      </c>
      <c r="DG39">
        <v>-8.9147286821705363E-2</v>
      </c>
      <c r="DI39">
        <v>0.1150442477876108</v>
      </c>
      <c r="DJ39">
        <v>0.63484486873508339</v>
      </c>
      <c r="DK39">
        <v>-3.7313432835821003E-2</v>
      </c>
      <c r="DL39">
        <v>-0.1170731707317072</v>
      </c>
      <c r="DM39">
        <v>8.7100330760749634E-2</v>
      </c>
      <c r="DN39">
        <v>5.0000000000000037E-2</v>
      </c>
      <c r="DP39">
        <v>1.3900327421007219E-2</v>
      </c>
      <c r="DQ39">
        <v>-0.20805369127516779</v>
      </c>
      <c r="DR39">
        <v>-2.8679709105807531E-2</v>
      </c>
      <c r="DS39">
        <v>1.7388904223019749E-2</v>
      </c>
      <c r="DU39">
        <v>0.18695306284805091</v>
      </c>
      <c r="DW39">
        <v>0.1021959459459461</v>
      </c>
      <c r="DX39">
        <v>9.9514563106796183E-2</v>
      </c>
      <c r="DY39">
        <v>1.8237082066869359E-2</v>
      </c>
      <c r="DZ39">
        <v>-7.114624505928846E-2</v>
      </c>
      <c r="EA39">
        <v>5.2325581395348708E-2</v>
      </c>
      <c r="EB39">
        <v>0.57383331052415509</v>
      </c>
      <c r="EC39">
        <v>0.85945945945945934</v>
      </c>
      <c r="ED39">
        <v>-6.0602409638554337E-2</v>
      </c>
      <c r="EE39">
        <v>-5.5999999999999939E-2</v>
      </c>
      <c r="EF39">
        <v>9.4827586206896575E-2</v>
      </c>
      <c r="EG39">
        <v>-5.0769230769230789E-2</v>
      </c>
      <c r="EH39">
        <v>-9.4904458598726094E-2</v>
      </c>
      <c r="EI39">
        <v>-3.0139446079712751E-2</v>
      </c>
      <c r="EJ39">
        <v>0.12238805970149259</v>
      </c>
      <c r="EK39">
        <v>0.70779220779220764</v>
      </c>
      <c r="EL39">
        <v>0.38650306748466262</v>
      </c>
      <c r="EM39">
        <v>-0.62621082621082624</v>
      </c>
      <c r="EN39">
        <v>5.838753258848306E-2</v>
      </c>
      <c r="EO39">
        <v>-1.818181818181808E-2</v>
      </c>
    </row>
    <row r="40" spans="1:145" x14ac:dyDescent="0.25">
      <c r="A40">
        <v>2023</v>
      </c>
      <c r="B40">
        <v>5</v>
      </c>
      <c r="C40">
        <v>4.6161313869514942E-3</v>
      </c>
      <c r="D40">
        <v>3.7532650768934421E-3</v>
      </c>
      <c r="E40">
        <v>-6.0742407199100179E-2</v>
      </c>
      <c r="F40">
        <v>-0.23657474600870829</v>
      </c>
      <c r="H40">
        <v>0.28620838737570242</v>
      </c>
      <c r="I40">
        <v>-0.13063380281690129</v>
      </c>
      <c r="J40">
        <v>0.24042493709812679</v>
      </c>
      <c r="K40">
        <v>0.2124352331606216</v>
      </c>
      <c r="L40">
        <v>-0.22602739726027399</v>
      </c>
      <c r="M40">
        <v>0.19671261930010611</v>
      </c>
      <c r="O40">
        <v>-0.28535031847133752</v>
      </c>
      <c r="P40">
        <v>0.72388059701492535</v>
      </c>
      <c r="Q40">
        <v>9.5705521472392752E-2</v>
      </c>
      <c r="R40">
        <v>-0.16711178939336141</v>
      </c>
      <c r="S40">
        <v>-1.093675701378982E-2</v>
      </c>
      <c r="T40">
        <v>0.14882032667876599</v>
      </c>
      <c r="U40">
        <v>-7.1684587813619638E-3</v>
      </c>
      <c r="V40">
        <v>0.32156488549618317</v>
      </c>
      <c r="W40">
        <v>0.22018348623853209</v>
      </c>
      <c r="X40">
        <v>3.1455333426534393E-2</v>
      </c>
      <c r="Y40">
        <v>-0.28936170212765971</v>
      </c>
      <c r="Z40">
        <v>-0.20338983050847459</v>
      </c>
      <c r="AB40">
        <v>-3.4895462730790028E-2</v>
      </c>
      <c r="AC40">
        <v>-0.15325077399380799</v>
      </c>
      <c r="AD40">
        <v>5.9431524547803427E-2</v>
      </c>
      <c r="AE40">
        <v>-0.24285714285714291</v>
      </c>
      <c r="AF40">
        <v>0.15168539325842681</v>
      </c>
      <c r="AG40">
        <v>-0.1574074074074073</v>
      </c>
      <c r="AH40">
        <v>6.9306930693069368E-2</v>
      </c>
      <c r="AI40">
        <v>0.2185430463576159</v>
      </c>
      <c r="AJ40">
        <v>0.49716055756324229</v>
      </c>
      <c r="AK40">
        <v>-0.12903225806451599</v>
      </c>
      <c r="AL40">
        <v>-5.1568543188654892E-2</v>
      </c>
      <c r="AM40">
        <v>4.2609853528628339E-2</v>
      </c>
      <c r="AN40">
        <v>-5.4722222222222228E-2</v>
      </c>
      <c r="AO40">
        <v>-5.8479532163742583E-2</v>
      </c>
      <c r="AP40">
        <v>-2.63157894736844E-2</v>
      </c>
      <c r="AR40">
        <v>-0.2</v>
      </c>
      <c r="AS40">
        <v>5.9701492537313383E-2</v>
      </c>
      <c r="AT40">
        <v>1.0000000000000011E-2</v>
      </c>
      <c r="AU40">
        <v>-0.30924855491329473</v>
      </c>
      <c r="AV40">
        <v>0.46428571428571441</v>
      </c>
      <c r="AW40">
        <v>-0.13938753959873279</v>
      </c>
      <c r="AX40">
        <v>-3.8865546218487368E-2</v>
      </c>
      <c r="AY40">
        <v>1.2878672054166209</v>
      </c>
      <c r="AZ40">
        <v>3.5469107551487473E-2</v>
      </c>
      <c r="BA40">
        <v>3.030303030303028E-2</v>
      </c>
      <c r="BB40">
        <v>9.0909090909090828E-2</v>
      </c>
      <c r="BC40">
        <v>-0.11523291759940291</v>
      </c>
      <c r="BD40">
        <v>0.153933865450399</v>
      </c>
      <c r="BE40">
        <v>-0.46616541353383473</v>
      </c>
      <c r="BF40">
        <v>-3.6624203821656098E-2</v>
      </c>
      <c r="BG40">
        <v>8.8000000000000078E-2</v>
      </c>
      <c r="BH40">
        <v>0.33333333333333331</v>
      </c>
      <c r="BJ40">
        <v>-0.30984902947519771</v>
      </c>
      <c r="BK40">
        <v>-8.0924855491329439E-2</v>
      </c>
      <c r="BL40">
        <v>7.2580645161290258E-2</v>
      </c>
      <c r="BM40">
        <v>-0.2524772096710266</v>
      </c>
      <c r="BO40">
        <v>-0.15942028985507251</v>
      </c>
      <c r="BP40">
        <v>0.17700729927007289</v>
      </c>
      <c r="BQ40">
        <v>0.15004262574595059</v>
      </c>
      <c r="BR40">
        <v>-0.24756335282651079</v>
      </c>
      <c r="BS40">
        <v>-4.4569589702333053E-2</v>
      </c>
      <c r="BT40">
        <v>-1.7094017094017141E-2</v>
      </c>
      <c r="BV40">
        <v>0.33079390537289499</v>
      </c>
      <c r="BW40">
        <v>-8.7634370328183997E-2</v>
      </c>
      <c r="BX40">
        <v>-4.5593912060203468E-2</v>
      </c>
      <c r="BZ40">
        <v>-0.52927927927927931</v>
      </c>
      <c r="CA40">
        <v>-0.64459330143540661</v>
      </c>
      <c r="CB40">
        <v>-8.2121807465618812E-2</v>
      </c>
      <c r="CC40">
        <v>8.7700487595266718E-2</v>
      </c>
      <c r="CD40">
        <v>4.7511312217194623E-2</v>
      </c>
      <c r="CE40">
        <v>0.2101341281669149</v>
      </c>
      <c r="CF40">
        <v>7.0833333333333304E-2</v>
      </c>
      <c r="CJ40">
        <v>-4.3820934897908732E-2</v>
      </c>
      <c r="CK40">
        <v>-0.43486956521739129</v>
      </c>
      <c r="CL40">
        <v>-0.22889804599229041</v>
      </c>
      <c r="CN40">
        <v>0.20440467997247061</v>
      </c>
      <c r="CO40">
        <v>-0.14744744744744739</v>
      </c>
      <c r="CP40">
        <v>6.2111801242235032E-3</v>
      </c>
      <c r="CQ40">
        <v>3.2258064516128997E-2</v>
      </c>
      <c r="CR40">
        <v>-0.20218786235315311</v>
      </c>
      <c r="CS40">
        <v>6.8965517241379448E-2</v>
      </c>
      <c r="CT40">
        <v>-0.26900584795321641</v>
      </c>
      <c r="CU40">
        <v>0.77973568281938332</v>
      </c>
      <c r="CV40">
        <v>-0.14524302919633161</v>
      </c>
      <c r="CW40">
        <v>-6.9884609133755937E-2</v>
      </c>
      <c r="CX40">
        <v>-0.16067093356874859</v>
      </c>
      <c r="CY40">
        <v>-1.587301587301582E-2</v>
      </c>
      <c r="CZ40">
        <v>-1.170614220390476E-2</v>
      </c>
      <c r="DA40">
        <v>9.9065420560747741E-2</v>
      </c>
      <c r="DB40">
        <v>-0.23433628318584079</v>
      </c>
      <c r="DC40">
        <v>-0.14062798547863201</v>
      </c>
      <c r="DD40">
        <v>0.26533333333333342</v>
      </c>
      <c r="DE40">
        <v>-0.45813953488372089</v>
      </c>
      <c r="DF40">
        <v>-7.1341090018371189E-2</v>
      </c>
      <c r="DG40">
        <v>-0.13191489361702119</v>
      </c>
      <c r="DI40">
        <v>0.126984126984127</v>
      </c>
      <c r="DJ40">
        <v>-0.10802919708029191</v>
      </c>
      <c r="DK40">
        <v>-2.1963824289405579E-2</v>
      </c>
      <c r="DL40">
        <v>-0.17817679558011049</v>
      </c>
      <c r="DM40">
        <v>7.7079107505070965E-2</v>
      </c>
      <c r="DN40">
        <v>-0.20634920634920631</v>
      </c>
      <c r="DP40">
        <v>3.6929172857850467E-2</v>
      </c>
      <c r="DQ40">
        <v>0</v>
      </c>
      <c r="DR40">
        <v>2.2883053885901061E-2</v>
      </c>
      <c r="DS40">
        <v>-0.1009224091155724</v>
      </c>
      <c r="DU40">
        <v>0.12265415549597861</v>
      </c>
      <c r="DW40">
        <v>-0.18697318007662839</v>
      </c>
      <c r="DX40">
        <v>5.7395143487858569E-2</v>
      </c>
      <c r="DY40">
        <v>0.48656716417910428</v>
      </c>
      <c r="DZ40">
        <v>-0.28936170212765971</v>
      </c>
      <c r="EA40">
        <v>-3.8674033149171172E-2</v>
      </c>
      <c r="EB40">
        <v>1.739130434782599E-2</v>
      </c>
      <c r="EC40">
        <v>-0.37209302325581389</v>
      </c>
      <c r="ED40">
        <v>-2.0135949724252922E-2</v>
      </c>
      <c r="EE40">
        <v>0.17231638418079109</v>
      </c>
      <c r="EF40">
        <v>-0.22047244094488189</v>
      </c>
      <c r="EG40">
        <v>-8.1037277147487874E-2</v>
      </c>
      <c r="EH40">
        <v>0.10471498944405359</v>
      </c>
      <c r="EI40">
        <v>-6.5620642379216054E-3</v>
      </c>
      <c r="EJ40">
        <v>-8.3244680851063846E-2</v>
      </c>
      <c r="EK40">
        <v>0.19581749049429659</v>
      </c>
      <c r="EL40">
        <v>0.13274336283185861</v>
      </c>
      <c r="EM40">
        <v>-0.42073170731707321</v>
      </c>
      <c r="EN40">
        <v>-7.2647793866928656E-2</v>
      </c>
      <c r="EO40">
        <v>-6.6666666666666763E-2</v>
      </c>
    </row>
    <row r="41" spans="1:145" x14ac:dyDescent="0.25">
      <c r="A41">
        <v>2023</v>
      </c>
      <c r="B41">
        <v>6</v>
      </c>
      <c r="C41">
        <v>6.4814272949153651E-2</v>
      </c>
      <c r="D41">
        <v>4.6002928327628636E-3</v>
      </c>
      <c r="E41">
        <v>0.24191616766467061</v>
      </c>
      <c r="F41">
        <v>-0.2083650190114068</v>
      </c>
      <c r="H41">
        <v>-0.1176470588235293</v>
      </c>
      <c r="I41">
        <v>-0.1263669501822601</v>
      </c>
      <c r="J41">
        <v>0.29524453459544753</v>
      </c>
      <c r="K41">
        <v>0.32478632478632502</v>
      </c>
      <c r="L41">
        <v>3.9823008849557702E-2</v>
      </c>
      <c r="M41">
        <v>0.19251218431546291</v>
      </c>
      <c r="O41">
        <v>0.51515151515151514</v>
      </c>
      <c r="P41">
        <v>-0.28571428571428581</v>
      </c>
      <c r="Q41">
        <v>0.1142217245240762</v>
      </c>
      <c r="R41">
        <v>0.1369674759505268</v>
      </c>
      <c r="S41">
        <v>1.923076923076916E-3</v>
      </c>
      <c r="T41">
        <v>-0.14375987361769349</v>
      </c>
      <c r="U41">
        <v>6.498194945848379E-2</v>
      </c>
      <c r="V41">
        <v>0.18989169675090259</v>
      </c>
      <c r="W41">
        <v>-6.2656641604010077E-2</v>
      </c>
      <c r="X41">
        <v>-2.602331255082679E-2</v>
      </c>
      <c r="Y41">
        <v>-4.1916167664670552E-2</v>
      </c>
      <c r="Z41">
        <v>0.1063829787234043</v>
      </c>
      <c r="AB41">
        <v>-7.6046138240055683E-3</v>
      </c>
      <c r="AC41">
        <v>0.23583180987202931</v>
      </c>
      <c r="AD41">
        <v>-2.1951219512195141E-2</v>
      </c>
      <c r="AE41">
        <v>-0.1100628930817609</v>
      </c>
      <c r="AF41">
        <v>-0.10731707317073159</v>
      </c>
      <c r="AG41">
        <v>2.19780219780219E-2</v>
      </c>
      <c r="AH41">
        <v>3.7037037037036979E-2</v>
      </c>
      <c r="AI41">
        <v>0.2119565217391304</v>
      </c>
      <c r="AJ41">
        <v>0.83908045977011514</v>
      </c>
      <c r="AK41">
        <v>0.1064814814814814</v>
      </c>
      <c r="AL41">
        <v>-2.628001812415048E-2</v>
      </c>
      <c r="AM41">
        <v>-5.2788420604512498E-2</v>
      </c>
      <c r="AN41">
        <v>2.3508668821627938E-3</v>
      </c>
      <c r="AO41">
        <v>-8.6956521739130488E-2</v>
      </c>
      <c r="AP41">
        <v>-0.17567567567567571</v>
      </c>
      <c r="AR41">
        <v>3.4482758620689717E-2</v>
      </c>
      <c r="AS41">
        <v>6.3380281690140761E-2</v>
      </c>
      <c r="AT41">
        <v>-9.8910891089108777E-2</v>
      </c>
      <c r="AU41">
        <v>0.33054393305439328</v>
      </c>
      <c r="AV41">
        <v>-0.19512195121951231</v>
      </c>
      <c r="AW41">
        <v>0.2343558282208589</v>
      </c>
      <c r="AX41">
        <v>0.1153005464480874</v>
      </c>
      <c r="AY41">
        <v>-0.19570405727923629</v>
      </c>
      <c r="AZ41">
        <v>-0.1966850828729283</v>
      </c>
      <c r="BA41">
        <v>2.205882352941169E-2</v>
      </c>
      <c r="BB41">
        <v>-0.1186868686868686</v>
      </c>
      <c r="BC41">
        <v>-6.0240963855422436E-3</v>
      </c>
      <c r="BD41">
        <v>-0.23418972332015811</v>
      </c>
      <c r="BE41">
        <v>-0.1654929577464789</v>
      </c>
      <c r="BF41">
        <v>0.43801652892561971</v>
      </c>
      <c r="BG41">
        <v>0.213235294117647</v>
      </c>
      <c r="BH41">
        <v>5.9375000000000178E-2</v>
      </c>
      <c r="BJ41">
        <v>9.375E-2</v>
      </c>
      <c r="BK41">
        <v>0.88679245283018848</v>
      </c>
      <c r="BL41">
        <v>1.764025448235973E-2</v>
      </c>
      <c r="BM41">
        <v>9.5440084835631822E-3</v>
      </c>
      <c r="BO41">
        <v>7.448275862068976E-2</v>
      </c>
      <c r="BP41">
        <v>1.7054263565891459E-2</v>
      </c>
      <c r="BQ41">
        <v>-5.633802816901412E-2</v>
      </c>
      <c r="BR41">
        <v>0.1243523316062176</v>
      </c>
      <c r="BS41">
        <v>6.6352307174132763E-2</v>
      </c>
      <c r="BT41">
        <v>-6.9565217391304168E-2</v>
      </c>
      <c r="BV41">
        <v>-0.2226574269358241</v>
      </c>
      <c r="BW41">
        <v>-3.2693508114856377E-2</v>
      </c>
      <c r="BX41">
        <v>6.745783970132524E-2</v>
      </c>
      <c r="BZ41">
        <v>-0.69239234449760767</v>
      </c>
      <c r="CA41">
        <v>-1.682821755519659E-2</v>
      </c>
      <c r="CB41">
        <v>2.8824200913242001E-2</v>
      </c>
      <c r="CC41">
        <v>9.2022496540897558E-2</v>
      </c>
      <c r="CD41">
        <v>8.8552915766738627E-2</v>
      </c>
      <c r="CE41">
        <v>-3.3251231527093528E-2</v>
      </c>
      <c r="CF41">
        <v>0.5992217898832688</v>
      </c>
      <c r="CJ41">
        <v>5.21262042167705E-2</v>
      </c>
      <c r="CK41">
        <v>0.15740883212801979</v>
      </c>
      <c r="CL41">
        <v>-8.4468195138767133E-3</v>
      </c>
      <c r="CN41">
        <v>-0.30928571428571427</v>
      </c>
      <c r="CO41">
        <v>5.6710109193377933E-2</v>
      </c>
      <c r="CP41">
        <v>0.1111111111111112</v>
      </c>
      <c r="CQ41">
        <v>-0.19375000000000001</v>
      </c>
      <c r="CR41">
        <v>7.3236826867400184E-2</v>
      </c>
      <c r="CS41">
        <v>-0.1225806451612903</v>
      </c>
      <c r="CT41">
        <v>-1.6000000000000011E-2</v>
      </c>
      <c r="CU41">
        <v>-0.11386138613861389</v>
      </c>
      <c r="CV41">
        <v>3.9174267882861269E-2</v>
      </c>
      <c r="CW41">
        <v>3.8441376900227198E-2</v>
      </c>
      <c r="CX41">
        <v>5.3641861688140891E-2</v>
      </c>
      <c r="CY41">
        <v>-0.1975806451612904</v>
      </c>
      <c r="CZ41">
        <v>-3.5243584673010253E-2</v>
      </c>
      <c r="DA41">
        <v>0.21768707482993199</v>
      </c>
      <c r="DB41">
        <v>-0.1622746185852981</v>
      </c>
      <c r="DC41">
        <v>7.1309702674113851E-2</v>
      </c>
      <c r="DD41">
        <v>-0.23498419388830349</v>
      </c>
      <c r="DE41">
        <v>-0.12875536480686711</v>
      </c>
      <c r="DF41">
        <v>-1.820712898853338E-2</v>
      </c>
      <c r="DG41">
        <v>9.8039215686274161E-3</v>
      </c>
      <c r="DI41">
        <v>-0.13380281690140841</v>
      </c>
      <c r="DJ41">
        <v>-4.0916530278232388E-2</v>
      </c>
      <c r="DK41">
        <v>7.9700572435050576E-2</v>
      </c>
      <c r="DL41">
        <v>-6.386554621848739E-2</v>
      </c>
      <c r="DM41">
        <v>-4.0489642184557417E-2</v>
      </c>
      <c r="DN41">
        <v>0.18000000000000019</v>
      </c>
      <c r="DP41">
        <v>-9.9810848506849625E-2</v>
      </c>
      <c r="DQ41">
        <v>-5.084745762711862E-2</v>
      </c>
      <c r="DR41">
        <v>0.1030927835051547</v>
      </c>
      <c r="DS41">
        <v>-9.2939046469523334E-2</v>
      </c>
      <c r="DU41">
        <v>7.8805970149253834E-2</v>
      </c>
      <c r="DW41">
        <v>-0.17530631479736089</v>
      </c>
      <c r="DX41">
        <v>4.1753653444676084E-3</v>
      </c>
      <c r="DY41">
        <v>0.1144578313253013</v>
      </c>
      <c r="DZ41">
        <v>-6.5868263473053856E-2</v>
      </c>
      <c r="EA41">
        <v>-0.1379310344827587</v>
      </c>
      <c r="EB41">
        <v>8.5470085470085166E-3</v>
      </c>
      <c r="EC41">
        <v>0.1064814814814814</v>
      </c>
      <c r="ED41">
        <v>-0.1541884816753927</v>
      </c>
      <c r="EE41">
        <v>-7.2289156626507154E-3</v>
      </c>
      <c r="EF41">
        <v>0.20202020202020199</v>
      </c>
      <c r="EG41">
        <v>1.7636684303350861E-2</v>
      </c>
      <c r="EH41">
        <v>0.37597146133265391</v>
      </c>
      <c r="EI41">
        <v>9.0718220313992903E-2</v>
      </c>
      <c r="EJ41">
        <v>-4.8447925732521102E-2</v>
      </c>
      <c r="EK41">
        <v>-0.34817170111287771</v>
      </c>
      <c r="EL41">
        <v>2.34375E-2</v>
      </c>
      <c r="EM41">
        <v>-0.26315789473684209</v>
      </c>
      <c r="EN41">
        <v>5.6438050362757293E-2</v>
      </c>
      <c r="EO41">
        <v>1.1904761904761861E-2</v>
      </c>
    </row>
    <row r="42" spans="1:145" x14ac:dyDescent="0.25">
      <c r="A42">
        <v>2023</v>
      </c>
      <c r="B42">
        <v>7</v>
      </c>
      <c r="C42">
        <v>3.2733137296286692E-2</v>
      </c>
      <c r="D42">
        <v>3.856441469822558E-3</v>
      </c>
      <c r="E42">
        <v>-4.8216007714561249E-2</v>
      </c>
      <c r="F42">
        <v>0.5417867435158501</v>
      </c>
      <c r="H42">
        <v>-0.10476190476190481</v>
      </c>
      <c r="I42">
        <v>8.7158089939731065E-2</v>
      </c>
      <c r="J42">
        <v>5.602923264311821E-2</v>
      </c>
      <c r="K42">
        <v>3.2258064516128997E-2</v>
      </c>
      <c r="L42">
        <v>-8.085106382978724E-2</v>
      </c>
      <c r="M42">
        <v>-2.3778562140070569E-2</v>
      </c>
      <c r="O42">
        <v>-4.4705882352941262E-2</v>
      </c>
      <c r="P42">
        <v>0.32727272727272738</v>
      </c>
      <c r="Q42">
        <v>-3.0150753768844241E-2</v>
      </c>
      <c r="R42">
        <v>-4.0290088638195174E-3</v>
      </c>
      <c r="S42">
        <v>7.6775431861804133E-3</v>
      </c>
      <c r="T42">
        <v>4.9815498154981652E-2</v>
      </c>
      <c r="U42">
        <v>-1.0169491525423791E-2</v>
      </c>
      <c r="V42">
        <v>-0.1444174757281553</v>
      </c>
      <c r="W42">
        <v>-8.2887700534759357E-2</v>
      </c>
      <c r="X42">
        <v>9.198441413860281E-2</v>
      </c>
      <c r="Y42">
        <v>0.13124999999999989</v>
      </c>
      <c r="Z42">
        <v>0.1288461538461538</v>
      </c>
      <c r="AB42">
        <v>-1.8783212049416239E-2</v>
      </c>
      <c r="AC42">
        <v>8.8757396449705706E-3</v>
      </c>
      <c r="AD42">
        <v>-0.12718204488778051</v>
      </c>
      <c r="AE42">
        <v>0.1766784452296819</v>
      </c>
      <c r="AF42">
        <v>-9.2896174863388081E-2</v>
      </c>
      <c r="AG42">
        <v>-0.43978494623655912</v>
      </c>
      <c r="AH42">
        <v>4.4642857142856977E-2</v>
      </c>
      <c r="AI42">
        <v>1.345291479820632E-2</v>
      </c>
      <c r="AJ42">
        <v>-0.3125</v>
      </c>
      <c r="AK42">
        <v>0.11297071129707099</v>
      </c>
      <c r="AL42">
        <v>5.9097254536994097E-2</v>
      </c>
      <c r="AM42">
        <v>0.14516853932584259</v>
      </c>
      <c r="AN42">
        <v>-5.482263265904419E-2</v>
      </c>
      <c r="AO42">
        <v>3.4013605442176909E-2</v>
      </c>
      <c r="AP42">
        <v>0.11475409836065591</v>
      </c>
      <c r="AR42">
        <v>-0.1750833333333334</v>
      </c>
      <c r="AS42">
        <v>-0.4370860927152318</v>
      </c>
      <c r="AT42">
        <v>-0.1795407098121086</v>
      </c>
      <c r="AU42">
        <v>0.21383647798742131</v>
      </c>
      <c r="AV42">
        <v>-0.30707070707070699</v>
      </c>
      <c r="AW42">
        <v>0.1998011928429424</v>
      </c>
      <c r="AX42">
        <v>-7.2023517883390453E-2</v>
      </c>
      <c r="AY42">
        <v>-0.18991097922848649</v>
      </c>
      <c r="AZ42">
        <v>0.37826685006877581</v>
      </c>
      <c r="BA42">
        <v>0.1294964028776979</v>
      </c>
      <c r="BB42">
        <v>-0.19197707736389691</v>
      </c>
      <c r="BC42">
        <v>-1.8181818181818191E-2</v>
      </c>
      <c r="BD42">
        <v>-5.9354838709677393E-2</v>
      </c>
      <c r="BE42">
        <v>-0.1012658227848101</v>
      </c>
      <c r="BF42">
        <v>0.43678160919540238</v>
      </c>
      <c r="BG42">
        <v>0.15757575757575751</v>
      </c>
      <c r="BH42">
        <v>0.10830172777075429</v>
      </c>
      <c r="BJ42">
        <v>-0.24285714285714291</v>
      </c>
      <c r="BK42">
        <v>-0.13</v>
      </c>
      <c r="BL42">
        <v>5.1150895140665842E-3</v>
      </c>
      <c r="BM42">
        <v>0.15966386554621839</v>
      </c>
      <c r="BO42">
        <v>5.9050064184852369E-2</v>
      </c>
      <c r="BP42">
        <v>-0.21493902439024379</v>
      </c>
      <c r="BQ42">
        <v>6.4414768263943545E-2</v>
      </c>
      <c r="BR42">
        <v>-2.304147465437723E-3</v>
      </c>
      <c r="BS42">
        <v>-2.3373341756159131E-2</v>
      </c>
      <c r="BT42">
        <v>-9.3457943925233655E-3</v>
      </c>
      <c r="BV42">
        <v>0.25775193798449608</v>
      </c>
      <c r="BW42">
        <v>5.2028716624989757E-2</v>
      </c>
      <c r="BX42">
        <v>1.2143336920349629E-2</v>
      </c>
      <c r="BZ42">
        <v>-7.2950692176077192E-2</v>
      </c>
      <c r="CA42">
        <v>0.14131178967547589</v>
      </c>
      <c r="CB42">
        <v>-7.1705963938973438E-2</v>
      </c>
      <c r="CC42">
        <v>-3.0768888728679559E-2</v>
      </c>
      <c r="CD42">
        <v>-1.3888888888888951E-2</v>
      </c>
      <c r="CE42">
        <v>-1.656050955414012E-2</v>
      </c>
      <c r="CF42">
        <v>-0.21654501216545019</v>
      </c>
      <c r="CJ42">
        <v>-7.5742800090690343E-2</v>
      </c>
      <c r="CK42">
        <v>-6.8997607019409823E-2</v>
      </c>
      <c r="CL42">
        <v>-6.8497913769123731E-2</v>
      </c>
      <c r="CN42">
        <v>-0.19317476732161329</v>
      </c>
      <c r="CO42">
        <v>0.3</v>
      </c>
      <c r="CP42">
        <v>2.7777777777777901E-2</v>
      </c>
      <c r="CQ42">
        <v>-0.1201550387596899</v>
      </c>
      <c r="CR42">
        <v>5.6223967887433217E-2</v>
      </c>
      <c r="CS42">
        <v>-0.20036764705882371</v>
      </c>
      <c r="CT42">
        <v>-2.0325203252032579E-2</v>
      </c>
      <c r="CU42">
        <v>-5.307262569832405E-2</v>
      </c>
      <c r="CV42">
        <v>5.6938926360528441E-2</v>
      </c>
      <c r="CW42">
        <v>9.725727746929147E-2</v>
      </c>
      <c r="CX42">
        <v>-9.2837534314948789E-2</v>
      </c>
      <c r="CY42">
        <v>-0.115577889447236</v>
      </c>
      <c r="CZ42">
        <v>-5.7694916276055386E-3</v>
      </c>
      <c r="DA42">
        <v>6.2150837988826917E-2</v>
      </c>
      <c r="DB42">
        <v>-1.5452538631346661E-2</v>
      </c>
      <c r="DC42">
        <v>7.9235505355110147E-2</v>
      </c>
      <c r="DD42">
        <v>2.7548209366392569E-3</v>
      </c>
      <c r="DE42">
        <v>0.97536945812807896</v>
      </c>
      <c r="DF42">
        <v>-1.119402985074636E-2</v>
      </c>
      <c r="DG42">
        <v>3.8834951456310662E-2</v>
      </c>
      <c r="DI42">
        <v>6.5040650406504197E-2</v>
      </c>
      <c r="DJ42">
        <v>-0.19112627986348121</v>
      </c>
      <c r="DK42">
        <v>-0.10358890701468181</v>
      </c>
      <c r="DL42">
        <v>-1.795332136445249E-2</v>
      </c>
      <c r="DM42">
        <v>-0.1727183513248283</v>
      </c>
      <c r="DN42">
        <v>0</v>
      </c>
      <c r="DP42">
        <v>0.1366231561073967</v>
      </c>
      <c r="DQ42">
        <v>-0.16964285714285721</v>
      </c>
      <c r="DR42">
        <v>9.3457943925234765E-3</v>
      </c>
      <c r="DS42">
        <v>2.0958083832335331E-2</v>
      </c>
      <c r="DU42">
        <v>0.21804095185390149</v>
      </c>
      <c r="DW42">
        <v>-0.17485714285714291</v>
      </c>
      <c r="DX42">
        <v>0.47401247401247398</v>
      </c>
      <c r="DY42">
        <v>-7.2072072072072113E-2</v>
      </c>
      <c r="DZ42">
        <v>0.62179487179487158</v>
      </c>
      <c r="EA42">
        <v>-3.3333333333333333E-2</v>
      </c>
      <c r="EB42">
        <v>-0.1186440677966102</v>
      </c>
      <c r="EC42">
        <v>-4.1841004184101083E-3</v>
      </c>
      <c r="ED42">
        <v>-5.137728257505414E-2</v>
      </c>
      <c r="EE42">
        <v>-1.4563106796116609E-2</v>
      </c>
      <c r="EF42">
        <v>5.8823529411764719E-2</v>
      </c>
      <c r="EG42">
        <v>1.2131715771230621E-2</v>
      </c>
      <c r="EH42">
        <v>-0.1759259259259259</v>
      </c>
      <c r="EI42">
        <v>5.5109765329296012E-2</v>
      </c>
      <c r="EJ42">
        <v>0.1295731707317074</v>
      </c>
      <c r="EK42">
        <v>0.13414634146341481</v>
      </c>
      <c r="EL42">
        <v>-3.8167938931298329E-3</v>
      </c>
      <c r="EM42">
        <v>3.5714285714285809E-2</v>
      </c>
      <c r="EN42">
        <v>9.4599912781730966E-2</v>
      </c>
      <c r="EO42">
        <v>-4.3137254901960742E-2</v>
      </c>
    </row>
    <row r="43" spans="1:145" x14ac:dyDescent="0.25">
      <c r="A43">
        <v>2023</v>
      </c>
      <c r="B43">
        <v>8</v>
      </c>
      <c r="C43">
        <v>-1.625209291842267E-2</v>
      </c>
      <c r="D43">
        <v>4.9630877013477903E-3</v>
      </c>
      <c r="E43">
        <v>-0.24214792299898669</v>
      </c>
      <c r="F43">
        <v>-0.45420560747663552</v>
      </c>
      <c r="H43">
        <v>-0.5</v>
      </c>
      <c r="I43">
        <v>-8.0597014925373189E-2</v>
      </c>
      <c r="J43">
        <v>-0.1216015818091942</v>
      </c>
      <c r="K43">
        <v>0.27812500000000001</v>
      </c>
      <c r="L43">
        <v>0.29166666666666652</v>
      </c>
      <c r="M43">
        <v>0.22530922930542349</v>
      </c>
      <c r="O43">
        <v>0.85221674876847309</v>
      </c>
      <c r="P43">
        <v>-0.25114155251141562</v>
      </c>
      <c r="Q43">
        <v>-1.5544041450777261E-2</v>
      </c>
      <c r="R43">
        <v>0.1411812297734629</v>
      </c>
      <c r="S43">
        <v>3.3809523809523963E-2</v>
      </c>
      <c r="T43">
        <v>-0.42355008787346232</v>
      </c>
      <c r="U43">
        <v>-0.23630136986301359</v>
      </c>
      <c r="V43">
        <v>-4.1843971631205679E-2</v>
      </c>
      <c r="W43">
        <v>-2.040816326530626E-2</v>
      </c>
      <c r="X43">
        <v>2.969287625844275E-2</v>
      </c>
      <c r="Y43">
        <v>-6.0773480662983492E-2</v>
      </c>
      <c r="Z43">
        <v>-0.26235093696763201</v>
      </c>
      <c r="AB43">
        <v>-8.6840139979061926E-3</v>
      </c>
      <c r="AC43">
        <v>-0.2756598240469208</v>
      </c>
      <c r="AD43">
        <v>-0.12854285714285721</v>
      </c>
      <c r="AE43">
        <v>-0.2282282282282283</v>
      </c>
      <c r="AF43">
        <v>-6.6265060240963791E-2</v>
      </c>
      <c r="AG43">
        <v>0.2324376199616123</v>
      </c>
      <c r="AH43">
        <v>-0.2222222222222221</v>
      </c>
      <c r="AI43">
        <v>-0.2433628318584071</v>
      </c>
      <c r="AJ43">
        <v>-6.3636363636363713E-2</v>
      </c>
      <c r="AK43">
        <v>0.1278195488721805</v>
      </c>
      <c r="AL43">
        <v>2.899824253075578E-2</v>
      </c>
      <c r="AM43">
        <v>0.2845368916797486</v>
      </c>
      <c r="AN43">
        <v>-0.50372208436724564</v>
      </c>
      <c r="AO43">
        <v>8.5526315789473673E-2</v>
      </c>
      <c r="AP43">
        <v>-7.9185520361990891E-2</v>
      </c>
      <c r="AR43">
        <v>-7.849277704818669E-2</v>
      </c>
      <c r="AS43">
        <v>-9.4117647058823528E-2</v>
      </c>
      <c r="AT43">
        <v>-8.3567697870630675E-2</v>
      </c>
      <c r="AU43">
        <v>0.10880829015544061</v>
      </c>
      <c r="AV43">
        <v>-0.10787172011661809</v>
      </c>
      <c r="AW43">
        <v>1.0770505385252699E-2</v>
      </c>
      <c r="AX43">
        <v>-0.17529039070749741</v>
      </c>
      <c r="AY43">
        <v>-0.2087912087912088</v>
      </c>
      <c r="AZ43">
        <v>-1.297405189620748E-2</v>
      </c>
      <c r="BA43">
        <v>1.9108280254777069E-2</v>
      </c>
      <c r="BB43">
        <v>0.59574468085106402</v>
      </c>
      <c r="BC43">
        <v>-0.2339506172839507</v>
      </c>
      <c r="BD43">
        <v>-0.14266117969821679</v>
      </c>
      <c r="BE43">
        <v>-0.1126760563380282</v>
      </c>
      <c r="BF43">
        <v>-0.20719999999999991</v>
      </c>
      <c r="BG43">
        <v>0.44764397905759168</v>
      </c>
      <c r="BH43">
        <v>-0.19163498098859311</v>
      </c>
      <c r="BJ43">
        <v>-6.2893081761006275E-2</v>
      </c>
      <c r="BK43">
        <v>-0.16858237547892721</v>
      </c>
      <c r="BL43">
        <v>2.48798416737348E-2</v>
      </c>
      <c r="BM43">
        <v>-0.31295289855072461</v>
      </c>
      <c r="BO43">
        <v>4.7878787878787847E-2</v>
      </c>
      <c r="BP43">
        <v>-9.9029126213592389E-2</v>
      </c>
      <c r="BQ43">
        <v>-5.9040590405904148E-2</v>
      </c>
      <c r="BR43">
        <v>-7.8521939953810627E-2</v>
      </c>
      <c r="BS43">
        <v>-0.10219922380336351</v>
      </c>
      <c r="BT43">
        <v>-0.16981132075471711</v>
      </c>
      <c r="BV43">
        <v>-0.40677966101694918</v>
      </c>
      <c r="BW43">
        <v>9.9217911363288058E-2</v>
      </c>
      <c r="BX43">
        <v>-2.801110209185198E-2</v>
      </c>
      <c r="BZ43">
        <v>-0.1645973154362417</v>
      </c>
      <c r="CA43">
        <v>0.25962807438512292</v>
      </c>
      <c r="CB43">
        <v>-1.7331540415359451E-2</v>
      </c>
      <c r="CC43">
        <v>0.2217885201864824</v>
      </c>
      <c r="CD43">
        <v>-0.20523138832997981</v>
      </c>
      <c r="CE43">
        <v>-0.1101036269430051</v>
      </c>
      <c r="CF43">
        <v>8.0745341614906652E-2</v>
      </c>
      <c r="CJ43">
        <v>2.1847005937585932E-2</v>
      </c>
      <c r="CK43">
        <v>-0.17920891046694279</v>
      </c>
      <c r="CL43">
        <v>0.1104889884285178</v>
      </c>
      <c r="CN43">
        <v>-0.24352730069213011</v>
      </c>
      <c r="CO43">
        <v>-0.17692307692307699</v>
      </c>
      <c r="CP43">
        <v>-0.1135135135135136</v>
      </c>
      <c r="CQ43">
        <v>-0.1674008810572688</v>
      </c>
      <c r="CR43">
        <v>1.1554434052378101E-2</v>
      </c>
      <c r="CS43">
        <v>-0.20459770114942519</v>
      </c>
      <c r="CT43">
        <v>-1.2448132780082831E-2</v>
      </c>
      <c r="CU43">
        <v>-3.2448377581121068E-2</v>
      </c>
      <c r="CV43">
        <v>-3.6606420875494372E-2</v>
      </c>
      <c r="CW43">
        <v>-0.1055052905996012</v>
      </c>
      <c r="CX43">
        <v>-2.88858321870703E-2</v>
      </c>
      <c r="CY43">
        <v>-0.28636363636363638</v>
      </c>
      <c r="CZ43">
        <v>-1.885814250328199E-2</v>
      </c>
      <c r="DA43">
        <v>-5.3911900065746199E-2</v>
      </c>
      <c r="DB43">
        <v>-5.3811659192825163E-2</v>
      </c>
      <c r="DC43">
        <v>-3.7309301539573132E-2</v>
      </c>
      <c r="DD43">
        <v>-0.41208791208791212</v>
      </c>
      <c r="DE43">
        <v>-0.36408977556109717</v>
      </c>
      <c r="DF43">
        <v>-0.1132075471698113</v>
      </c>
      <c r="DG43">
        <v>-0.1121495327102805</v>
      </c>
      <c r="DI43">
        <v>0.29007633587786241</v>
      </c>
      <c r="DJ43">
        <v>-0.17510548523206751</v>
      </c>
      <c r="DK43">
        <v>-4.5950864422202087E-2</v>
      </c>
      <c r="DL43">
        <v>-0.47531992687385738</v>
      </c>
      <c r="DM43">
        <v>-8.8967971530249157E-2</v>
      </c>
      <c r="DN43">
        <v>0.19322033898305069</v>
      </c>
      <c r="DP43">
        <v>-0.2003473259635494</v>
      </c>
      <c r="DQ43">
        <v>-0.37849462365591391</v>
      </c>
      <c r="DR43">
        <v>-0.19212962962962979</v>
      </c>
      <c r="DS43">
        <v>3.7471489084392351E-2</v>
      </c>
      <c r="DU43">
        <v>-0.2044525215810995</v>
      </c>
      <c r="DW43">
        <v>-0.27008310249307488</v>
      </c>
      <c r="DX43">
        <v>-0.14386459802538781</v>
      </c>
      <c r="DY43">
        <v>0</v>
      </c>
      <c r="DZ43">
        <v>0.1699604743083005</v>
      </c>
      <c r="EA43">
        <v>-0.34379310344827579</v>
      </c>
      <c r="EB43">
        <v>-0.24423076923076931</v>
      </c>
      <c r="EC43">
        <v>-7.1428571428571397E-2</v>
      </c>
      <c r="ED43">
        <v>-0.16313213703099519</v>
      </c>
      <c r="EE43">
        <v>-6.6502463054187055E-2</v>
      </c>
      <c r="EF43">
        <v>-0.17460317460317451</v>
      </c>
      <c r="EG43">
        <v>-0.22089041095890419</v>
      </c>
      <c r="EH43">
        <v>-3.3707865168539297E-2</v>
      </c>
      <c r="EI43">
        <v>3.202960047557557E-2</v>
      </c>
      <c r="EJ43">
        <v>-9.5816464237516774E-2</v>
      </c>
      <c r="EK43">
        <v>-6.4516129032258229E-2</v>
      </c>
      <c r="EL43">
        <v>-0.13026819923371649</v>
      </c>
      <c r="EM43">
        <v>-0.20682758620689659</v>
      </c>
      <c r="EN43">
        <v>1.286602555174432E-2</v>
      </c>
      <c r="EO43">
        <v>3.8934426229508379E-2</v>
      </c>
    </row>
    <row r="44" spans="1:145" x14ac:dyDescent="0.25">
      <c r="A44">
        <v>2023</v>
      </c>
      <c r="B44">
        <v>9</v>
      </c>
      <c r="C44">
        <v>-4.7393125782894119E-2</v>
      </c>
      <c r="D44">
        <v>3.9864486669614063E-3</v>
      </c>
      <c r="E44">
        <v>-8.4224598930481398E-2</v>
      </c>
      <c r="F44">
        <v>-0.36531963470319628</v>
      </c>
      <c r="H44">
        <v>-0.12340425531914891</v>
      </c>
      <c r="I44">
        <v>-0.1507421150278293</v>
      </c>
      <c r="J44">
        <v>-0.13731007315700619</v>
      </c>
      <c r="K44">
        <v>3.1784841075794601E-2</v>
      </c>
      <c r="L44">
        <v>9.4982078853046659E-2</v>
      </c>
      <c r="M44">
        <v>-9.8307190557540003E-2</v>
      </c>
      <c r="O44">
        <v>6.9148936170212671E-2</v>
      </c>
      <c r="P44">
        <v>-6.7073170731707266E-2</v>
      </c>
      <c r="Q44">
        <v>-0.231578947368421</v>
      </c>
      <c r="R44">
        <v>-0.303792981212336</v>
      </c>
      <c r="S44">
        <v>-2.3030861354215171E-3</v>
      </c>
      <c r="T44">
        <v>-0.21951219512195119</v>
      </c>
      <c r="U44">
        <v>-9.4170403587443885E-2</v>
      </c>
      <c r="V44">
        <v>-0.2376017764618801</v>
      </c>
      <c r="W44">
        <v>-0.1071428571428571</v>
      </c>
      <c r="X44">
        <v>-0.13502475247524751</v>
      </c>
      <c r="Y44">
        <v>0.58823529411764719</v>
      </c>
      <c r="Z44">
        <v>1.270207852193983E-2</v>
      </c>
      <c r="AB44">
        <v>-5.8556003660620193E-2</v>
      </c>
      <c r="AC44">
        <v>3.6437246963562757E-2</v>
      </c>
      <c r="AD44">
        <v>-0.12806137503688411</v>
      </c>
      <c r="AE44">
        <v>-0.34630350194552528</v>
      </c>
      <c r="AF44">
        <v>-7.0967741935483941E-2</v>
      </c>
      <c r="AG44">
        <v>0.10418937860146379</v>
      </c>
      <c r="AH44">
        <v>-4.4065934065934058E-2</v>
      </c>
      <c r="AI44">
        <v>-0.33333333333333343</v>
      </c>
      <c r="AJ44">
        <v>0.46601941747572823</v>
      </c>
      <c r="AK44">
        <v>-0.37666666666666659</v>
      </c>
      <c r="AL44">
        <v>-4.5687446626814683E-2</v>
      </c>
      <c r="AM44">
        <v>-0.16758325695080961</v>
      </c>
      <c r="AN44">
        <v>-7.5000000000000067E-2</v>
      </c>
      <c r="AO44">
        <v>0.1454545454545455</v>
      </c>
      <c r="AP44">
        <v>-9.0909090909090939E-2</v>
      </c>
      <c r="AR44">
        <v>-0.249725937294453</v>
      </c>
      <c r="AS44">
        <v>-0.1167532467532468</v>
      </c>
      <c r="AT44">
        <v>-0.32514978810463258</v>
      </c>
      <c r="AU44">
        <v>0.28037383177570102</v>
      </c>
      <c r="AV44">
        <v>-0.18627450980392149</v>
      </c>
      <c r="AW44">
        <v>-7.8688524590163844E-2</v>
      </c>
      <c r="AX44">
        <v>-0.12548015364916759</v>
      </c>
      <c r="AY44">
        <v>0.1018518518518521</v>
      </c>
      <c r="AZ44">
        <v>-7.5834175935288184E-2</v>
      </c>
      <c r="BA44">
        <v>-0.38750000000000012</v>
      </c>
      <c r="BB44">
        <v>-7.3333333333333361E-2</v>
      </c>
      <c r="BC44">
        <v>0.1120064464141821</v>
      </c>
      <c r="BD44">
        <v>-8.3199999999999941E-2</v>
      </c>
      <c r="BE44">
        <v>-0.12169312169312151</v>
      </c>
      <c r="BF44">
        <v>-0.19374369323915239</v>
      </c>
      <c r="BG44">
        <v>-0.19710669077757681</v>
      </c>
      <c r="BH44">
        <v>-5.4562558795860798E-2</v>
      </c>
      <c r="BJ44">
        <v>-0.33020134228187908</v>
      </c>
      <c r="BK44">
        <v>-0.29940092165898607</v>
      </c>
      <c r="BL44">
        <v>-9.5999999999999863E-2</v>
      </c>
      <c r="BM44">
        <v>-5.2735662491760087E-2</v>
      </c>
      <c r="BO44">
        <v>3.9039907460960199E-2</v>
      </c>
      <c r="BP44">
        <v>-6.6810344827586077E-2</v>
      </c>
      <c r="BQ44">
        <v>1.882352941176468E-2</v>
      </c>
      <c r="BR44">
        <v>-0.16040100250626571</v>
      </c>
      <c r="BS44">
        <v>-6.1779538904899178E-2</v>
      </c>
      <c r="BT44">
        <v>-8.9772727272727226E-2</v>
      </c>
      <c r="BV44">
        <v>-0.32467532467532467</v>
      </c>
      <c r="BW44">
        <v>-9.7098214285714413E-2</v>
      </c>
      <c r="BX44">
        <v>-3.6677468841625593E-2</v>
      </c>
      <c r="BZ44">
        <v>0.14018879293030739</v>
      </c>
      <c r="CA44">
        <v>-4.7623583198399877E-2</v>
      </c>
      <c r="CB44">
        <v>-8.894632811312142E-2</v>
      </c>
      <c r="CC44">
        <v>-3.080105902564156E-2</v>
      </c>
      <c r="CD44">
        <v>-0.24556962025316459</v>
      </c>
      <c r="CE44">
        <v>-7.7147016011644864E-2</v>
      </c>
      <c r="CF44">
        <v>0.1235632183908046</v>
      </c>
      <c r="CJ44">
        <v>-4.8959975318997102E-2</v>
      </c>
      <c r="CK44">
        <v>-0.21711899791231731</v>
      </c>
      <c r="CL44">
        <v>1.008403361344667E-3</v>
      </c>
      <c r="CN44">
        <v>-0.1189427312775331</v>
      </c>
      <c r="CO44">
        <v>-0.20560747663551401</v>
      </c>
      <c r="CP44">
        <v>-0.1829268292682926</v>
      </c>
      <c r="CQ44">
        <v>-0.16931216931216919</v>
      </c>
      <c r="CR44">
        <v>-0.20947225434401681</v>
      </c>
      <c r="CS44">
        <v>-0.15606936416184969</v>
      </c>
      <c r="CT44">
        <v>3.3613445378151141E-2</v>
      </c>
      <c r="CU44">
        <v>-0.20426829268292679</v>
      </c>
      <c r="CV44">
        <v>-7.6403067011478698E-2</v>
      </c>
      <c r="CW44">
        <v>-1.954397394136809E-2</v>
      </c>
      <c r="CX44">
        <v>-0.13087818696883849</v>
      </c>
      <c r="CY44">
        <v>-0.20318471337579619</v>
      </c>
      <c r="CZ44">
        <v>-6.2463884107771372E-2</v>
      </c>
      <c r="DA44">
        <v>-0.27936066712995139</v>
      </c>
      <c r="DB44">
        <v>2.7251184834123251E-2</v>
      </c>
      <c r="DC44">
        <v>-8.7144037505258676E-2</v>
      </c>
      <c r="DD44">
        <v>2.1028037383177489E-2</v>
      </c>
      <c r="DE44">
        <v>-0.32160784313725488</v>
      </c>
      <c r="DF44">
        <v>-0.1361702127659575</v>
      </c>
      <c r="DG44">
        <v>-0.42763157894736847</v>
      </c>
      <c r="DI44">
        <v>-0.1124260355029586</v>
      </c>
      <c r="DJ44">
        <v>0.248081841432225</v>
      </c>
      <c r="DK44">
        <v>-0.206485455412494</v>
      </c>
      <c r="DL44">
        <v>-0.51219512195121952</v>
      </c>
      <c r="DM44">
        <v>-7.291666666666663E-2</v>
      </c>
      <c r="DN44">
        <v>-0.35227272727272729</v>
      </c>
      <c r="DP44">
        <v>0.14377787637484521</v>
      </c>
      <c r="DQ44">
        <v>-0.27335640138408301</v>
      </c>
      <c r="DR44">
        <v>-0.11530085959885381</v>
      </c>
      <c r="DS44">
        <v>-0.134108040201005</v>
      </c>
      <c r="DT44">
        <v>-0.47139081362954488</v>
      </c>
      <c r="DU44">
        <v>1.484865790976575E-2</v>
      </c>
      <c r="DW44">
        <v>-4.554079696394675E-2</v>
      </c>
      <c r="DX44">
        <v>5.2718286655683677E-2</v>
      </c>
      <c r="DY44">
        <v>-0.43689320388349517</v>
      </c>
      <c r="DZ44">
        <v>-0.19256756756756749</v>
      </c>
      <c r="EA44">
        <v>-0.37782448765107718</v>
      </c>
      <c r="EB44">
        <v>-9.4910941475826904E-2</v>
      </c>
      <c r="EC44">
        <v>-1.3574660633484109E-2</v>
      </c>
      <c r="ED44">
        <v>-7.6023391812865437E-2</v>
      </c>
      <c r="EE44">
        <v>-0.20316622691292871</v>
      </c>
      <c r="EF44">
        <v>-0.30865384615384622</v>
      </c>
      <c r="EG44">
        <v>-0.14615384615384619</v>
      </c>
      <c r="EH44">
        <v>-6.988372093023254E-2</v>
      </c>
      <c r="EI44">
        <v>-8.2797866740820902E-2</v>
      </c>
      <c r="EJ44">
        <v>3.6716417910447767E-2</v>
      </c>
      <c r="EK44">
        <v>-7.1264367816091911E-2</v>
      </c>
      <c r="EL44">
        <v>-0.18061674008810569</v>
      </c>
      <c r="EM44">
        <v>-0.1000782540648639</v>
      </c>
      <c r="EN44">
        <v>-8.6767034549583677E-2</v>
      </c>
      <c r="EO44">
        <v>-4.9309664694280109E-2</v>
      </c>
    </row>
    <row r="45" spans="1:145" x14ac:dyDescent="0.25">
      <c r="A45">
        <v>2023</v>
      </c>
      <c r="B45">
        <v>10</v>
      </c>
      <c r="C45">
        <v>-2.1708729088985801E-2</v>
      </c>
      <c r="D45">
        <v>4.3121660829477104E-3</v>
      </c>
      <c r="E45">
        <v>-0.27299270072992687</v>
      </c>
      <c r="F45">
        <v>-0.30573042195762451</v>
      </c>
      <c r="H45">
        <v>-0.22233009708737861</v>
      </c>
      <c r="I45">
        <v>-0.10922992900054621</v>
      </c>
      <c r="J45">
        <v>-1.5655577299412912E-2</v>
      </c>
      <c r="K45">
        <v>-8.293838862559233E-2</v>
      </c>
      <c r="L45">
        <v>-0.27986906710310971</v>
      </c>
      <c r="M45">
        <v>6.3382707543920169E-2</v>
      </c>
      <c r="O45">
        <v>-0.1032338308457711</v>
      </c>
      <c r="P45">
        <v>2.6143790849673328E-2</v>
      </c>
      <c r="Q45">
        <v>-0.15410958904109581</v>
      </c>
      <c r="R45">
        <v>-0.1792260692464358</v>
      </c>
      <c r="S45">
        <v>2.7700831024930479E-3</v>
      </c>
      <c r="T45">
        <v>-0.16015625</v>
      </c>
      <c r="U45">
        <v>-0.2277227722772277</v>
      </c>
      <c r="V45">
        <v>-4.2718446601941913E-2</v>
      </c>
      <c r="W45">
        <v>8.3333333333333259E-2</v>
      </c>
      <c r="X45">
        <v>-0.1088853913292317</v>
      </c>
      <c r="Y45">
        <v>1.188888888888884E-2</v>
      </c>
      <c r="Z45">
        <v>-0.46408209806157352</v>
      </c>
      <c r="AB45">
        <v>-0.10319343571547381</v>
      </c>
      <c r="AC45">
        <v>4.1015625E-2</v>
      </c>
      <c r="AD45">
        <v>-0.17277683775145691</v>
      </c>
      <c r="AE45">
        <v>-0.2321428571428571</v>
      </c>
      <c r="AF45">
        <v>-0.2222222222222221</v>
      </c>
      <c r="AG45">
        <v>-0.39351198871650211</v>
      </c>
      <c r="AH45">
        <v>-0.1670306931831245</v>
      </c>
      <c r="AI45">
        <v>0.81578947368421062</v>
      </c>
      <c r="AJ45">
        <v>-0.29801324503311261</v>
      </c>
      <c r="AK45">
        <v>-8.5561497326203328E-2</v>
      </c>
      <c r="AL45">
        <v>-2.639821029082778E-2</v>
      </c>
      <c r="AM45">
        <v>3.0647825289043858E-2</v>
      </c>
      <c r="AN45">
        <v>-0.37702702702702701</v>
      </c>
      <c r="AO45">
        <v>4.7619047619047672E-2</v>
      </c>
      <c r="AP45">
        <v>-5.9459459459459518E-2</v>
      </c>
      <c r="AR45">
        <v>9.9649327878433835E-2</v>
      </c>
      <c r="AS45">
        <v>-0.35156594618438458</v>
      </c>
      <c r="AT45">
        <v>-7.3191857947163208E-2</v>
      </c>
      <c r="AU45">
        <v>0.23722627737226271</v>
      </c>
      <c r="AV45">
        <v>0.1044176706827309</v>
      </c>
      <c r="AW45">
        <v>-0.21619217081850531</v>
      </c>
      <c r="AX45">
        <v>-9.2972181551976507E-2</v>
      </c>
      <c r="AY45">
        <v>-0.26470588235294118</v>
      </c>
      <c r="AZ45">
        <v>-0.16849015317286661</v>
      </c>
      <c r="BA45">
        <v>-0.15428571428571419</v>
      </c>
      <c r="BB45">
        <v>1.199040767386084E-2</v>
      </c>
      <c r="BC45">
        <v>-0.15942028985507239</v>
      </c>
      <c r="BD45">
        <v>0.1169284467713787</v>
      </c>
      <c r="BE45">
        <v>-0.2168674698795181</v>
      </c>
      <c r="BF45">
        <v>-0.24655819774718399</v>
      </c>
      <c r="BG45">
        <v>-0.1801801801801802</v>
      </c>
      <c r="BH45">
        <v>-0.27263681592039812</v>
      </c>
      <c r="BJ45">
        <v>-6.4128256513026005E-2</v>
      </c>
      <c r="BK45">
        <v>-0.20081562849437609</v>
      </c>
      <c r="BL45">
        <v>-0.28166005492828822</v>
      </c>
      <c r="BM45">
        <v>-2.4356297842726971E-3</v>
      </c>
      <c r="BO45">
        <v>-0.16532145839131651</v>
      </c>
      <c r="BP45">
        <v>-6.9284064665126932E-2</v>
      </c>
      <c r="BQ45">
        <v>-4.4649730561970753E-2</v>
      </c>
      <c r="BR45">
        <v>-0.1492537313432836</v>
      </c>
      <c r="BS45">
        <v>-4.4730274524860891E-2</v>
      </c>
      <c r="BT45">
        <v>-0.18414481897627979</v>
      </c>
      <c r="BV45">
        <v>0.3307692307692307</v>
      </c>
      <c r="BW45">
        <v>-1.869592088998762E-2</v>
      </c>
      <c r="BX45">
        <v>-4.7575746357814253E-2</v>
      </c>
      <c r="BZ45">
        <v>3.9281310551347433E-2</v>
      </c>
      <c r="CA45">
        <v>0.38013801380138013</v>
      </c>
      <c r="CB45">
        <v>-0.1273364485981309</v>
      </c>
      <c r="CC45">
        <v>3.1277393437705303E-2</v>
      </c>
      <c r="CD45">
        <v>-0.14429530201342289</v>
      </c>
      <c r="CE45">
        <v>2.6813880126183021E-2</v>
      </c>
      <c r="CF45">
        <v>-0.24040920716112529</v>
      </c>
      <c r="CI45">
        <v>-0.58279569892473115</v>
      </c>
      <c r="CJ45">
        <v>-2.4289068297291831E-3</v>
      </c>
      <c r="CK45">
        <v>-0.2155555555555555</v>
      </c>
      <c r="CL45">
        <v>-0.21255876427132309</v>
      </c>
      <c r="CN45">
        <v>0.25</v>
      </c>
      <c r="CO45">
        <v>-0.1176470588235293</v>
      </c>
      <c r="CP45">
        <v>-0.2808955223880597</v>
      </c>
      <c r="CQ45">
        <v>-9.2356687898089151E-2</v>
      </c>
      <c r="CR45">
        <v>-0.1480431047148176</v>
      </c>
      <c r="CS45">
        <v>-0.59246575342465757</v>
      </c>
      <c r="CT45">
        <v>-8.1300813008130079E-2</v>
      </c>
      <c r="CU45">
        <v>-0.29885057471264359</v>
      </c>
      <c r="CV45">
        <v>-0.1448723616773919</v>
      </c>
      <c r="CW45">
        <v>3.7943696450428499E-2</v>
      </c>
      <c r="CX45">
        <v>-7.8878748370273755E-2</v>
      </c>
      <c r="CY45">
        <v>0.40287769784172661</v>
      </c>
      <c r="CZ45">
        <v>-7.8685682455660433E-2</v>
      </c>
      <c r="DA45">
        <v>-0.10318225650916089</v>
      </c>
      <c r="DB45">
        <v>-0.15397923875432529</v>
      </c>
      <c r="DC45">
        <v>-0.1348975843296398</v>
      </c>
      <c r="DD45">
        <v>4.5766590389015871E-3</v>
      </c>
      <c r="DE45">
        <v>-0.17336262211688541</v>
      </c>
      <c r="DF45">
        <v>-6.8965517241379226E-2</v>
      </c>
      <c r="DG45">
        <v>-9.885057471264358E-2</v>
      </c>
      <c r="DI45">
        <v>-3.3333333333332989E-3</v>
      </c>
      <c r="DJ45">
        <v>-3.8934426229508053E-2</v>
      </c>
      <c r="DK45">
        <v>0.21093749999999981</v>
      </c>
      <c r="DL45">
        <v>0.33571428571428591</v>
      </c>
      <c r="DM45">
        <v>-0.24859550561797761</v>
      </c>
      <c r="DN45">
        <v>-0.17105263157894729</v>
      </c>
      <c r="DP45">
        <v>-2.8562678644344589E-2</v>
      </c>
      <c r="DQ45">
        <v>-0.2857142857142857</v>
      </c>
      <c r="DR45">
        <v>-0.78883275035626377</v>
      </c>
      <c r="DS45">
        <v>-0.1349292709466812</v>
      </c>
      <c r="DT45">
        <v>-0.22567567567567559</v>
      </c>
      <c r="DU45">
        <v>-0.1986494091164884</v>
      </c>
      <c r="DW45">
        <v>4.5725646123260237E-2</v>
      </c>
      <c r="DX45">
        <v>1.5649452269170801E-3</v>
      </c>
      <c r="DY45">
        <v>-0.1034482758620688</v>
      </c>
      <c r="DZ45">
        <v>-0.2468619246861925</v>
      </c>
      <c r="EA45">
        <v>-0.28209459459459463</v>
      </c>
      <c r="EB45">
        <v>-0.1003654765251617</v>
      </c>
      <c r="EC45">
        <v>-0.1834862385321101</v>
      </c>
      <c r="ED45">
        <v>-0.15506329113924061</v>
      </c>
      <c r="EE45">
        <v>-0.29470198675496689</v>
      </c>
      <c r="EF45">
        <v>0.25577190542420047</v>
      </c>
      <c r="EG45">
        <v>-5.2767052767052618E-2</v>
      </c>
      <c r="EH45">
        <v>-6.8633579197399652E-2</v>
      </c>
      <c r="EI45">
        <v>-9.7353660913441775E-2</v>
      </c>
      <c r="EJ45">
        <v>-0.58479700547077451</v>
      </c>
      <c r="EK45">
        <v>-0.24504950495049499</v>
      </c>
      <c r="EL45">
        <v>-1.6129032258064498E-2</v>
      </c>
      <c r="EM45">
        <v>-0.42985507246376808</v>
      </c>
      <c r="EN45">
        <v>-9.5442140821133781E-2</v>
      </c>
      <c r="EO45">
        <v>-7.0539419087136901E-2</v>
      </c>
    </row>
    <row r="46" spans="1:145" x14ac:dyDescent="0.25">
      <c r="A46">
        <v>2023</v>
      </c>
      <c r="B46">
        <v>11</v>
      </c>
      <c r="C46">
        <v>9.1343985721153098E-2</v>
      </c>
      <c r="D46">
        <v>4.6781397762252208E-3</v>
      </c>
      <c r="E46">
        <v>-0.82435742971887549</v>
      </c>
      <c r="F46">
        <v>0.13471502590673581</v>
      </c>
      <c r="H46">
        <v>0.31086142322097371</v>
      </c>
      <c r="I46">
        <v>-0.1318209687308399</v>
      </c>
      <c r="J46">
        <v>0.24409100949856399</v>
      </c>
      <c r="K46">
        <v>0.11369509043927641</v>
      </c>
      <c r="L46">
        <v>3.6363636363636147E-2</v>
      </c>
      <c r="M46">
        <v>-0.19322967282150949</v>
      </c>
      <c r="O46">
        <v>0.2184466019417477</v>
      </c>
      <c r="P46">
        <v>0.43312101910828021</v>
      </c>
      <c r="Q46">
        <v>0.11740890688259099</v>
      </c>
      <c r="R46">
        <v>0.36290322580645151</v>
      </c>
      <c r="S46">
        <v>0</v>
      </c>
      <c r="T46">
        <v>-0.52558139534883719</v>
      </c>
      <c r="U46">
        <v>-7.6923076923076983E-2</v>
      </c>
      <c r="V46">
        <v>0.17038539553752541</v>
      </c>
      <c r="W46">
        <v>-7.999999999999996E-2</v>
      </c>
      <c r="X46">
        <v>8.3012202954399594E-2</v>
      </c>
      <c r="Y46">
        <v>-0.16181691738955381</v>
      </c>
      <c r="Z46">
        <v>-0.28804255319148941</v>
      </c>
      <c r="AB46">
        <v>-4.1725139149052737E-2</v>
      </c>
      <c r="AC46">
        <v>-6.3789868667917471E-2</v>
      </c>
      <c r="AD46">
        <v>0.88636363636363646</v>
      </c>
      <c r="AE46">
        <v>-0.25046511627906981</v>
      </c>
      <c r="AF46">
        <v>-8.9285714285713969E-3</v>
      </c>
      <c r="AG46">
        <v>-0.27093023255813958</v>
      </c>
      <c r="AH46">
        <v>0.39387248136903108</v>
      </c>
      <c r="AI46">
        <v>4.8309178743961567E-3</v>
      </c>
      <c r="AJ46">
        <v>-0.19811320754716991</v>
      </c>
      <c r="AK46">
        <v>0.1111111111111112</v>
      </c>
      <c r="AL46">
        <v>0.17784926470588219</v>
      </c>
      <c r="AM46">
        <v>-9.2948717948717952E-2</v>
      </c>
      <c r="AN46">
        <v>0.22668112798264639</v>
      </c>
      <c r="AO46">
        <v>-0.17171717171717171</v>
      </c>
      <c r="AP46">
        <v>-6.6091954022988508E-2</v>
      </c>
      <c r="AR46">
        <v>2.4315705554079251E-2</v>
      </c>
      <c r="AS46">
        <v>4.3083900226757343E-2</v>
      </c>
      <c r="AT46">
        <v>-0.1822429906542056</v>
      </c>
      <c r="AU46">
        <v>0.25958702064896738</v>
      </c>
      <c r="AV46">
        <v>-0.77454545454545454</v>
      </c>
      <c r="AW46">
        <v>0.33711691259931881</v>
      </c>
      <c r="AX46">
        <v>-9.120258272800652E-2</v>
      </c>
      <c r="AY46">
        <v>-0.15428571428571439</v>
      </c>
      <c r="AZ46">
        <v>0.24605263157894749</v>
      </c>
      <c r="BA46">
        <v>0.60472972972972983</v>
      </c>
      <c r="BB46">
        <v>-0.1611374407582937</v>
      </c>
      <c r="BC46">
        <v>0.1185344827586208</v>
      </c>
      <c r="BD46">
        <v>-5.0000000000000037E-2</v>
      </c>
      <c r="BE46">
        <v>9.2307692307692202E-2</v>
      </c>
      <c r="BF46">
        <v>3.8205980066445162E-2</v>
      </c>
      <c r="BG46">
        <v>0.31868131868131871</v>
      </c>
      <c r="BH46">
        <v>-0.14637482900136789</v>
      </c>
      <c r="BJ46">
        <v>-0.31049250535331913</v>
      </c>
      <c r="BK46">
        <v>-7.8189300411522611E-2</v>
      </c>
      <c r="BL46">
        <v>0.23449447748513161</v>
      </c>
      <c r="BM46">
        <v>-0.35612138123474008</v>
      </c>
      <c r="BO46">
        <v>5.701900633544521E-2</v>
      </c>
      <c r="BP46">
        <v>-0.64019851116625315</v>
      </c>
      <c r="BQ46">
        <v>0.1160354552780016</v>
      </c>
      <c r="BR46">
        <v>7.0175438596491224E-2</v>
      </c>
      <c r="BS46">
        <v>0.23331993569131829</v>
      </c>
      <c r="BT46">
        <v>1.87681713848508</v>
      </c>
      <c r="BV46">
        <v>2.2543352601156249E-2</v>
      </c>
      <c r="BW46">
        <v>-6.9201700519603171E-2</v>
      </c>
      <c r="BX46">
        <v>5.0880864094143607E-2</v>
      </c>
      <c r="BZ46">
        <v>-0.1232203389830507</v>
      </c>
      <c r="CA46">
        <v>8.6956521739130599E-2</v>
      </c>
      <c r="CB46">
        <v>0.1151271753681393</v>
      </c>
      <c r="CC46">
        <v>6.8967774796512504E-2</v>
      </c>
      <c r="CD46">
        <v>-5.4901960784313641E-2</v>
      </c>
      <c r="CE46">
        <v>9.9846390168970789E-2</v>
      </c>
      <c r="CF46">
        <v>0.1144781144781144</v>
      </c>
      <c r="CI46">
        <v>0.82989690721649478</v>
      </c>
      <c r="CJ46">
        <v>-2.1421545115318801E-3</v>
      </c>
      <c r="CK46">
        <v>-0.14929178470254961</v>
      </c>
      <c r="CL46">
        <v>4.4776119402985197E-2</v>
      </c>
      <c r="CM46">
        <v>0.12179487179487181</v>
      </c>
      <c r="CN46">
        <v>5.8461538461538343E-2</v>
      </c>
      <c r="CO46">
        <v>0.1244444444444444</v>
      </c>
      <c r="CP46">
        <v>0.28684101286841002</v>
      </c>
      <c r="CQ46">
        <v>-0.12982456140350879</v>
      </c>
      <c r="CR46">
        <v>-0.21534343532799011</v>
      </c>
      <c r="CS46">
        <v>0.84033613445378164</v>
      </c>
      <c r="CT46">
        <v>0.1061946902654867</v>
      </c>
      <c r="CU46">
        <v>0.2131147540983607</v>
      </c>
      <c r="CV46">
        <v>-0.1109174988271564</v>
      </c>
      <c r="CW46">
        <v>-3.386118598382748E-2</v>
      </c>
      <c r="CX46">
        <v>-3.4677990092002897E-2</v>
      </c>
      <c r="CY46">
        <v>0.82336182336182362</v>
      </c>
      <c r="CZ46">
        <v>1.0829123796167741E-2</v>
      </c>
      <c r="DA46">
        <v>-0.2483870967741936</v>
      </c>
      <c r="DB46">
        <v>-5.3169734151329202E-2</v>
      </c>
      <c r="DC46">
        <v>0.111904862279488</v>
      </c>
      <c r="DD46">
        <v>0.15489749430523919</v>
      </c>
      <c r="DE46">
        <v>0.11888111888111901</v>
      </c>
      <c r="DF46">
        <v>8.9947089947089998E-2</v>
      </c>
      <c r="DG46">
        <v>1.020408163265296E-2</v>
      </c>
      <c r="DI46">
        <v>-0.17391304347826089</v>
      </c>
      <c r="DJ46">
        <v>-0.18336886993603421</v>
      </c>
      <c r="DK46">
        <v>3.3746898263027347E-2</v>
      </c>
      <c r="DL46">
        <v>-0.33155080213903743</v>
      </c>
      <c r="DM46">
        <v>1.6822429906542261E-2</v>
      </c>
      <c r="DN46">
        <v>-0.11111111111111099</v>
      </c>
      <c r="DP46">
        <v>6.4710703852377982E-2</v>
      </c>
      <c r="DQ46">
        <v>-0.73333333333333339</v>
      </c>
      <c r="DR46">
        <v>8.2208588957055184E-2</v>
      </c>
      <c r="DS46">
        <v>0.1425576519916143</v>
      </c>
      <c r="DT46">
        <v>8.2024432809773229E-2</v>
      </c>
      <c r="DU46">
        <v>0.160814606741573</v>
      </c>
      <c r="DW46">
        <v>-0.15399239543726231</v>
      </c>
      <c r="DX46">
        <v>0.328125</v>
      </c>
      <c r="DY46">
        <v>0.41346153846153832</v>
      </c>
      <c r="DZ46">
        <v>5.5555555555555358E-3</v>
      </c>
      <c r="EA46">
        <v>-0.3411764705882353</v>
      </c>
      <c r="EB46">
        <v>7.6562500000000089E-2</v>
      </c>
      <c r="EC46">
        <v>-0.3679775280898876</v>
      </c>
      <c r="ED46">
        <v>-0.15056179775280901</v>
      </c>
      <c r="EE46">
        <v>0.21126760563380301</v>
      </c>
      <c r="EF46">
        <v>5.7813711374459897E-2</v>
      </c>
      <c r="EG46">
        <v>0</v>
      </c>
      <c r="EH46">
        <v>-0.46335570469798659</v>
      </c>
      <c r="EI46">
        <v>4.4660101004042607E-2</v>
      </c>
      <c r="EJ46">
        <v>-0.85020804438280162</v>
      </c>
      <c r="EK46">
        <v>8.5245901639344313E-2</v>
      </c>
      <c r="EL46">
        <v>1.6393442622950841E-2</v>
      </c>
      <c r="EM46">
        <v>0.18607015760040671</v>
      </c>
      <c r="EN46">
        <v>0.1252866310257037</v>
      </c>
      <c r="EO46">
        <v>6.2499999999999778E-2</v>
      </c>
    </row>
    <row r="47" spans="1:145" x14ac:dyDescent="0.25">
      <c r="A47">
        <v>2023</v>
      </c>
      <c r="B47">
        <v>12</v>
      </c>
      <c r="C47">
        <v>4.5662305573322737E-2</v>
      </c>
      <c r="D47">
        <v>4.2783112419082503E-3</v>
      </c>
      <c r="E47">
        <v>0.2004115696810336</v>
      </c>
      <c r="F47">
        <v>-0.15068493150684931</v>
      </c>
      <c r="H47">
        <v>0.32142857142857162</v>
      </c>
      <c r="I47">
        <v>3.9548022598870032E-2</v>
      </c>
      <c r="J47">
        <v>9.8188920454545414E-2</v>
      </c>
      <c r="K47">
        <v>0.40835266821345728</v>
      </c>
      <c r="L47">
        <v>6.1403508771929793E-2</v>
      </c>
      <c r="M47">
        <v>0.10700662517566741</v>
      </c>
      <c r="O47">
        <v>0.16619237336368811</v>
      </c>
      <c r="P47">
        <v>-0.1022222222222222</v>
      </c>
      <c r="Q47">
        <v>1.449275362318847E-2</v>
      </c>
      <c r="R47">
        <v>0.87346381429221664</v>
      </c>
      <c r="S47">
        <v>2.7624309392266788E-3</v>
      </c>
      <c r="T47">
        <v>4.9019607843137303E-2</v>
      </c>
      <c r="U47">
        <v>0.68750000000000022</v>
      </c>
      <c r="V47">
        <v>0.22357019064124789</v>
      </c>
      <c r="W47">
        <v>2.0066889632106791E-2</v>
      </c>
      <c r="X47">
        <v>0.1799851742031133</v>
      </c>
      <c r="Y47">
        <v>0.240174672489083</v>
      </c>
      <c r="Z47">
        <v>-0.17219532604147991</v>
      </c>
      <c r="AB47">
        <v>3.9086238745180253E-2</v>
      </c>
      <c r="AC47">
        <v>-1.0020040080160331E-2</v>
      </c>
      <c r="AD47">
        <v>-0.31084337349397589</v>
      </c>
      <c r="AE47">
        <v>-0.23156479470472649</v>
      </c>
      <c r="AF47">
        <v>0.66666666666666652</v>
      </c>
      <c r="AG47">
        <v>0.22009569377990429</v>
      </c>
      <c r="AH47">
        <v>0.15841584158415831</v>
      </c>
      <c r="AI47">
        <v>-0.38942307692307693</v>
      </c>
      <c r="AJ47">
        <v>0.32941176470588229</v>
      </c>
      <c r="AK47">
        <v>-9.3578947368420984E-2</v>
      </c>
      <c r="AL47">
        <v>0.20093640265314081</v>
      </c>
      <c r="AM47">
        <v>0.27522575579112679</v>
      </c>
      <c r="AN47">
        <v>6.9849690539345755E-2</v>
      </c>
      <c r="AO47">
        <v>9.2500000000000027E-2</v>
      </c>
      <c r="AP47">
        <v>0.15692307692307689</v>
      </c>
      <c r="AR47">
        <v>-1.867946555973532E-2</v>
      </c>
      <c r="AS47">
        <v>0.60847826086956514</v>
      </c>
      <c r="AT47">
        <v>-0.1171428571428571</v>
      </c>
      <c r="AU47">
        <v>0.3489461358313819</v>
      </c>
      <c r="AV47">
        <v>-4.8387096774193623E-2</v>
      </c>
      <c r="AW47">
        <v>0.26485568760611211</v>
      </c>
      <c r="AX47">
        <v>0.2291296625222026</v>
      </c>
      <c r="AY47">
        <v>-0.1216216216216216</v>
      </c>
      <c r="AZ47">
        <v>0.1119324181626187</v>
      </c>
      <c r="BA47">
        <v>1.24812030075188</v>
      </c>
      <c r="BB47">
        <v>0.2372881355932204</v>
      </c>
      <c r="BC47">
        <v>-0.19052023121387279</v>
      </c>
      <c r="BD47">
        <v>0.79934210526315774</v>
      </c>
      <c r="BE47">
        <v>0.46478873239436619</v>
      </c>
      <c r="BF47">
        <v>2.6976</v>
      </c>
      <c r="BG47">
        <v>0.40625</v>
      </c>
      <c r="BH47">
        <v>-7.0512820512820595E-2</v>
      </c>
      <c r="BJ47">
        <v>6.2111801242235032E-3</v>
      </c>
      <c r="BK47">
        <v>0.28571428571428559</v>
      </c>
      <c r="BL47">
        <v>0.1114934618031658</v>
      </c>
      <c r="BM47">
        <v>0.21343445287107249</v>
      </c>
      <c r="BO47">
        <v>-0.1164037854889589</v>
      </c>
      <c r="BP47">
        <v>0.35862068965517252</v>
      </c>
      <c r="BQ47">
        <v>0.1581227436823105</v>
      </c>
      <c r="BR47">
        <v>-1.311475409836071E-2</v>
      </c>
      <c r="BS47">
        <v>0.1670197164738472</v>
      </c>
      <c r="BT47">
        <v>4.7872340425531901E-2</v>
      </c>
      <c r="BV47">
        <v>-0.57207461842849072</v>
      </c>
      <c r="BW47">
        <v>4.0345090078660162E-2</v>
      </c>
      <c r="BX47">
        <v>1.344896434434029E-2</v>
      </c>
      <c r="BZ47">
        <v>9.8588826599650403E-3</v>
      </c>
      <c r="CA47">
        <v>-0.1666666666666666</v>
      </c>
      <c r="CB47">
        <v>0.22483279025896061</v>
      </c>
      <c r="CC47">
        <v>-1.373836342022983E-2</v>
      </c>
      <c r="CD47">
        <v>0.1576763485477177</v>
      </c>
      <c r="CE47">
        <v>0.68016759776536295</v>
      </c>
      <c r="CF47">
        <v>0.58308157099697899</v>
      </c>
      <c r="CI47">
        <v>-0.70422535211267601</v>
      </c>
      <c r="CJ47">
        <v>7.1553687160623713E-2</v>
      </c>
      <c r="CK47">
        <v>-0.3206793206793207</v>
      </c>
      <c r="CL47">
        <v>0.15306122448979581</v>
      </c>
      <c r="CM47">
        <v>0.39183673469387759</v>
      </c>
      <c r="CN47">
        <v>0.33720930232558127</v>
      </c>
      <c r="CO47">
        <v>-8.3003952569169925E-2</v>
      </c>
      <c r="CP47">
        <v>0.217741935483871</v>
      </c>
      <c r="CQ47">
        <v>0.79838709677419351</v>
      </c>
      <c r="CR47">
        <v>0.27385047586285971</v>
      </c>
      <c r="CS47">
        <v>0.49315068493150682</v>
      </c>
      <c r="CT47">
        <v>3.2000000000000028E-2</v>
      </c>
      <c r="CU47">
        <v>4.0540540540540571E-2</v>
      </c>
      <c r="CV47">
        <v>0.20750145377011081</v>
      </c>
      <c r="CW47">
        <v>6.7480383609415773E-2</v>
      </c>
      <c r="CX47">
        <v>0.23680351906158359</v>
      </c>
      <c r="CY47">
        <v>-0.47718749999999999</v>
      </c>
      <c r="CZ47">
        <v>-5.5136948727840251E-2</v>
      </c>
      <c r="DA47">
        <v>0.30615164520743932</v>
      </c>
      <c r="DB47">
        <v>0.30381569474442038</v>
      </c>
      <c r="DC47">
        <v>5.6465122050419543E-2</v>
      </c>
      <c r="DD47">
        <v>-0.1084812623274163</v>
      </c>
      <c r="DE47">
        <v>-0.11875000000000011</v>
      </c>
      <c r="DF47">
        <v>-9.7087378640776656E-2</v>
      </c>
      <c r="DG47">
        <v>0.67676767676767668</v>
      </c>
      <c r="DI47">
        <v>0.67611336032388647</v>
      </c>
      <c r="DJ47">
        <v>0.3446475195822456</v>
      </c>
      <c r="DK47">
        <v>8.0652904464714625E-2</v>
      </c>
      <c r="DL47">
        <v>0.63200000000000012</v>
      </c>
      <c r="DM47">
        <v>0.1525735294117645</v>
      </c>
      <c r="DN47">
        <v>0.32738095238095227</v>
      </c>
      <c r="DP47">
        <v>3.1306750888274733E-2</v>
      </c>
      <c r="DQ47">
        <v>0.32291666666666669</v>
      </c>
      <c r="DR47">
        <v>2.2675736961451198E-2</v>
      </c>
      <c r="DS47">
        <v>6.2018348623853248E-2</v>
      </c>
      <c r="DT47">
        <v>0.64516129032258052</v>
      </c>
      <c r="DU47">
        <v>0.22504537205081651</v>
      </c>
      <c r="DW47">
        <v>0.45842696629213481</v>
      </c>
      <c r="DX47">
        <v>0.29058823529411781</v>
      </c>
      <c r="DY47">
        <v>0</v>
      </c>
      <c r="DZ47">
        <v>0.27071823204419881</v>
      </c>
      <c r="EA47">
        <v>-7.6071428571428568E-2</v>
      </c>
      <c r="EB47">
        <v>8.214804063860659E-2</v>
      </c>
      <c r="EC47">
        <v>0.1911111111111112</v>
      </c>
      <c r="ED47">
        <v>0.21252204585537909</v>
      </c>
      <c r="EE47">
        <v>-0.12790697674418611</v>
      </c>
      <c r="EF47">
        <v>-0.2461522353680243</v>
      </c>
      <c r="EG47">
        <v>0.98913043478260865</v>
      </c>
      <c r="EH47">
        <v>-0.19934767383691851</v>
      </c>
      <c r="EI47">
        <v>0.17974186436396189</v>
      </c>
      <c r="EJ47">
        <v>0.1435185185185186</v>
      </c>
      <c r="EK47">
        <v>-0.29607250755287012</v>
      </c>
      <c r="EL47">
        <v>0.26344086021505381</v>
      </c>
      <c r="EM47">
        <v>0.48592656093727687</v>
      </c>
      <c r="EN47">
        <v>0.117168095114685</v>
      </c>
      <c r="EO47">
        <v>0.37605042016806722</v>
      </c>
    </row>
    <row r="48" spans="1:145" x14ac:dyDescent="0.25">
      <c r="A48">
        <v>2024</v>
      </c>
      <c r="B48">
        <v>1</v>
      </c>
      <c r="C48">
        <v>1.592644401390508E-2</v>
      </c>
      <c r="D48">
        <v>4.2681931007004792E-3</v>
      </c>
      <c r="E48">
        <v>0.1047619047619046</v>
      </c>
      <c r="F48">
        <v>-0.38704301075268821</v>
      </c>
      <c r="H48">
        <v>-3.9099099099099137E-2</v>
      </c>
      <c r="I48">
        <v>8.6956521739130377E-2</v>
      </c>
      <c r="J48">
        <v>-0.1372675828617623</v>
      </c>
      <c r="K48">
        <v>-0.1186161449752884</v>
      </c>
      <c r="L48">
        <v>6.4049586776859568E-2</v>
      </c>
      <c r="M48">
        <v>1.233224519405152E-2</v>
      </c>
      <c r="O48">
        <v>-5.8077110785749057E-2</v>
      </c>
      <c r="P48">
        <v>0.18316831683168311</v>
      </c>
      <c r="Q48">
        <v>0</v>
      </c>
      <c r="R48">
        <v>8.2604470359572968E-3</v>
      </c>
      <c r="S48">
        <v>1.8365472910926159E-3</v>
      </c>
      <c r="T48">
        <v>-0.17514018691588781</v>
      </c>
      <c r="U48">
        <v>0.30452674897119342</v>
      </c>
      <c r="V48">
        <v>1.9121813031161668E-2</v>
      </c>
      <c r="W48">
        <v>0.36393442622950828</v>
      </c>
      <c r="X48">
        <v>0.13117225782133429</v>
      </c>
      <c r="Y48">
        <v>-3.8732394366197131E-2</v>
      </c>
      <c r="Z48">
        <v>-0.5198555956678701</v>
      </c>
      <c r="AB48">
        <v>-3.6572923371116173E-2</v>
      </c>
      <c r="AC48">
        <v>-0.23279352226720651</v>
      </c>
      <c r="AD48">
        <v>1.6013986013986019</v>
      </c>
      <c r="AE48">
        <v>-0.23876177658142661</v>
      </c>
      <c r="AF48">
        <v>0.2270270270270269</v>
      </c>
      <c r="AG48">
        <v>-0.59477124183006524</v>
      </c>
      <c r="AH48">
        <v>6.8376068376068355E-2</v>
      </c>
      <c r="AI48">
        <v>-0.80472440944881884</v>
      </c>
      <c r="AJ48">
        <v>-9.7345132743362761E-2</v>
      </c>
      <c r="AK48">
        <v>-7.676228080362324E-2</v>
      </c>
      <c r="AL48">
        <v>7.082521117608831E-2</v>
      </c>
      <c r="AM48">
        <v>-0.35036945812807868</v>
      </c>
      <c r="AN48">
        <v>-0.23966942148760331</v>
      </c>
      <c r="AO48">
        <v>0.16090863425796731</v>
      </c>
      <c r="AP48">
        <v>-0.21542553191489361</v>
      </c>
      <c r="AR48">
        <v>-0.17911434236616</v>
      </c>
      <c r="AS48">
        <v>1.459791863765374</v>
      </c>
      <c r="AT48">
        <v>5.1779935275080742E-2</v>
      </c>
      <c r="AU48">
        <v>-0.15798611111111119</v>
      </c>
      <c r="AV48">
        <v>0.37644067796610181</v>
      </c>
      <c r="AW48">
        <v>-1.0738255033557079E-2</v>
      </c>
      <c r="AX48">
        <v>0.13439306358381509</v>
      </c>
      <c r="AY48">
        <v>-0.42923076923076919</v>
      </c>
      <c r="AZ48">
        <v>0.20512820512820509</v>
      </c>
      <c r="BA48">
        <v>-0.28428093645484948</v>
      </c>
      <c r="BB48">
        <v>6.6210045662100425E-2</v>
      </c>
      <c r="BC48">
        <v>-0.35256593354279731</v>
      </c>
      <c r="BD48">
        <v>0.62979890310786102</v>
      </c>
      <c r="BE48">
        <v>-0.12500000000000011</v>
      </c>
      <c r="BF48">
        <v>0.16529640848117699</v>
      </c>
      <c r="BG48">
        <v>6.9629629629629486E-2</v>
      </c>
      <c r="BH48">
        <v>0.30862068965517242</v>
      </c>
      <c r="BJ48">
        <v>-0.4135802469135802</v>
      </c>
      <c r="BK48">
        <v>-5.5555555555555469E-2</v>
      </c>
      <c r="BL48">
        <v>-2.3529411764705799E-2</v>
      </c>
      <c r="BM48">
        <v>-0.14910714285714291</v>
      </c>
      <c r="BO48">
        <v>3.5344519814351827E-2</v>
      </c>
      <c r="BP48">
        <v>-0.31979695431472083</v>
      </c>
      <c r="BQ48">
        <v>9.9750623441396957E-3</v>
      </c>
      <c r="BR48">
        <v>-0.12956810631229221</v>
      </c>
      <c r="BS48">
        <v>-5.9759843619100812E-2</v>
      </c>
      <c r="BT48">
        <v>-0.21827411167512689</v>
      </c>
      <c r="BU48">
        <v>-0.25862068965517238</v>
      </c>
      <c r="BV48">
        <v>-0.31638044914134739</v>
      </c>
      <c r="BW48">
        <v>-2.2764227642276809E-3</v>
      </c>
      <c r="BX48">
        <v>1.3780765851729271E-2</v>
      </c>
      <c r="BZ48">
        <v>5.7427258805512922E-2</v>
      </c>
      <c r="CA48">
        <v>0.19199999999999989</v>
      </c>
      <c r="CB48">
        <v>2.3522822738728522E-2</v>
      </c>
      <c r="CC48">
        <v>0.1075447168197097</v>
      </c>
      <c r="CD48">
        <v>0.39784946236559132</v>
      </c>
      <c r="CE48">
        <v>6.2344139650872821E-2</v>
      </c>
      <c r="CF48">
        <v>-0.13167938931297721</v>
      </c>
      <c r="CI48">
        <v>-0.10476190476190481</v>
      </c>
      <c r="CJ48">
        <v>0.1078701019758412</v>
      </c>
      <c r="CK48">
        <v>-0.15882352941176461</v>
      </c>
      <c r="CL48">
        <v>-4.0176991150442383E-2</v>
      </c>
      <c r="CM48">
        <v>-0.12609970674486801</v>
      </c>
      <c r="CN48">
        <v>-0.19565217391304329</v>
      </c>
      <c r="CO48">
        <v>0.125</v>
      </c>
      <c r="CP48">
        <v>7.2847682119205448E-2</v>
      </c>
      <c r="CQ48">
        <v>8.9686098654708557E-2</v>
      </c>
      <c r="CR48">
        <v>0.1546459031887841</v>
      </c>
      <c r="CS48">
        <v>-9.1743119266054496E-3</v>
      </c>
      <c r="CT48">
        <v>-2.3255813953488521E-2</v>
      </c>
      <c r="CU48">
        <v>0.29653679653679671</v>
      </c>
      <c r="CV48">
        <v>-6.6493654743113084E-2</v>
      </c>
      <c r="CW48">
        <v>5.2270499836655224E-3</v>
      </c>
      <c r="CX48">
        <v>-3.4084173088322463E-2</v>
      </c>
      <c r="CY48">
        <v>-0.64734010759115357</v>
      </c>
      <c r="CZ48">
        <v>-4.501221101838393E-2</v>
      </c>
      <c r="DA48">
        <v>-0.26615553121577218</v>
      </c>
      <c r="DB48">
        <v>-1.049144119271106E-2</v>
      </c>
      <c r="DC48">
        <v>-3.1059548201026739E-3</v>
      </c>
      <c r="DD48">
        <v>7.3008849557522071E-2</v>
      </c>
      <c r="DE48">
        <v>-0.14184397163120571</v>
      </c>
      <c r="DF48">
        <v>-6.9892473118279619E-2</v>
      </c>
      <c r="DG48">
        <v>4.2168674698795261E-2</v>
      </c>
      <c r="DI48">
        <v>-5.0724637681159312E-2</v>
      </c>
      <c r="DJ48">
        <v>-0.24660194174757291</v>
      </c>
      <c r="DK48">
        <v>6.397156819191463E-2</v>
      </c>
      <c r="DL48">
        <v>-0.1960784313725491</v>
      </c>
      <c r="DM48">
        <v>-0.21850079744816581</v>
      </c>
      <c r="DN48">
        <v>-7.623318385650224E-2</v>
      </c>
      <c r="DP48">
        <v>-0.1285840064311142</v>
      </c>
      <c r="DQ48">
        <v>-0.38188976377952749</v>
      </c>
      <c r="DR48">
        <v>2.6053215077605388E-2</v>
      </c>
      <c r="DS48">
        <v>-4.3538355217691782E-2</v>
      </c>
      <c r="DT48">
        <v>-0.72509803921568627</v>
      </c>
      <c r="DU48">
        <v>0.34518518518518498</v>
      </c>
      <c r="DW48">
        <v>-0.20184899845916801</v>
      </c>
      <c r="DX48">
        <v>-0.20966271649954429</v>
      </c>
      <c r="DY48">
        <v>0.41496598639455778</v>
      </c>
      <c r="DZ48">
        <v>-0.20434782608695651</v>
      </c>
      <c r="EA48">
        <v>-0.42017781213761118</v>
      </c>
      <c r="EB48">
        <v>-8.6641630901287625E-2</v>
      </c>
      <c r="EC48">
        <v>5.9701492537313383E-2</v>
      </c>
      <c r="ED48">
        <v>-0.30181818181818187</v>
      </c>
      <c r="EE48">
        <v>4.444444444444251E-3</v>
      </c>
      <c r="EF48">
        <v>-0.32263888888888881</v>
      </c>
      <c r="EG48">
        <v>-0.22814207650273219</v>
      </c>
      <c r="EH48">
        <v>3.0925258543558879E-2</v>
      </c>
      <c r="EI48">
        <v>8.6792746668743037E-2</v>
      </c>
      <c r="EJ48">
        <v>-0.14574898785425119</v>
      </c>
      <c r="EK48">
        <v>-0.26609442060085842</v>
      </c>
      <c r="EL48">
        <v>4.6808510638297829E-2</v>
      </c>
      <c r="EM48">
        <v>-0.24442307692307691</v>
      </c>
      <c r="EN48">
        <v>-4.6279193301290489E-2</v>
      </c>
      <c r="EO48">
        <v>-0.11603053435114501</v>
      </c>
    </row>
    <row r="49" spans="1:145" x14ac:dyDescent="0.25">
      <c r="A49">
        <v>2024</v>
      </c>
      <c r="B49">
        <v>2</v>
      </c>
      <c r="C49">
        <v>5.2187033163398899E-2</v>
      </c>
      <c r="D49">
        <v>4.4449672913147156E-3</v>
      </c>
      <c r="E49">
        <v>2.5862068965517349E-2</v>
      </c>
      <c r="F49">
        <v>0.78931672660292973</v>
      </c>
      <c r="H49">
        <v>1.0438777423588981</v>
      </c>
      <c r="I49">
        <v>0.17812500000000009</v>
      </c>
      <c r="J49">
        <v>-0.12724887556221889</v>
      </c>
      <c r="K49">
        <v>3.1775700934579383E-2</v>
      </c>
      <c r="L49">
        <v>5.6310679611650587E-2</v>
      </c>
      <c r="M49">
        <v>0.21228950197061991</v>
      </c>
      <c r="O49">
        <v>-0.84559585492227973</v>
      </c>
      <c r="P49">
        <v>0.5355648535564852</v>
      </c>
      <c r="Q49">
        <v>0.1000000000000001</v>
      </c>
      <c r="R49">
        <v>0.10795180722891561</v>
      </c>
      <c r="S49">
        <v>1.0082493125572739E-2</v>
      </c>
      <c r="T49">
        <v>1.472920915476905E-3</v>
      </c>
      <c r="U49">
        <v>0.21451104100946369</v>
      </c>
      <c r="V49">
        <v>-0.11188325225851289</v>
      </c>
      <c r="W49">
        <v>3.6057692307692069E-2</v>
      </c>
      <c r="X49">
        <v>-9.6079084749527977E-2</v>
      </c>
      <c r="Y49">
        <v>5.8608058608058622E-2</v>
      </c>
      <c r="Z49">
        <v>-0.37015037593984967</v>
      </c>
      <c r="AB49">
        <v>3.8468230628943001E-2</v>
      </c>
      <c r="AC49">
        <v>0.56992084432717682</v>
      </c>
      <c r="AD49">
        <v>-0.41129032258064518</v>
      </c>
      <c r="AE49">
        <v>0.50318246110325315</v>
      </c>
      <c r="AF49">
        <v>-8.8105726872246826E-2</v>
      </c>
      <c r="AG49">
        <v>-0.56612903225806455</v>
      </c>
      <c r="AH49">
        <v>0.1199999999999999</v>
      </c>
      <c r="AI49">
        <v>0.12096774193548381</v>
      </c>
      <c r="AJ49">
        <v>0.1176470588235292</v>
      </c>
      <c r="AK49">
        <v>-0.10062893081761019</v>
      </c>
      <c r="AL49">
        <v>0.1137742718446602</v>
      </c>
      <c r="AM49">
        <v>0.1137440758293837</v>
      </c>
      <c r="AN49">
        <v>-0.20652173913043481</v>
      </c>
      <c r="AO49">
        <v>2.403846153846145E-2</v>
      </c>
      <c r="AP49">
        <v>0.2</v>
      </c>
      <c r="AR49">
        <v>0.2371980676328502</v>
      </c>
      <c r="AS49">
        <v>-0.61318681318681323</v>
      </c>
      <c r="AT49">
        <v>0.76615384615384619</v>
      </c>
      <c r="AU49">
        <v>-0.18556701030927819</v>
      </c>
      <c r="AV49">
        <v>0.2313754463735993</v>
      </c>
      <c r="AW49">
        <v>7.8018995929443724E-2</v>
      </c>
      <c r="AX49">
        <v>1.719745222929947E-2</v>
      </c>
      <c r="AY49">
        <v>0.95417789757412375</v>
      </c>
      <c r="AZ49">
        <v>0.16863672182821121</v>
      </c>
      <c r="BA49">
        <v>0.1728971962616821</v>
      </c>
      <c r="BB49">
        <v>-4.7109207708779348E-2</v>
      </c>
      <c r="BC49">
        <v>-2.661764705882352E-2</v>
      </c>
      <c r="BD49">
        <v>-8.41278743690409E-2</v>
      </c>
      <c r="BE49">
        <v>0.18956043956043961</v>
      </c>
      <c r="BF49">
        <v>1.0397326401782481E-2</v>
      </c>
      <c r="BG49">
        <v>0.41412742382271478</v>
      </c>
      <c r="BH49">
        <v>0.1699604743083005</v>
      </c>
      <c r="BJ49">
        <v>0.56315789473684208</v>
      </c>
      <c r="BK49">
        <v>-9.5588235294117752E-2</v>
      </c>
      <c r="BL49">
        <v>1.775523145212432E-2</v>
      </c>
      <c r="BM49">
        <v>0.13588667366211959</v>
      </c>
      <c r="BO49">
        <v>0.18827586206896571</v>
      </c>
      <c r="BP49">
        <v>6.7164179104477473E-2</v>
      </c>
      <c r="BQ49">
        <v>-5.6790123456790131E-2</v>
      </c>
      <c r="BR49">
        <v>-3.244274809160308E-2</v>
      </c>
      <c r="BS49">
        <v>3.237303237303224E-2</v>
      </c>
      <c r="BT49">
        <v>-0.1948051948051949</v>
      </c>
      <c r="BU49">
        <v>0.57848837209302317</v>
      </c>
      <c r="BV49">
        <v>-0.42995169082125612</v>
      </c>
      <c r="BW49">
        <v>-3.1127770534550181E-2</v>
      </c>
      <c r="BX49">
        <v>2.3327067226252881E-2</v>
      </c>
      <c r="BZ49">
        <v>0.21469949312092701</v>
      </c>
      <c r="CA49">
        <v>1.315436241610739</v>
      </c>
      <c r="CB49">
        <v>8.5499316005472004E-2</v>
      </c>
      <c r="CC49">
        <v>0.16939598065936151</v>
      </c>
      <c r="CD49">
        <v>-2.3076923076922991E-2</v>
      </c>
      <c r="CE49">
        <v>0.107981220657277</v>
      </c>
      <c r="CF49">
        <v>0.15604395604395591</v>
      </c>
      <c r="CI49">
        <v>6.9148936170212671E-2</v>
      </c>
      <c r="CJ49">
        <v>5.2741157335602702E-2</v>
      </c>
      <c r="CK49">
        <v>-0.14860139860139859</v>
      </c>
      <c r="CL49">
        <v>0.3092384289138852</v>
      </c>
      <c r="CM49">
        <v>0.18322147651006701</v>
      </c>
      <c r="CN49">
        <v>-2.972972972972987E-2</v>
      </c>
      <c r="CO49">
        <v>-3.0651340996168619E-2</v>
      </c>
      <c r="CP49">
        <v>0.15432098765432101</v>
      </c>
      <c r="CQ49">
        <v>1.069958847736626</v>
      </c>
      <c r="CR49">
        <v>6.1470697148648279E-2</v>
      </c>
      <c r="CS49">
        <v>0.38888888888888878</v>
      </c>
      <c r="CT49">
        <v>0.41269841269841279</v>
      </c>
      <c r="CU49">
        <v>9.8497495826377346E-2</v>
      </c>
      <c r="CV49">
        <v>0.19611177454024359</v>
      </c>
      <c r="CW49">
        <v>0.13064673383165409</v>
      </c>
      <c r="CX49">
        <v>-8.8063823258668461E-2</v>
      </c>
      <c r="CY49">
        <v>4.2372881355932313E-2</v>
      </c>
      <c r="CZ49">
        <v>-1.9203388833323509E-2</v>
      </c>
      <c r="DA49">
        <v>0.59701492537313428</v>
      </c>
      <c r="DB49">
        <v>-0.11439732142857149</v>
      </c>
      <c r="DC49">
        <v>-0.18142009975258211</v>
      </c>
      <c r="DD49">
        <v>-7.8350515463917469E-2</v>
      </c>
      <c r="DE49">
        <v>0.42148760330578511</v>
      </c>
      <c r="DF49">
        <v>0.1502890173410405</v>
      </c>
      <c r="DG49">
        <v>8.092485549132955E-2</v>
      </c>
      <c r="DI49">
        <v>0.55852417302798973</v>
      </c>
      <c r="DJ49">
        <v>-1.8041237113402001E-2</v>
      </c>
      <c r="DK49">
        <v>-4.0501043841336022E-2</v>
      </c>
      <c r="DL49">
        <v>0.38414634146341481</v>
      </c>
      <c r="DM49">
        <v>0.2285714285714284</v>
      </c>
      <c r="DN49">
        <v>-0.21359223300970881</v>
      </c>
      <c r="DP49">
        <v>6.7628712001405633E-2</v>
      </c>
      <c r="DQ49">
        <v>0.1458598726114648</v>
      </c>
      <c r="DR49">
        <v>-0.2058346839546191</v>
      </c>
      <c r="DS49">
        <v>7.2976878612716733E-2</v>
      </c>
      <c r="DT49">
        <v>-3.601997146932967E-2</v>
      </c>
      <c r="DU49">
        <v>0.40308370044052882</v>
      </c>
      <c r="DW49">
        <v>0.41312741312741319</v>
      </c>
      <c r="DX49">
        <v>0.16955017301038081</v>
      </c>
      <c r="DY49">
        <v>0.30769230769230771</v>
      </c>
      <c r="DZ49">
        <v>-5.464480874316946E-2</v>
      </c>
      <c r="EA49">
        <v>-0.23777777777777781</v>
      </c>
      <c r="EB49">
        <v>0.1585903083700442</v>
      </c>
      <c r="EC49">
        <v>1.056338028169014</v>
      </c>
      <c r="ED49">
        <v>0.30208333333333348</v>
      </c>
      <c r="EE49">
        <v>6.1946902654867353E-2</v>
      </c>
      <c r="EF49">
        <v>0.24072175517736311</v>
      </c>
      <c r="EG49">
        <v>-6.7256637168141675E-2</v>
      </c>
      <c r="EH49">
        <v>-7.5151515151515191E-2</v>
      </c>
      <c r="EI49">
        <v>5.09780038690264E-2</v>
      </c>
      <c r="EJ49">
        <v>2.3554502369668251</v>
      </c>
      <c r="EK49">
        <v>0.30409356725146203</v>
      </c>
      <c r="EL49">
        <v>0.25</v>
      </c>
      <c r="EM49">
        <v>-0.14609315347416649</v>
      </c>
      <c r="EN49">
        <v>5.6014137934188968E-2</v>
      </c>
      <c r="EO49">
        <v>0.1640759930915372</v>
      </c>
    </row>
    <row r="50" spans="1:145" x14ac:dyDescent="0.25">
      <c r="A50">
        <v>2024</v>
      </c>
      <c r="B50">
        <v>3</v>
      </c>
      <c r="C50">
        <v>3.2723785751746171E-2</v>
      </c>
      <c r="D50">
        <v>4.1014947720869888E-3</v>
      </c>
      <c r="E50">
        <v>4.2016806722689148E-2</v>
      </c>
      <c r="F50">
        <v>-0.34803921568627449</v>
      </c>
      <c r="H50">
        <v>1.412844036697247</v>
      </c>
      <c r="I50">
        <v>-0.84933687002652525</v>
      </c>
      <c r="J50">
        <v>-5.7118316512776553E-2</v>
      </c>
      <c r="K50">
        <v>9.7826086956521729E-2</v>
      </c>
      <c r="L50">
        <v>5.5147058823529438E-2</v>
      </c>
      <c r="M50">
        <v>2.157529185754381E-2</v>
      </c>
      <c r="O50">
        <v>9.060402684563762E-2</v>
      </c>
      <c r="P50">
        <v>0.1607629427792916</v>
      </c>
      <c r="Q50">
        <v>-3.8961038961038967E-2</v>
      </c>
      <c r="R50">
        <v>-0.1022183558068724</v>
      </c>
      <c r="S50">
        <v>-4.5372050816683268E-4</v>
      </c>
      <c r="T50">
        <v>8.5303767394501628E-2</v>
      </c>
      <c r="U50">
        <v>-0.2883116883116883</v>
      </c>
      <c r="V50">
        <v>0.32159624413145549</v>
      </c>
      <c r="W50">
        <v>-6.2645011600927947E-2</v>
      </c>
      <c r="X50">
        <v>-1.9415089702629621E-2</v>
      </c>
      <c r="Y50">
        <v>5.1903114186851118E-2</v>
      </c>
      <c r="Z50">
        <v>0.83836695714456244</v>
      </c>
      <c r="AB50">
        <v>6.8571783176642143E-2</v>
      </c>
      <c r="AC50">
        <v>-2.521008403361347E-2</v>
      </c>
      <c r="AD50">
        <v>-5.0228310502283047E-2</v>
      </c>
      <c r="AE50">
        <v>7.0336391437308743E-2</v>
      </c>
      <c r="AF50">
        <v>-0.12077294685990329</v>
      </c>
      <c r="AG50">
        <v>-0.18215613382899629</v>
      </c>
      <c r="AH50">
        <v>9.2857142857142971E-2</v>
      </c>
      <c r="AI50">
        <v>0.30215827338129492</v>
      </c>
      <c r="AJ50">
        <v>0.2105263157894737</v>
      </c>
      <c r="AK50">
        <v>-2.0979020979021049E-2</v>
      </c>
      <c r="AL50">
        <v>5.7477526559520653E-2</v>
      </c>
      <c r="AM50">
        <v>7.1914893617021303E-2</v>
      </c>
      <c r="AN50">
        <v>1.671232876712336E-2</v>
      </c>
      <c r="AO50">
        <v>-0.21126760563380281</v>
      </c>
      <c r="AP50">
        <v>0.19774011299435029</v>
      </c>
      <c r="AR50">
        <v>0.1679031628270207</v>
      </c>
      <c r="AS50">
        <v>-0.13352272727272729</v>
      </c>
      <c r="AT50">
        <v>-0.14599303135888511</v>
      </c>
      <c r="AU50">
        <v>-6.8354430379746867E-2</v>
      </c>
      <c r="AV50">
        <v>0.21</v>
      </c>
      <c r="AW50">
        <v>2.4543738200125901E-2</v>
      </c>
      <c r="AX50">
        <v>0.10144020037570441</v>
      </c>
      <c r="AY50">
        <v>-0.31034482758620691</v>
      </c>
      <c r="AZ50">
        <v>-5.5967633175994617E-2</v>
      </c>
      <c r="BA50">
        <v>6.7729083665338807E-2</v>
      </c>
      <c r="BB50">
        <v>-0.15730337078651691</v>
      </c>
      <c r="BC50">
        <v>-7.8410636047741344E-2</v>
      </c>
      <c r="BD50">
        <v>0.1169626454378445</v>
      </c>
      <c r="BE50">
        <v>-0.54457274826789837</v>
      </c>
      <c r="BF50">
        <v>-0.24035281146637269</v>
      </c>
      <c r="BG50">
        <v>-7.5416258570029537E-2</v>
      </c>
      <c r="BH50">
        <v>0.20045045045045029</v>
      </c>
      <c r="BJ50">
        <v>-0.16161616161616171</v>
      </c>
      <c r="BK50">
        <v>0.2357723577235773</v>
      </c>
      <c r="BL50">
        <v>4.6105919003115232E-2</v>
      </c>
      <c r="BM50">
        <v>0.22217090069284071</v>
      </c>
      <c r="BO50">
        <v>0.16076610562971561</v>
      </c>
      <c r="BP50">
        <v>-6.9930069930069783E-3</v>
      </c>
      <c r="BQ50">
        <v>-2.6178010471203939E-3</v>
      </c>
      <c r="BR50">
        <v>-0.2071005917159765</v>
      </c>
      <c r="BS50">
        <v>-4.60299194476399E-3</v>
      </c>
      <c r="BT50">
        <v>0.24193548387096769</v>
      </c>
      <c r="BU50">
        <v>-0.33885819521178639</v>
      </c>
      <c r="BV50">
        <v>0.52372881355932188</v>
      </c>
      <c r="BW50">
        <v>1.2783851976450711E-2</v>
      </c>
      <c r="BX50">
        <v>-1.9766731587817939E-2</v>
      </c>
      <c r="BZ50">
        <v>5.216095380029806E-2</v>
      </c>
      <c r="CA50">
        <v>5.2173913043478182E-2</v>
      </c>
      <c r="CB50">
        <v>-7.8764965343415261E-2</v>
      </c>
      <c r="CC50">
        <v>3.2215227615570718E-2</v>
      </c>
      <c r="CD50">
        <v>0.36482939632545941</v>
      </c>
      <c r="CE50">
        <v>4.1666666666666741E-2</v>
      </c>
      <c r="CF50">
        <v>0.18250950570342209</v>
      </c>
      <c r="CI50">
        <v>9.4527363184079727E-2</v>
      </c>
      <c r="CJ50">
        <v>4.4380957192552202E-2</v>
      </c>
      <c r="CK50">
        <v>-0.28338711254522342</v>
      </c>
      <c r="CL50">
        <v>0.31577464788732401</v>
      </c>
      <c r="CM50">
        <v>-0.22007941009642651</v>
      </c>
      <c r="CN50">
        <v>0.31448467966573829</v>
      </c>
      <c r="CO50">
        <v>0.78656126482213429</v>
      </c>
      <c r="CP50">
        <v>0.946524064171123</v>
      </c>
      <c r="CQ50">
        <v>-9.5427435387674064E-2</v>
      </c>
      <c r="CR50">
        <v>7.9840136116874572E-2</v>
      </c>
      <c r="CS50">
        <v>-0.23333333333333331</v>
      </c>
      <c r="CT50">
        <v>-0.1797752808988764</v>
      </c>
      <c r="CU50">
        <v>-0.1124620060790273</v>
      </c>
      <c r="CV50">
        <v>9.0732650176112983E-3</v>
      </c>
      <c r="CW50">
        <v>4.2828398965219838E-2</v>
      </c>
      <c r="CX50">
        <v>-1.6823687752355321E-2</v>
      </c>
      <c r="CY50">
        <v>-3.8617886178861638E-2</v>
      </c>
      <c r="CZ50">
        <v>4.4805425919483E-2</v>
      </c>
      <c r="DA50">
        <v>-7.4766355140186702E-3</v>
      </c>
      <c r="DB50">
        <v>-6.1121613106490107E-2</v>
      </c>
      <c r="DC50">
        <v>0.23721224042667169</v>
      </c>
      <c r="DD50">
        <v>0.44742729306487711</v>
      </c>
      <c r="DE50">
        <v>-0.13953488372093029</v>
      </c>
      <c r="DF50">
        <v>-0.12060301507537689</v>
      </c>
      <c r="DG50">
        <v>-0.16844919786096271</v>
      </c>
      <c r="DI50">
        <v>-0.24081632653061211</v>
      </c>
      <c r="DJ50">
        <v>-7.8740157480315931E-3</v>
      </c>
      <c r="DK50">
        <v>-0.1170583115752829</v>
      </c>
      <c r="DL50">
        <v>-0.29955947136563882</v>
      </c>
      <c r="DM50">
        <v>-0.16611295681063121</v>
      </c>
      <c r="DN50">
        <v>-9.2592592592592671E-2</v>
      </c>
      <c r="DP50">
        <v>0.76106322134671989</v>
      </c>
      <c r="DQ50">
        <v>-0.24124513618677029</v>
      </c>
      <c r="DR50">
        <v>0.13129251700680269</v>
      </c>
      <c r="DS50">
        <v>0.14848484848484839</v>
      </c>
      <c r="DT50">
        <v>-3.4406215316315159E-2</v>
      </c>
      <c r="DU50">
        <v>-4.8927263212977468E-2</v>
      </c>
      <c r="DW50">
        <v>-0.103825136612022</v>
      </c>
      <c r="DX50">
        <v>-6.9033530571992241E-2</v>
      </c>
      <c r="DY50">
        <v>-0.24264705882352941</v>
      </c>
      <c r="DZ50">
        <v>0.42774566473988451</v>
      </c>
      <c r="EA50">
        <v>-0.30320699708454812</v>
      </c>
      <c r="EB50">
        <v>0.28010139416983509</v>
      </c>
      <c r="EC50">
        <v>0.18150684931506869</v>
      </c>
      <c r="ED50">
        <v>-4.5333333333333337E-2</v>
      </c>
      <c r="EE50">
        <v>-4.5833333333333282E-2</v>
      </c>
      <c r="EF50">
        <v>0.15699884316641871</v>
      </c>
      <c r="EG50">
        <v>0.12333965844402291</v>
      </c>
      <c r="EH50">
        <v>0.39619921363040639</v>
      </c>
      <c r="EI50">
        <v>-2.5309336332958399E-2</v>
      </c>
      <c r="EJ50">
        <v>-0.2231638418079096</v>
      </c>
      <c r="EK50">
        <v>0.37668161434977582</v>
      </c>
      <c r="EL50">
        <v>-0.28130081300813009</v>
      </c>
      <c r="EM50">
        <v>0.38599105812220569</v>
      </c>
      <c r="EN50">
        <v>-0.14682635938914121</v>
      </c>
      <c r="EO50">
        <v>-0.1394658753709199</v>
      </c>
    </row>
    <row r="51" spans="1:145" x14ac:dyDescent="0.25">
      <c r="A51">
        <v>2024</v>
      </c>
      <c r="B51">
        <v>4</v>
      </c>
      <c r="C51">
        <v>-4.0319557897410707E-2</v>
      </c>
      <c r="D51">
        <v>4.3180243209059999E-3</v>
      </c>
      <c r="E51">
        <v>-2.4193548387096749E-2</v>
      </c>
      <c r="F51">
        <v>0.27819548872180427</v>
      </c>
      <c r="H51">
        <v>0.3802281368821292</v>
      </c>
      <c r="I51">
        <v>-0.36267605633802807</v>
      </c>
      <c r="J51">
        <v>-6.0578455932589259E-2</v>
      </c>
      <c r="K51">
        <v>-1.6501650165016151E-3</v>
      </c>
      <c r="L51">
        <v>1.045296167247378E-2</v>
      </c>
      <c r="M51">
        <v>-4.5277014320844737E-2</v>
      </c>
      <c r="N51">
        <v>1.0423452768729691E-2</v>
      </c>
      <c r="O51">
        <v>-0.26153846153846161</v>
      </c>
      <c r="P51">
        <v>-0.21126760563380281</v>
      </c>
      <c r="Q51">
        <v>-7.0608108108108136E-2</v>
      </c>
      <c r="R51">
        <v>-0.23037790697674421</v>
      </c>
      <c r="S51">
        <v>1.225601452564673E-2</v>
      </c>
      <c r="T51">
        <v>-7.7348066298342566E-2</v>
      </c>
      <c r="U51">
        <v>-0.28102189781021902</v>
      </c>
      <c r="V51">
        <v>7.519242155121364E-2</v>
      </c>
      <c r="W51">
        <v>-8.4158415841584122E-2</v>
      </c>
      <c r="X51">
        <v>-7.5689223057644028E-2</v>
      </c>
      <c r="Y51">
        <v>-7.5657894736842146E-2</v>
      </c>
      <c r="Z51">
        <v>0.19480519480519479</v>
      </c>
      <c r="AB51">
        <v>-0.18028785195079211</v>
      </c>
      <c r="AC51">
        <v>-5.0000000000000037E-2</v>
      </c>
      <c r="AD51">
        <v>0.37740384615384631</v>
      </c>
      <c r="AE51">
        <v>-0.17373626373626369</v>
      </c>
      <c r="AF51">
        <v>4.9450549450549268E-2</v>
      </c>
      <c r="AG51">
        <v>-0.1662272727272727</v>
      </c>
      <c r="AH51">
        <v>-0.17647058823529421</v>
      </c>
      <c r="AI51">
        <v>-0.41616022099447508</v>
      </c>
      <c r="AJ51">
        <v>-2.5797101449275269E-2</v>
      </c>
      <c r="AK51">
        <v>0.10714285714285721</v>
      </c>
      <c r="AL51">
        <v>-4.8686244204018569E-2</v>
      </c>
      <c r="AM51">
        <v>-7.4235807860262071E-2</v>
      </c>
      <c r="AN51">
        <v>-0.17272972244677989</v>
      </c>
      <c r="AO51">
        <v>-4.7619047619047561E-2</v>
      </c>
      <c r="AP51">
        <v>0.23938679245283009</v>
      </c>
      <c r="AR51">
        <v>-0.16828262565474211</v>
      </c>
      <c r="AS51">
        <v>-0.27868852459016402</v>
      </c>
      <c r="AT51">
        <v>-0.37270501835985298</v>
      </c>
      <c r="AU51">
        <v>2.7173913043476721E-3</v>
      </c>
      <c r="AV51">
        <v>-0.2069421487603306</v>
      </c>
      <c r="AW51">
        <v>-0.1916461916461917</v>
      </c>
      <c r="AX51">
        <v>-1.137009664582145E-2</v>
      </c>
      <c r="AY51">
        <v>-6.0000000000000053E-2</v>
      </c>
      <c r="AZ51">
        <v>-0.15928571428571439</v>
      </c>
      <c r="BA51">
        <v>-0.2649253731343284</v>
      </c>
      <c r="BB51">
        <v>-6.6666666666666652E-2</v>
      </c>
      <c r="BC51">
        <v>-0.26229508196721307</v>
      </c>
      <c r="BD51">
        <v>-1.6447368421052429E-2</v>
      </c>
      <c r="BE51">
        <v>-0.23833671399594311</v>
      </c>
      <c r="BF51">
        <v>-0.14852443154329939</v>
      </c>
      <c r="BG51">
        <v>-0.24470338983050841</v>
      </c>
      <c r="BH51">
        <v>2.8142589118198998E-2</v>
      </c>
      <c r="BJ51">
        <v>-0.45180722891566261</v>
      </c>
      <c r="BK51">
        <v>-0.20065789473684201</v>
      </c>
      <c r="BL51">
        <v>-7.9511614055985613E-2</v>
      </c>
      <c r="BM51">
        <v>-0.22978080120937269</v>
      </c>
      <c r="BO51">
        <v>0.35499999999999998</v>
      </c>
      <c r="BP51">
        <v>-7.0422535211267512E-2</v>
      </c>
      <c r="BQ51">
        <v>-8.5301837270341796E-3</v>
      </c>
      <c r="BR51">
        <v>-0.21144278606965169</v>
      </c>
      <c r="BS51">
        <v>3.7716763005780418E-2</v>
      </c>
      <c r="BT51">
        <v>-6.4935064935065512E-3</v>
      </c>
      <c r="BU51">
        <v>-0.1949860724233983</v>
      </c>
      <c r="BV51">
        <v>1.388209121245829</v>
      </c>
      <c r="BW51">
        <v>-8.0302275369539933E-2</v>
      </c>
      <c r="BX51">
        <v>-8.5972812295477263E-2</v>
      </c>
      <c r="BZ51">
        <v>-0.28810198300283302</v>
      </c>
      <c r="CA51">
        <v>-0.14876033057851251</v>
      </c>
      <c r="CB51">
        <v>-4.3912448700410327E-2</v>
      </c>
      <c r="CC51">
        <v>4.0362403795606294E-3</v>
      </c>
      <c r="CD51">
        <v>-0.1115384615384616</v>
      </c>
      <c r="CE51">
        <v>-0.128813559322034</v>
      </c>
      <c r="CF51">
        <v>-0.1704180064308681</v>
      </c>
      <c r="CI51">
        <v>-0.22736363636363641</v>
      </c>
      <c r="CJ51">
        <v>-2.0689622886622461E-2</v>
      </c>
      <c r="CK51">
        <v>-0.2282501910271805</v>
      </c>
      <c r="CL51">
        <v>0.56283451081138924</v>
      </c>
      <c r="CM51">
        <v>-0.33890909090909088</v>
      </c>
      <c r="CN51">
        <v>-0.45327399872854418</v>
      </c>
      <c r="CO51">
        <v>-0.23451327433628311</v>
      </c>
      <c r="CP51">
        <v>-0.17857142857142849</v>
      </c>
      <c r="CQ51">
        <v>-0.47912087912087908</v>
      </c>
      <c r="CR51">
        <v>-1.010576192797308E-2</v>
      </c>
      <c r="CS51">
        <v>-8.6956521739130488E-2</v>
      </c>
      <c r="CT51">
        <v>-0.43767123287671228</v>
      </c>
      <c r="CU51">
        <v>-0.20547945205479459</v>
      </c>
      <c r="CV51">
        <v>0.29157267352124028</v>
      </c>
      <c r="CW51">
        <v>-1.1025358324145531E-2</v>
      </c>
      <c r="CX51">
        <v>-0.1016427104722792</v>
      </c>
      <c r="CY51">
        <v>-7.8224101479915431E-2</v>
      </c>
      <c r="CZ51">
        <v>-7.6757902956025248E-2</v>
      </c>
      <c r="DA51">
        <v>-0.14971751412429379</v>
      </c>
      <c r="DB51">
        <v>-0.2067114093959731</v>
      </c>
      <c r="DC51">
        <v>1.4599908225455319E-2</v>
      </c>
      <c r="DD51">
        <v>-0.2874806800618237</v>
      </c>
      <c r="DE51">
        <v>-0.54324324324324325</v>
      </c>
      <c r="DF51">
        <v>8.577142857142861E-2</v>
      </c>
      <c r="DG51">
        <v>1.051446945337621</v>
      </c>
      <c r="DI51">
        <v>-0.21720430107526889</v>
      </c>
      <c r="DJ51">
        <v>-0.19047619047619049</v>
      </c>
      <c r="DK51">
        <v>9.1670773780187176E-2</v>
      </c>
      <c r="DL51">
        <v>-0.46339622641509443</v>
      </c>
      <c r="DM51">
        <v>-0.10956175298804779</v>
      </c>
      <c r="DN51">
        <v>0.1496598639455782</v>
      </c>
      <c r="DP51">
        <v>2.5700934579439231E-2</v>
      </c>
      <c r="DQ51">
        <v>0.1132600732600733</v>
      </c>
      <c r="DR51">
        <v>-4.4497895369813627E-2</v>
      </c>
      <c r="DS51">
        <v>-0.11756083260041041</v>
      </c>
      <c r="DT51">
        <v>-0.1195402298850574</v>
      </c>
      <c r="DU51">
        <v>-0.13535075653370021</v>
      </c>
      <c r="DV51">
        <v>0.28543689320388332</v>
      </c>
      <c r="DW51">
        <v>-0.23018292682926819</v>
      </c>
      <c r="DX51">
        <v>0.18008474576271191</v>
      </c>
      <c r="DY51">
        <v>0</v>
      </c>
      <c r="DZ51">
        <v>0</v>
      </c>
      <c r="EA51">
        <v>0.28870292887029292</v>
      </c>
      <c r="EB51">
        <v>-0.34653465346534651</v>
      </c>
      <c r="EC51">
        <v>-0.1507246376811594</v>
      </c>
      <c r="ED51">
        <v>-6.3547486033519562E-2</v>
      </c>
      <c r="EE51">
        <v>-0.17903930131004381</v>
      </c>
      <c r="EF51">
        <v>0.92829595772032603</v>
      </c>
      <c r="EG51">
        <v>0.1765202702702702</v>
      </c>
      <c r="EH51">
        <v>-0.37810945273631852</v>
      </c>
      <c r="EI51">
        <v>-3.099372256902555E-2</v>
      </c>
      <c r="EJ51">
        <v>-0.32</v>
      </c>
      <c r="EK51">
        <v>-0.17915309446254071</v>
      </c>
      <c r="EL51">
        <v>-0.20814479638009051</v>
      </c>
      <c r="EM51">
        <v>0.18279569892473119</v>
      </c>
      <c r="EN51">
        <v>-5.6265369032992507E-2</v>
      </c>
      <c r="EO51">
        <v>-0.2103448275862069</v>
      </c>
    </row>
    <row r="52" spans="1:145" x14ac:dyDescent="0.25">
      <c r="A52">
        <v>2024</v>
      </c>
      <c r="B52">
        <v>5</v>
      </c>
      <c r="C52">
        <v>5.0579598457093811E-2</v>
      </c>
      <c r="D52">
        <v>4.5670367207515383E-3</v>
      </c>
      <c r="E52">
        <v>-0.14876033057851229</v>
      </c>
      <c r="F52">
        <v>-0.1470588235294118</v>
      </c>
      <c r="H52">
        <v>-0.15151515151515149</v>
      </c>
      <c r="I52">
        <v>-4.9723756906077443E-2</v>
      </c>
      <c r="J52">
        <v>2.618181818181808E-2</v>
      </c>
      <c r="K52">
        <v>0.1041322314049586</v>
      </c>
      <c r="L52">
        <v>-0.2931034482758621</v>
      </c>
      <c r="M52">
        <v>-1.6666666666666611E-2</v>
      </c>
      <c r="N52">
        <v>-0.2288845905867182</v>
      </c>
      <c r="O52">
        <v>-0.17083333333333331</v>
      </c>
      <c r="P52">
        <v>-0.1428571428571429</v>
      </c>
      <c r="Q52">
        <v>-3.9985459832786452E-3</v>
      </c>
      <c r="R52">
        <v>4.3122442555870277E-2</v>
      </c>
      <c r="S52">
        <v>8.9686098654708779E-3</v>
      </c>
      <c r="T52">
        <v>0.1239407976499831</v>
      </c>
      <c r="U52">
        <v>0.32994923857868019</v>
      </c>
      <c r="V52">
        <v>-0.12169603524229081</v>
      </c>
      <c r="W52">
        <v>-8.1081081081081363E-3</v>
      </c>
      <c r="X52">
        <v>-4.4739696312364741E-3</v>
      </c>
      <c r="Y52">
        <v>0.1209964412811388</v>
      </c>
      <c r="Z52">
        <v>-0.44021739130434778</v>
      </c>
      <c r="AB52">
        <v>-6.4862286309395945E-2</v>
      </c>
      <c r="AC52">
        <v>0.2087114337568059</v>
      </c>
      <c r="AD52">
        <v>-8.7260034904015349E-3</v>
      </c>
      <c r="AE52">
        <v>-0.1363213193243783</v>
      </c>
      <c r="AF52">
        <v>2.0942408376963369E-2</v>
      </c>
      <c r="AG52">
        <v>-0.23567573461265881</v>
      </c>
      <c r="AH52">
        <v>0.1111111111111109</v>
      </c>
      <c r="AI52">
        <v>2.2947717057014479E-2</v>
      </c>
      <c r="AJ52">
        <v>0.47277595953585227</v>
      </c>
      <c r="AK52">
        <v>0.45161290322580649</v>
      </c>
      <c r="AL52">
        <v>-0.1026265908475494</v>
      </c>
      <c r="AM52">
        <v>0.29373927958833618</v>
      </c>
      <c r="AN52">
        <v>-3.6156351791530983E-2</v>
      </c>
      <c r="AO52">
        <v>-7.5000000000000067E-2</v>
      </c>
      <c r="AP52">
        <v>2.8544243577544042E-3</v>
      </c>
      <c r="AR52">
        <v>-6.5389253651346624E-2</v>
      </c>
      <c r="AS52">
        <v>7.1136363636363553E-2</v>
      </c>
      <c r="AT52">
        <v>0.33333333333333331</v>
      </c>
      <c r="AU52">
        <v>5.6910569105691033E-2</v>
      </c>
      <c r="AV52">
        <v>0.78199249687369732</v>
      </c>
      <c r="AW52">
        <v>0.34346504559270508</v>
      </c>
      <c r="AX52">
        <v>0.2978723404255319</v>
      </c>
      <c r="AY52">
        <v>-0.1702127659574468</v>
      </c>
      <c r="AZ52">
        <v>9.8555649957519087E-2</v>
      </c>
      <c r="BA52">
        <v>9.6446700507614391E-2</v>
      </c>
      <c r="BB52">
        <v>1.428571428571423E-2</v>
      </c>
      <c r="BC52">
        <v>5.555555555555558E-2</v>
      </c>
      <c r="BD52">
        <v>-4.5150501672240877E-2</v>
      </c>
      <c r="BE52">
        <v>7.5898801597869436E-2</v>
      </c>
      <c r="BF52">
        <v>-0.39147727272727267</v>
      </c>
      <c r="BG52">
        <v>0.10098176718092571</v>
      </c>
      <c r="BH52">
        <v>0.28558394160583922</v>
      </c>
      <c r="BJ52">
        <v>-7.6923076923076872E-2</v>
      </c>
      <c r="BK52">
        <v>-3.7037037037037202E-2</v>
      </c>
      <c r="BL52">
        <v>-4.8851504367518617E-2</v>
      </c>
      <c r="BM52">
        <v>0.76153091265947004</v>
      </c>
      <c r="BO52">
        <v>-0.1014760147601477</v>
      </c>
      <c r="BP52">
        <v>0.34090909090909077</v>
      </c>
      <c r="BQ52">
        <v>4.5003309066843127E-2</v>
      </c>
      <c r="BR52">
        <v>5.9936908517350229E-2</v>
      </c>
      <c r="BS52">
        <v>-6.3640161537390383E-2</v>
      </c>
      <c r="BT52">
        <v>-1.960784313725494E-2</v>
      </c>
      <c r="BU52">
        <v>-2.0761245674740469E-2</v>
      </c>
      <c r="BV52">
        <v>-0.67241111628629091</v>
      </c>
      <c r="BW52">
        <v>-4.966139954853277E-2</v>
      </c>
      <c r="BX52">
        <v>2.2701004800913749E-2</v>
      </c>
      <c r="BZ52">
        <v>-1.9100676482291971E-2</v>
      </c>
      <c r="CA52">
        <v>0.25889967637540462</v>
      </c>
      <c r="CB52">
        <v>0.21691229074259549</v>
      </c>
      <c r="CC52">
        <v>5.1971656416134097E-2</v>
      </c>
      <c r="CD52">
        <v>0.49783549783549769</v>
      </c>
      <c r="CE52">
        <v>1.5564202334630291E-3</v>
      </c>
      <c r="CF52">
        <v>-0.93643410852713183</v>
      </c>
      <c r="CI52">
        <v>-3.7298505706553693E-2</v>
      </c>
      <c r="CJ52">
        <v>-2.847809806077406E-2</v>
      </c>
      <c r="CK52">
        <v>0.21640735502121641</v>
      </c>
      <c r="CL52">
        <v>-0.1301369863013698</v>
      </c>
      <c r="CM52">
        <v>8.9108910891089188E-2</v>
      </c>
      <c r="CN52">
        <v>0.47674418604651159</v>
      </c>
      <c r="CO52">
        <v>0.57514450867052025</v>
      </c>
      <c r="CP52">
        <v>3.6789297658862852E-2</v>
      </c>
      <c r="CQ52">
        <v>0.20253164556962019</v>
      </c>
      <c r="CR52">
        <v>0.16187711493206461</v>
      </c>
      <c r="CS52">
        <v>6.6666666666666652E-2</v>
      </c>
      <c r="CT52">
        <v>0.31546894031668699</v>
      </c>
      <c r="CU52">
        <v>-6.034482758620674E-2</v>
      </c>
      <c r="CV52">
        <v>5.5688336520076431E-2</v>
      </c>
      <c r="CW52">
        <v>-0.1038182831661093</v>
      </c>
      <c r="CX52">
        <v>0.1554285714285715</v>
      </c>
      <c r="CY52">
        <v>-0.32110091743119268</v>
      </c>
      <c r="CZ52">
        <v>0.13533077123987919</v>
      </c>
      <c r="DA52">
        <v>4.3189368770764291E-2</v>
      </c>
      <c r="DB52">
        <v>2.622673434856182E-2</v>
      </c>
      <c r="DC52">
        <v>-0.1486215331303429</v>
      </c>
      <c r="DD52">
        <v>0.11713665943600859</v>
      </c>
      <c r="DE52">
        <v>-9.1420118343195411E-2</v>
      </c>
      <c r="DF52">
        <v>-1.584127151202552E-2</v>
      </c>
      <c r="DG52">
        <v>-0.13793103448275859</v>
      </c>
      <c r="DI52">
        <v>-0.17582417582417589</v>
      </c>
      <c r="DJ52">
        <v>-0.55228758169934644</v>
      </c>
      <c r="DK52">
        <v>-5.417607223476173E-3</v>
      </c>
      <c r="DL52">
        <v>0.26582278481012672</v>
      </c>
      <c r="DM52">
        <v>-0.12527964205816541</v>
      </c>
      <c r="DN52">
        <v>0.42899408284023682</v>
      </c>
      <c r="DP52">
        <v>-0.14806378132118439</v>
      </c>
      <c r="DQ52">
        <v>-1.368781258225849E-2</v>
      </c>
      <c r="DR52">
        <v>0.28823159219635008</v>
      </c>
      <c r="DS52">
        <v>-9.9003322259136217E-2</v>
      </c>
      <c r="DT52">
        <v>0.27067014795474309</v>
      </c>
      <c r="DU52">
        <v>4.8679605472478522E-2</v>
      </c>
      <c r="DV52">
        <v>-8.6102719033232633E-2</v>
      </c>
      <c r="DW52">
        <v>0.19009900990098999</v>
      </c>
      <c r="DX52">
        <v>0.1947935368043088</v>
      </c>
      <c r="DY52">
        <v>0</v>
      </c>
      <c r="DZ52">
        <v>-0.27125506072874489</v>
      </c>
      <c r="EA52">
        <v>-0.39610389610389612</v>
      </c>
      <c r="EB52">
        <v>-0.13030303030303039</v>
      </c>
      <c r="EC52">
        <v>-0.1228668941979523</v>
      </c>
      <c r="ED52">
        <v>-2.905294556301263E-2</v>
      </c>
      <c r="EE52">
        <v>0.1808510638297873</v>
      </c>
      <c r="EF52">
        <v>-0.25185185185185188</v>
      </c>
      <c r="EG52">
        <v>0.22182340272792531</v>
      </c>
      <c r="EH52">
        <v>-0.73584905660377364</v>
      </c>
      <c r="EI52">
        <v>-7.3389694405095907E-2</v>
      </c>
      <c r="EJ52">
        <v>0.27807486631016037</v>
      </c>
      <c r="EK52">
        <v>7.9365079365079083E-3</v>
      </c>
      <c r="EL52">
        <v>0.28857142857142848</v>
      </c>
      <c r="EM52">
        <v>-0.39636363636363642</v>
      </c>
      <c r="EN52">
        <v>6.4807794302119026E-2</v>
      </c>
      <c r="EO52">
        <v>1.528384279475992E-2</v>
      </c>
    </row>
    <row r="53" spans="1:145" x14ac:dyDescent="0.25">
      <c r="A53">
        <v>2024</v>
      </c>
      <c r="B53">
        <v>6</v>
      </c>
      <c r="C53">
        <v>3.5284796423379117E-2</v>
      </c>
      <c r="D53">
        <v>3.993149419502906E-3</v>
      </c>
      <c r="E53">
        <v>6.7961165048543659E-2</v>
      </c>
      <c r="F53">
        <v>-0.20689655172413801</v>
      </c>
      <c r="H53">
        <v>-0.27272727272727271</v>
      </c>
      <c r="I53">
        <v>0.1046511627906976</v>
      </c>
      <c r="J53">
        <v>-5.5043704228679442E-2</v>
      </c>
      <c r="K53">
        <v>-4.9401197604790448E-2</v>
      </c>
      <c r="L53">
        <v>0.3317073170731708</v>
      </c>
      <c r="M53">
        <v>-1.8798151001540919E-2</v>
      </c>
      <c r="N53">
        <v>-0.1061872909698998</v>
      </c>
      <c r="O53">
        <v>8.040201005025116E-2</v>
      </c>
      <c r="P53">
        <v>-9.722222222222221E-2</v>
      </c>
      <c r="Q53">
        <v>-2.1897810218978079E-2</v>
      </c>
      <c r="R53">
        <v>-0.19674109837054921</v>
      </c>
      <c r="S53">
        <v>1.777777777777656E-3</v>
      </c>
      <c r="T53">
        <v>0.24648170486529961</v>
      </c>
      <c r="U53">
        <v>1.1450381679389171E-2</v>
      </c>
      <c r="V53">
        <v>-0.11849529780564259</v>
      </c>
      <c r="W53">
        <v>-9.8092643051771122E-2</v>
      </c>
      <c r="X53">
        <v>9.6282173498569934E-2</v>
      </c>
      <c r="Y53">
        <v>-7.3015873015872979E-2</v>
      </c>
      <c r="Z53">
        <v>-0.1281553398058253</v>
      </c>
      <c r="AB53">
        <v>1.070747629329394E-2</v>
      </c>
      <c r="AC53">
        <v>0.1216216216216215</v>
      </c>
      <c r="AD53">
        <v>-0.30281690140845058</v>
      </c>
      <c r="AE53">
        <v>-0.60271019402525405</v>
      </c>
      <c r="AF53">
        <v>-0.14871794871794869</v>
      </c>
      <c r="AG53">
        <v>-0.54350927246790304</v>
      </c>
      <c r="AH53">
        <v>-7.1428571428571286E-2</v>
      </c>
      <c r="AI53">
        <v>-0.85383903792784466</v>
      </c>
      <c r="AJ53">
        <v>1.2626262626262539E-2</v>
      </c>
      <c r="AK53">
        <v>3.5555555555555562E-2</v>
      </c>
      <c r="AL53">
        <v>-2.836451418225705E-2</v>
      </c>
      <c r="AM53">
        <v>7.6897580377858876E-2</v>
      </c>
      <c r="AN53">
        <v>-0.16018925312605611</v>
      </c>
      <c r="AO53">
        <v>3.3783783783783772E-2</v>
      </c>
      <c r="AP53">
        <v>-0.1783681214421251</v>
      </c>
      <c r="AQ53">
        <v>0.14947780678851161</v>
      </c>
      <c r="AR53">
        <v>-0.1631541218637993</v>
      </c>
      <c r="AS53">
        <v>-2.7583280288563379E-3</v>
      </c>
      <c r="AT53">
        <v>-0.18024390243902441</v>
      </c>
      <c r="AU53">
        <v>0.44615384615384612</v>
      </c>
      <c r="AV53">
        <v>-0.24561403508771931</v>
      </c>
      <c r="AW53">
        <v>-0.18382352941176469</v>
      </c>
      <c r="AX53">
        <v>3.5445281346920821E-2</v>
      </c>
      <c r="AY53">
        <v>-0.19717948717948711</v>
      </c>
      <c r="AZ53">
        <v>-0.16086620262954371</v>
      </c>
      <c r="BA53">
        <v>2.7777777777777901E-2</v>
      </c>
      <c r="BB53">
        <v>-7.3239436619718212E-2</v>
      </c>
      <c r="BC53">
        <v>0.1136842105263158</v>
      </c>
      <c r="BD53">
        <v>5.1371862230005887E-2</v>
      </c>
      <c r="BE53">
        <v>-0.2647277227722773</v>
      </c>
      <c r="BF53">
        <v>-0.18767507002801129</v>
      </c>
      <c r="BG53">
        <v>-0.2101910828025477</v>
      </c>
      <c r="BH53">
        <v>-0.17246273953158259</v>
      </c>
      <c r="BJ53">
        <v>-0.19039682539682529</v>
      </c>
      <c r="BK53">
        <v>-0.22282051282051271</v>
      </c>
      <c r="BL53">
        <v>2.6190476190476319E-2</v>
      </c>
      <c r="BM53">
        <v>0.16378830083565471</v>
      </c>
      <c r="BO53">
        <v>-0.1092402464065708</v>
      </c>
      <c r="BP53">
        <v>-6.7796610169491567E-2</v>
      </c>
      <c r="BQ53">
        <v>3.8632045598480103E-2</v>
      </c>
      <c r="BR53">
        <v>-8.9285714285714191E-2</v>
      </c>
      <c r="BS53">
        <v>1.8590124925639499E-2</v>
      </c>
      <c r="BT53">
        <v>-0.23666666666666669</v>
      </c>
      <c r="BU53">
        <v>3.8869257950530089E-2</v>
      </c>
      <c r="BV53">
        <v>-0.15165876777251189</v>
      </c>
      <c r="BW53">
        <v>1.406175771971507E-2</v>
      </c>
      <c r="BX53">
        <v>-3.477656302571464E-3</v>
      </c>
      <c r="BZ53">
        <v>-5.3414469235970263E-2</v>
      </c>
      <c r="CA53">
        <v>-0.28534704370179947</v>
      </c>
      <c r="CB53">
        <v>-9.2886537330980623E-3</v>
      </c>
      <c r="CC53">
        <v>0.10366426573441979</v>
      </c>
      <c r="CD53">
        <v>0.19075144508670519</v>
      </c>
      <c r="CE53">
        <v>-6.759906759906753E-2</v>
      </c>
      <c r="CF53">
        <v>-0.1564024390243903</v>
      </c>
      <c r="CI53">
        <v>-0.22146174529454901</v>
      </c>
      <c r="CJ53">
        <v>-7.9047331629756856E-3</v>
      </c>
      <c r="CK53">
        <v>-0.35755813953488369</v>
      </c>
      <c r="CL53">
        <v>-2.3622047244094561E-2</v>
      </c>
      <c r="CM53">
        <v>-7.0707070707071162E-3</v>
      </c>
      <c r="CN53">
        <v>-0.35958005249343838</v>
      </c>
      <c r="CO53">
        <v>-9.1743119266054496E-3</v>
      </c>
      <c r="CP53">
        <v>-5.8064516129032302E-2</v>
      </c>
      <c r="CQ53">
        <v>0.2</v>
      </c>
      <c r="CR53">
        <v>-2.9538297777974901E-2</v>
      </c>
      <c r="CS53">
        <v>0.20833333333333329</v>
      </c>
      <c r="CT53">
        <v>-3.7037037037036979E-2</v>
      </c>
      <c r="CU53">
        <v>0.17889908256880729</v>
      </c>
      <c r="CV53">
        <v>-4.2185495434306719E-2</v>
      </c>
      <c r="CW53">
        <v>7.0595552791167693E-2</v>
      </c>
      <c r="CX53">
        <v>-5.6709528519617518E-2</v>
      </c>
      <c r="CY53">
        <v>0.5135135135135136</v>
      </c>
      <c r="CZ53">
        <v>-2.372814512948607E-2</v>
      </c>
      <c r="DA53">
        <v>9.3418259023354544E-2</v>
      </c>
      <c r="DB53">
        <v>-0.113767518549052</v>
      </c>
      <c r="DC53">
        <v>-6.7199383485030406E-2</v>
      </c>
      <c r="DD53">
        <v>-0.18834951456310689</v>
      </c>
      <c r="DE53">
        <v>-0.255128622598502</v>
      </c>
      <c r="DF53">
        <v>3.2085561497326109E-2</v>
      </c>
      <c r="DG53">
        <v>-0.30909090909090908</v>
      </c>
      <c r="DI53">
        <v>0</v>
      </c>
      <c r="DJ53">
        <v>-6.5693430656934337E-2</v>
      </c>
      <c r="DK53">
        <v>-0.43940081706763512</v>
      </c>
      <c r="DL53">
        <v>0.78703703703703676</v>
      </c>
      <c r="DM53">
        <v>0.1125319693094629</v>
      </c>
      <c r="DN53">
        <v>-0.17184265010351971</v>
      </c>
      <c r="DP53">
        <v>1.4705882352941121E-2</v>
      </c>
      <c r="DQ53">
        <v>-0.2313851080864692</v>
      </c>
      <c r="DR53">
        <v>3.6638983878847009E-2</v>
      </c>
      <c r="DS53">
        <v>-1.3643067846607741E-2</v>
      </c>
      <c r="DT53">
        <v>-0.13390410958904109</v>
      </c>
      <c r="DU53">
        <v>-0.17536407766990289</v>
      </c>
      <c r="DV53">
        <v>-0.20495867768595041</v>
      </c>
      <c r="DW53">
        <v>0.13311148086522451</v>
      </c>
      <c r="DX53">
        <v>-2.3290758827948951E-2</v>
      </c>
      <c r="DY53">
        <v>-0.1359223300970874</v>
      </c>
      <c r="DZ53">
        <v>-7.7777777777777835E-2</v>
      </c>
      <c r="EA53">
        <v>-1.0752688172042999E-2</v>
      </c>
      <c r="EB53">
        <v>-0.2217770034843205</v>
      </c>
      <c r="EC53">
        <v>0.15953307392996119</v>
      </c>
      <c r="ED53">
        <v>-0.1444195262818346</v>
      </c>
      <c r="EE53">
        <v>-0.27477477477477469</v>
      </c>
      <c r="EF53">
        <v>-0.16702970297029701</v>
      </c>
      <c r="EG53">
        <v>-0.14336075205640419</v>
      </c>
      <c r="EH53">
        <v>-0.26100000000000001</v>
      </c>
      <c r="EI53">
        <v>2.8237860154431971E-3</v>
      </c>
      <c r="EJ53">
        <v>-0.51673640167364021</v>
      </c>
      <c r="EK53">
        <v>-0.22440944881889771</v>
      </c>
      <c r="EL53">
        <v>-2.2172949002217108E-3</v>
      </c>
      <c r="EM53">
        <v>-0.1114457831325302</v>
      </c>
      <c r="EN53">
        <v>2.241111634165938E-2</v>
      </c>
      <c r="EO53">
        <v>5.3763440860215013E-2</v>
      </c>
    </row>
    <row r="54" spans="1:145" x14ac:dyDescent="0.25">
      <c r="A54">
        <v>2024</v>
      </c>
      <c r="B54">
        <v>7</v>
      </c>
      <c r="C54">
        <v>1.2109035480193601E-2</v>
      </c>
      <c r="D54">
        <v>4.5089999367791123E-3</v>
      </c>
      <c r="E54">
        <v>0.21818181818181831</v>
      </c>
      <c r="F54">
        <v>-9.565217391304337E-2</v>
      </c>
      <c r="H54">
        <v>-0.26339285714285721</v>
      </c>
      <c r="I54">
        <v>8.4210526315789513E-2</v>
      </c>
      <c r="J54">
        <v>8.8000000000000078E-2</v>
      </c>
      <c r="K54">
        <v>0.1543307086614174</v>
      </c>
      <c r="L54">
        <v>-0.12087912087912089</v>
      </c>
      <c r="M54">
        <v>3.2035175879397082E-2</v>
      </c>
      <c r="N54">
        <v>8.4190832553787676E-3</v>
      </c>
      <c r="O54">
        <v>0.18604651162790689</v>
      </c>
      <c r="P54">
        <v>0.47692307692307678</v>
      </c>
      <c r="Q54">
        <v>7.3880597014925886E-3</v>
      </c>
      <c r="R54">
        <v>3.3433508640120291E-2</v>
      </c>
      <c r="S54">
        <v>-1.765749778172121E-3</v>
      </c>
      <c r="T54">
        <v>0.12096774193548381</v>
      </c>
      <c r="U54">
        <v>0.2037735849056603</v>
      </c>
      <c r="V54">
        <v>0.16216216216216209</v>
      </c>
      <c r="W54">
        <v>0.15407854984894251</v>
      </c>
      <c r="X54">
        <v>8.4596273291925428E-2</v>
      </c>
      <c r="Y54">
        <v>-9.2465753424657571E-2</v>
      </c>
      <c r="Z54">
        <v>0.33619153674832952</v>
      </c>
      <c r="AB54">
        <v>0.16252108189143599</v>
      </c>
      <c r="AC54">
        <v>6.1579651941097817E-2</v>
      </c>
      <c r="AD54">
        <v>0.17929292929292931</v>
      </c>
      <c r="AE54">
        <v>0.34922480620155039</v>
      </c>
      <c r="AF54">
        <v>-0.39759036144578308</v>
      </c>
      <c r="AG54">
        <v>0.10343749999999979</v>
      </c>
      <c r="AH54">
        <v>-0.12307692307692319</v>
      </c>
      <c r="AI54">
        <v>-0.79949367088607592</v>
      </c>
      <c r="AJ54">
        <v>7.7306733167082475E-2</v>
      </c>
      <c r="AK54">
        <v>-0.1802575107296138</v>
      </c>
      <c r="AL54">
        <v>0.1978260869565216</v>
      </c>
      <c r="AM54">
        <v>0.19021237303785779</v>
      </c>
      <c r="AN54">
        <v>-0.21126760563380281</v>
      </c>
      <c r="AO54">
        <v>-6.5359477124183107E-2</v>
      </c>
      <c r="AP54">
        <v>5.773672055427248E-2</v>
      </c>
      <c r="AQ54">
        <v>0.13912549687677461</v>
      </c>
      <c r="AR54">
        <v>0.55045400034264191</v>
      </c>
      <c r="AS54">
        <v>-7.6382978723404271E-2</v>
      </c>
      <c r="AT54">
        <v>-0.1507983734999504</v>
      </c>
      <c r="AU54">
        <v>-1.595744680851063E-2</v>
      </c>
      <c r="AV54">
        <v>0.26356589147286802</v>
      </c>
      <c r="AW54">
        <v>-9.6327096327096351E-2</v>
      </c>
      <c r="AX54">
        <v>0.12879760376551119</v>
      </c>
      <c r="AY54">
        <v>-0.24960076652826579</v>
      </c>
      <c r="AZ54">
        <v>0.14470046082949309</v>
      </c>
      <c r="BA54">
        <v>4.0540540540540571E-2</v>
      </c>
      <c r="BB54">
        <v>9.4224924012157985E-2</v>
      </c>
      <c r="BC54">
        <v>-0.2436672967863894</v>
      </c>
      <c r="BD54">
        <v>-5.4414214325374848E-2</v>
      </c>
      <c r="BE54">
        <v>1.1040228917690631</v>
      </c>
      <c r="BF54">
        <v>0.1356321839080461</v>
      </c>
      <c r="BG54">
        <v>0.49677419354838692</v>
      </c>
      <c r="BH54">
        <v>6.3464837049742817E-2</v>
      </c>
      <c r="BJ54">
        <v>-0.2326242525242623</v>
      </c>
      <c r="BK54">
        <v>-0.24425382162102721</v>
      </c>
      <c r="BL54">
        <v>0.12230692741133579</v>
      </c>
      <c r="BM54">
        <v>0.2340832934418382</v>
      </c>
      <c r="BO54">
        <v>5.1636698939603543E-2</v>
      </c>
      <c r="BP54">
        <v>1.8181818181818299E-2</v>
      </c>
      <c r="BQ54">
        <v>0.14878048780487821</v>
      </c>
      <c r="BR54">
        <v>0.30065359477124193</v>
      </c>
      <c r="BS54">
        <v>0.149364870784056</v>
      </c>
      <c r="BT54">
        <v>4.366812227074246E-2</v>
      </c>
      <c r="BU54">
        <v>-0.35034013605442182</v>
      </c>
      <c r="BV54">
        <v>-0.65642458100558665</v>
      </c>
      <c r="BW54">
        <v>3.2980417876885548E-2</v>
      </c>
      <c r="BX54">
        <v>7.9980834860380323E-2</v>
      </c>
      <c r="BZ54">
        <v>0.1023809523809522</v>
      </c>
      <c r="CA54">
        <v>0.47122302158273383</v>
      </c>
      <c r="CB54">
        <v>0.29349632091146433</v>
      </c>
      <c r="CC54">
        <v>-0.1116768256271302</v>
      </c>
      <c r="CD54">
        <v>-0.36771844660194181</v>
      </c>
      <c r="CE54">
        <v>-5.833333333333357E-3</v>
      </c>
      <c r="CF54">
        <v>0.1760028912179257</v>
      </c>
      <c r="CI54">
        <v>2.296703296703297</v>
      </c>
      <c r="CJ54">
        <v>-8.6187556674604981E-2</v>
      </c>
      <c r="CK54">
        <v>-0.72773755656108596</v>
      </c>
      <c r="CL54">
        <v>8.0645161290322731E-2</v>
      </c>
      <c r="CM54">
        <v>0.30824008138351983</v>
      </c>
      <c r="CN54">
        <v>-6.1475409836065593E-2</v>
      </c>
      <c r="CO54">
        <v>0.1129629629629629</v>
      </c>
      <c r="CP54">
        <v>0.31164383561643838</v>
      </c>
      <c r="CQ54">
        <v>0.23684210526315799</v>
      </c>
      <c r="CR54">
        <v>5.6040501906778672E-2</v>
      </c>
      <c r="CS54">
        <v>0.32758620689655182</v>
      </c>
      <c r="CT54">
        <v>9.6153846153845812E-3</v>
      </c>
      <c r="CU54">
        <v>-7.7821011673151466E-3</v>
      </c>
      <c r="CV54">
        <v>0.1258212320298675</v>
      </c>
      <c r="CW54">
        <v>2.8467683369644229E-2</v>
      </c>
      <c r="CX54">
        <v>-0.27822439706396368</v>
      </c>
      <c r="CY54">
        <v>-6.25E-2</v>
      </c>
      <c r="CZ54">
        <v>0.10639451812952121</v>
      </c>
      <c r="DA54">
        <v>0.14757281553398061</v>
      </c>
      <c r="DB54">
        <v>0.3311627906976744</v>
      </c>
      <c r="DC54">
        <v>0.1008558388744958</v>
      </c>
      <c r="DD54">
        <v>-0.26794258373205743</v>
      </c>
      <c r="DE54">
        <v>-0.1125683060109289</v>
      </c>
      <c r="DF54">
        <v>0.1243523316062176</v>
      </c>
      <c r="DG54">
        <v>-0.25526315789473669</v>
      </c>
      <c r="DI54">
        <v>0.22</v>
      </c>
      <c r="DJ54">
        <v>-8.5937500000000111E-2</v>
      </c>
      <c r="DK54">
        <v>0.79919028340080978</v>
      </c>
      <c r="DL54">
        <v>-0.17616580310880819</v>
      </c>
      <c r="DM54">
        <v>0.15632183908045991</v>
      </c>
      <c r="DN54">
        <v>6.4999999999999947E-2</v>
      </c>
      <c r="DP54">
        <v>0.31488801054018462</v>
      </c>
      <c r="DQ54">
        <v>-0.20052083333333329</v>
      </c>
      <c r="DR54">
        <v>0.72007540056550434</v>
      </c>
      <c r="DS54">
        <v>0.114766355140187</v>
      </c>
      <c r="DT54">
        <v>-0.41676551996836703</v>
      </c>
      <c r="DU54">
        <v>-0.1063281824871229</v>
      </c>
      <c r="DV54">
        <v>-0.24948024948024949</v>
      </c>
      <c r="DW54">
        <v>0.13803230543318651</v>
      </c>
      <c r="DX54">
        <v>-6.6153846153846119E-2</v>
      </c>
      <c r="DY54">
        <v>0.1124719101123595</v>
      </c>
      <c r="DZ54">
        <v>0.2228915662650601</v>
      </c>
      <c r="EA54">
        <v>0.10326086956521729</v>
      </c>
      <c r="EB54">
        <v>-0.1132751287217373</v>
      </c>
      <c r="EC54">
        <v>6.7114093959731669E-2</v>
      </c>
      <c r="ED54">
        <v>4.6678635547576341E-2</v>
      </c>
      <c r="EE54">
        <v>8.6956521739130377E-2</v>
      </c>
      <c r="EF54">
        <v>0.1128016165458219</v>
      </c>
      <c r="EG54">
        <v>-9.6021947873799696E-2</v>
      </c>
      <c r="EH54">
        <v>1.358399381403441</v>
      </c>
      <c r="EI54">
        <v>0.13452893027410709</v>
      </c>
      <c r="EJ54">
        <v>4.3290043290042926E-3</v>
      </c>
      <c r="EK54">
        <v>-3.5532994923857857E-2</v>
      </c>
      <c r="EL54">
        <v>0.1022222222222222</v>
      </c>
      <c r="EM54">
        <v>-1.7118644067796621E-2</v>
      </c>
      <c r="EN54">
        <v>4.1035875797687187E-2</v>
      </c>
      <c r="EO54">
        <v>0.32448979591836719</v>
      </c>
    </row>
    <row r="55" spans="1:145" x14ac:dyDescent="0.25">
      <c r="A55">
        <v>2024</v>
      </c>
      <c r="B55">
        <v>8</v>
      </c>
      <c r="C55">
        <v>2.336552047692431E-2</v>
      </c>
      <c r="D55">
        <v>4.6191297155020461E-3</v>
      </c>
      <c r="E55">
        <v>-0.119402985074627</v>
      </c>
      <c r="F55">
        <v>-5.6730769230769251E-2</v>
      </c>
      <c r="G55">
        <v>3.2520325203251987E-2</v>
      </c>
      <c r="H55">
        <v>0.46060606060606069</v>
      </c>
      <c r="I55">
        <v>7.7669902912621325E-2</v>
      </c>
      <c r="J55">
        <v>0.11994485294117641</v>
      </c>
      <c r="K55">
        <v>0.1814461118690314</v>
      </c>
      <c r="L55">
        <v>-0.2</v>
      </c>
      <c r="M55">
        <v>-2.997565429093119E-2</v>
      </c>
      <c r="N55">
        <v>0.1883116883116884</v>
      </c>
      <c r="O55">
        <v>-0.55686274509803924</v>
      </c>
      <c r="P55">
        <v>0.1796875</v>
      </c>
      <c r="Q55">
        <v>-3.6965701163049203E-2</v>
      </c>
      <c r="R55">
        <v>-4.9073064340239947E-2</v>
      </c>
      <c r="S55">
        <v>-1.786650785326249E-3</v>
      </c>
      <c r="T55">
        <v>-0.1510791366906474</v>
      </c>
      <c r="U55">
        <v>-3.1347962382445187E-2</v>
      </c>
      <c r="V55">
        <v>-7.1603427172582612E-2</v>
      </c>
      <c r="W55">
        <v>7.8534031413612926E-3</v>
      </c>
      <c r="X55">
        <v>1.775283472683542E-2</v>
      </c>
      <c r="Y55">
        <v>-5.6603773584905648E-2</v>
      </c>
      <c r="Z55">
        <v>-9.1590965913826095E-2</v>
      </c>
      <c r="AB55">
        <v>5.0252541535022573E-2</v>
      </c>
      <c r="AC55">
        <v>-0.20807061790668349</v>
      </c>
      <c r="AD55">
        <v>-0.10706638115631691</v>
      </c>
      <c r="AE55">
        <v>3.4185578856650523E-2</v>
      </c>
      <c r="AF55">
        <v>-0.28860000000000002</v>
      </c>
      <c r="AG55">
        <v>0.86207873123760992</v>
      </c>
      <c r="AH55">
        <v>-0.1140350877192982</v>
      </c>
      <c r="AI55">
        <v>-0.50378787878787878</v>
      </c>
      <c r="AJ55">
        <v>0.13888888888888881</v>
      </c>
      <c r="AK55">
        <v>-5.7591623036649109E-2</v>
      </c>
      <c r="AL55">
        <v>-2.8519574799066309E-3</v>
      </c>
      <c r="AM55">
        <v>-8.7147659684510104E-2</v>
      </c>
      <c r="AN55">
        <v>3.0102040816326388E-2</v>
      </c>
      <c r="AO55">
        <v>-5.5944055944055833E-2</v>
      </c>
      <c r="AP55">
        <v>0.36244541484716158</v>
      </c>
      <c r="AQ55">
        <v>-2.8414755732801611E-2</v>
      </c>
      <c r="AR55">
        <v>-0.37016574585635359</v>
      </c>
      <c r="AS55">
        <v>0.16946940029179161</v>
      </c>
      <c r="AT55">
        <v>4.5255474452554838E-2</v>
      </c>
      <c r="AU55">
        <v>-0.1027027027027025</v>
      </c>
      <c r="AV55">
        <v>-9.2024539877300526E-2</v>
      </c>
      <c r="AW55">
        <v>0.1863496932515338</v>
      </c>
      <c r="AX55">
        <v>-0.17058377558756629</v>
      </c>
      <c r="AY55">
        <v>7.9804213662481471E-2</v>
      </c>
      <c r="AZ55">
        <v>0.27938808373591001</v>
      </c>
      <c r="BA55">
        <v>-0.20779220779220781</v>
      </c>
      <c r="BB55">
        <v>0.27777777777777768</v>
      </c>
      <c r="BC55">
        <v>-0.10647338165458629</v>
      </c>
      <c r="BD55">
        <v>0.1009982384028185</v>
      </c>
      <c r="BE55">
        <v>-0.55991999999999997</v>
      </c>
      <c r="BF55">
        <v>-9.4129554655870584E-2</v>
      </c>
      <c r="BG55">
        <v>-7.8663793103448176E-2</v>
      </c>
      <c r="BH55">
        <v>-0.15322580645161291</v>
      </c>
      <c r="BJ55">
        <v>7.0516096065406098E-2</v>
      </c>
      <c r="BK55">
        <v>9.7497089639113632E-3</v>
      </c>
      <c r="BL55">
        <v>6.2610750147666705E-2</v>
      </c>
      <c r="BM55">
        <v>0.56943366951124896</v>
      </c>
      <c r="BO55">
        <v>-0.2117492327926348</v>
      </c>
      <c r="BP55">
        <v>1.785714285714279E-2</v>
      </c>
      <c r="BQ55">
        <v>2.8662420382165491E-2</v>
      </c>
      <c r="BR55">
        <v>-0.37688442211055267</v>
      </c>
      <c r="BS55">
        <v>-6.9105691056910556E-2</v>
      </c>
      <c r="BT55">
        <v>-1.255230125523021E-2</v>
      </c>
      <c r="BU55">
        <v>-7.8534031413612482E-2</v>
      </c>
      <c r="BV55">
        <v>-7.3170731707317027E-2</v>
      </c>
      <c r="BW55">
        <v>5.197278911564629E-2</v>
      </c>
      <c r="BX55">
        <v>5.8740202831547128E-2</v>
      </c>
      <c r="BZ55">
        <v>-0.20086393088552909</v>
      </c>
      <c r="CA55">
        <v>-4.4009779951100232E-2</v>
      </c>
      <c r="CB55">
        <v>-2.9268740251399139E-2</v>
      </c>
      <c r="CC55">
        <v>0.1953195586073504</v>
      </c>
      <c r="CD55">
        <v>-0.29558541266794619</v>
      </c>
      <c r="CE55">
        <v>-0.20284995808885159</v>
      </c>
      <c r="CF55">
        <v>-1.137062077443163E-2</v>
      </c>
      <c r="CI55">
        <v>-8.0952380952380998E-2</v>
      </c>
      <c r="CJ55">
        <v>4.7025258459815637E-2</v>
      </c>
      <c r="CK55">
        <v>-0.19112514542130629</v>
      </c>
      <c r="CL55">
        <v>-4.4776119402985093E-2</v>
      </c>
      <c r="CM55">
        <v>-0.10575427682737169</v>
      </c>
      <c r="CN55">
        <v>-0.18340611353711789</v>
      </c>
      <c r="CO55">
        <v>-0.32113144758735429</v>
      </c>
      <c r="CP55">
        <v>-0.1592689295039165</v>
      </c>
      <c r="CQ55">
        <v>4.2553191489361541E-2</v>
      </c>
      <c r="CR55">
        <v>3.6482100353424807E-2</v>
      </c>
      <c r="CS55">
        <v>-0.2189239332096474</v>
      </c>
      <c r="CT55">
        <v>-9.523809523809601E-3</v>
      </c>
      <c r="CU55">
        <v>-6.2745098039215574E-2</v>
      </c>
      <c r="CV55">
        <v>0.1122870862852343</v>
      </c>
      <c r="CW55">
        <v>5.4088405592430437E-2</v>
      </c>
      <c r="CX55">
        <v>-0.24648910411622271</v>
      </c>
      <c r="CY55">
        <v>-0.34285714285714303</v>
      </c>
      <c r="CZ55">
        <v>-5.0098208580826809E-2</v>
      </c>
      <c r="DA55">
        <v>0.39763113367174258</v>
      </c>
      <c r="DB55">
        <v>-7.127882599580726E-2</v>
      </c>
      <c r="DC55">
        <v>3.9122895218110409E-2</v>
      </c>
      <c r="DD55">
        <v>-0.1209150326797386</v>
      </c>
      <c r="DE55">
        <v>-0.18054187192118229</v>
      </c>
      <c r="DF55">
        <v>-4.6082949308755783E-2</v>
      </c>
      <c r="DG55">
        <v>0.13074204946996471</v>
      </c>
      <c r="DH55">
        <v>-4.2693661971830887E-2</v>
      </c>
      <c r="DI55">
        <v>-0.23497267759562851</v>
      </c>
      <c r="DJ55">
        <v>-4.2735042735042583E-2</v>
      </c>
      <c r="DK55">
        <v>0.29207920792079212</v>
      </c>
      <c r="DL55">
        <v>-0.27672955974842772</v>
      </c>
      <c r="DM55">
        <v>1.192842942345917E-2</v>
      </c>
      <c r="DN55">
        <v>-0.31455399061032863</v>
      </c>
      <c r="DP55">
        <v>-9.5190380761523197E-2</v>
      </c>
      <c r="DQ55">
        <v>-0.31596091205211729</v>
      </c>
      <c r="DR55">
        <v>-0.54794520547945202</v>
      </c>
      <c r="DS55">
        <v>0.17907444668008041</v>
      </c>
      <c r="DT55">
        <v>-0.24293785310734459</v>
      </c>
      <c r="DU55">
        <v>0.11609715932482501</v>
      </c>
      <c r="DV55">
        <v>0.45152354570637132</v>
      </c>
      <c r="DW55">
        <v>-1.6774193548387051E-2</v>
      </c>
      <c r="DX55">
        <v>-4.8599670510708348E-2</v>
      </c>
      <c r="DY55">
        <v>5.0398949601050402E-2</v>
      </c>
      <c r="DZ55">
        <v>-0.15763546798029551</v>
      </c>
      <c r="EA55">
        <v>-0.16748768472906389</v>
      </c>
      <c r="EB55">
        <v>-6.4630143903054882E-2</v>
      </c>
      <c r="EC55">
        <v>-6.2893081761006284E-3</v>
      </c>
      <c r="ED55">
        <v>5.1457975986277882E-2</v>
      </c>
      <c r="EE55">
        <v>7.714285714285718E-2</v>
      </c>
      <c r="EF55">
        <v>-0.1258278145695364</v>
      </c>
      <c r="EG55">
        <v>-0.64339908952959024</v>
      </c>
      <c r="EH55">
        <v>-0.33180327868852472</v>
      </c>
      <c r="EI55">
        <v>1.187908664544168E-2</v>
      </c>
      <c r="EJ55">
        <v>-3.8793103448275801E-2</v>
      </c>
      <c r="EK55">
        <v>-4.2105263157894653E-2</v>
      </c>
      <c r="EL55">
        <v>0.13306451612903231</v>
      </c>
      <c r="EM55">
        <v>-6.1907225383686759E-2</v>
      </c>
      <c r="EN55">
        <v>1.916216753522049E-2</v>
      </c>
      <c r="EO55">
        <v>0.17873651771956861</v>
      </c>
    </row>
    <row r="56" spans="1:145" x14ac:dyDescent="0.25">
      <c r="A56">
        <v>2024</v>
      </c>
      <c r="B56">
        <v>9</v>
      </c>
      <c r="C56">
        <v>2.1009192663419048E-2</v>
      </c>
      <c r="D56">
        <v>4.2208867330133506E-3</v>
      </c>
      <c r="E56">
        <v>-2.5423728813559369E-2</v>
      </c>
      <c r="F56">
        <v>1.8348623853211121E-2</v>
      </c>
      <c r="G56">
        <v>-0.1590551181102362</v>
      </c>
      <c r="H56">
        <v>-0.26556016597510379</v>
      </c>
      <c r="I56">
        <v>0.45945945945945937</v>
      </c>
      <c r="J56">
        <v>-4.3085761181781423E-3</v>
      </c>
      <c r="K56">
        <v>-3.9260969976905313E-2</v>
      </c>
      <c r="L56">
        <v>5.2083333333332593E-3</v>
      </c>
      <c r="M56">
        <v>-6.4156862745098131E-2</v>
      </c>
      <c r="N56">
        <v>-0.1069476971116317</v>
      </c>
      <c r="O56">
        <v>-5.3097345132743223E-2</v>
      </c>
      <c r="P56">
        <v>9.9337748344370924E-2</v>
      </c>
      <c r="Q56">
        <v>-0.13830769230769219</v>
      </c>
      <c r="R56">
        <v>-5.8486238532110102E-2</v>
      </c>
      <c r="S56">
        <v>8.7266251113089943E-2</v>
      </c>
      <c r="T56">
        <v>0</v>
      </c>
      <c r="U56">
        <v>-0.85566343042071202</v>
      </c>
      <c r="V56">
        <v>-0.13546473302570861</v>
      </c>
      <c r="W56">
        <v>-0.12987012987012991</v>
      </c>
      <c r="X56">
        <v>1.1366194013054279E-2</v>
      </c>
      <c r="Y56">
        <v>-5.9999999999999942E-2</v>
      </c>
      <c r="Z56">
        <v>0.22018348623853209</v>
      </c>
      <c r="AB56">
        <v>3.5837438171619551E-2</v>
      </c>
      <c r="AC56">
        <v>-0.1114649681528662</v>
      </c>
      <c r="AD56">
        <v>6.2350119904076802E-2</v>
      </c>
      <c r="AE56">
        <v>-0.14444444444444449</v>
      </c>
      <c r="AF56">
        <v>-0.34129884734326682</v>
      </c>
      <c r="AG56">
        <v>-0.36121673003802279</v>
      </c>
      <c r="AH56">
        <v>0.25742574257425738</v>
      </c>
      <c r="AI56">
        <v>-0.16984732824427479</v>
      </c>
      <c r="AJ56">
        <v>-0.2032520325203252</v>
      </c>
      <c r="AK56">
        <v>-2.2222222222222251E-2</v>
      </c>
      <c r="AL56">
        <v>4.6801872074881956E-3</v>
      </c>
      <c r="AM56">
        <v>0.31104815864022672</v>
      </c>
      <c r="AN56">
        <v>0.170381376919267</v>
      </c>
      <c r="AO56">
        <v>-5.1851851851851927E-2</v>
      </c>
      <c r="AP56">
        <v>0.29487179487179488</v>
      </c>
      <c r="AQ56">
        <v>-1.7957927142124071E-2</v>
      </c>
      <c r="AR56">
        <v>-0.1217543859649123</v>
      </c>
      <c r="AS56">
        <v>0.79251477347340771</v>
      </c>
      <c r="AT56">
        <v>-9.4972067039106101E-2</v>
      </c>
      <c r="AU56">
        <v>0.13453815261044169</v>
      </c>
      <c r="AV56">
        <v>-9.4594594594594517E-2</v>
      </c>
      <c r="AW56">
        <v>-5.0420168067226927E-2</v>
      </c>
      <c r="AX56">
        <v>0.1672760511882998</v>
      </c>
      <c r="AY56">
        <v>-6.5825778478517893E-2</v>
      </c>
      <c r="AZ56">
        <v>1.9509125235997349E-2</v>
      </c>
      <c r="BA56">
        <v>-9.8360655737705027E-2</v>
      </c>
      <c r="BB56">
        <v>0.30434782608695649</v>
      </c>
      <c r="BC56">
        <v>0.1095571095571095</v>
      </c>
      <c r="BD56">
        <v>0.42346666666666671</v>
      </c>
      <c r="BE56">
        <v>-6.089801854208321E-2</v>
      </c>
      <c r="BF56">
        <v>-0.10726256983240209</v>
      </c>
      <c r="BG56">
        <v>-0.58245614035087723</v>
      </c>
      <c r="BH56">
        <v>-0.36285714285714282</v>
      </c>
      <c r="BJ56">
        <v>-0.20047732696897369</v>
      </c>
      <c r="BK56">
        <v>0.2681942643032138</v>
      </c>
      <c r="BL56">
        <v>0.1117287381878822</v>
      </c>
      <c r="BM56">
        <v>0.111220958971824</v>
      </c>
      <c r="BO56">
        <v>0.18715239154616259</v>
      </c>
      <c r="BP56">
        <v>1.169590643274865E-2</v>
      </c>
      <c r="BQ56">
        <v>-3.6119711042311708E-3</v>
      </c>
      <c r="BR56">
        <v>5.6451612903225763E-2</v>
      </c>
      <c r="BS56">
        <v>-1.501091703056789E-3</v>
      </c>
      <c r="BT56">
        <v>-7.6271186440677874E-2</v>
      </c>
      <c r="BU56">
        <v>0.13068181818181809</v>
      </c>
      <c r="BV56">
        <v>0.18421052631578941</v>
      </c>
      <c r="BW56">
        <v>-3.9403345404380168E-2</v>
      </c>
      <c r="BX56">
        <v>-2.2910724262651842E-2</v>
      </c>
      <c r="BZ56">
        <v>-1.081081081081081E-2</v>
      </c>
      <c r="CA56">
        <v>-0.21994884910485951</v>
      </c>
      <c r="CB56">
        <v>-5.3969754253308078E-2</v>
      </c>
      <c r="CC56">
        <v>-7.7165050942836322E-2</v>
      </c>
      <c r="CD56">
        <v>0.22343324250681221</v>
      </c>
      <c r="CE56">
        <v>5.1524710830704652E-2</v>
      </c>
      <c r="CF56">
        <v>-0.20111905502020511</v>
      </c>
      <c r="CI56">
        <v>-0.32642487046632118</v>
      </c>
      <c r="CJ56">
        <v>-3.5024454049626841E-2</v>
      </c>
      <c r="CK56">
        <v>0.41586192726525573</v>
      </c>
      <c r="CL56">
        <v>1.5625E-2</v>
      </c>
      <c r="CM56">
        <v>0.14869565217391309</v>
      </c>
      <c r="CN56">
        <v>-9.6256684491978661E-2</v>
      </c>
      <c r="CO56">
        <v>0.4828431372549018</v>
      </c>
      <c r="CP56">
        <v>-0.28881987577639762</v>
      </c>
      <c r="CQ56">
        <v>-1.3605442176870869E-2</v>
      </c>
      <c r="CR56">
        <v>-0.14407196407363421</v>
      </c>
      <c r="CS56">
        <v>-5.700712589073631E-2</v>
      </c>
      <c r="CT56">
        <v>-0.35576923076923073</v>
      </c>
      <c r="CU56">
        <v>2.0920502092050208E-2</v>
      </c>
      <c r="CV56">
        <v>7.8929791785648629E-2</v>
      </c>
      <c r="CW56">
        <v>-3.4030010718113728E-2</v>
      </c>
      <c r="CX56">
        <v>-3.2776349614395912E-2</v>
      </c>
      <c r="CY56">
        <v>-7.246376811594013E-3</v>
      </c>
      <c r="CZ56">
        <v>-2.4129831304718912E-3</v>
      </c>
      <c r="DA56">
        <v>9.4430992736077357E-2</v>
      </c>
      <c r="DB56">
        <v>-0.1565086531226485</v>
      </c>
      <c r="DC56">
        <v>-9.862463319461634E-2</v>
      </c>
      <c r="DD56">
        <v>-0.1003717472118959</v>
      </c>
      <c r="DE56">
        <v>7.3038773669972912E-2</v>
      </c>
      <c r="DF56">
        <v>3.3816425120773097E-2</v>
      </c>
      <c r="DG56">
        <v>-0.32500000000000001</v>
      </c>
      <c r="DH56">
        <v>-5.8390804597701178E-2</v>
      </c>
      <c r="DI56">
        <v>0.15714285714285731</v>
      </c>
      <c r="DJ56">
        <v>0.28571428571428559</v>
      </c>
      <c r="DK56">
        <v>2.5078369905956022E-2</v>
      </c>
      <c r="DL56">
        <v>-0.19600000000000001</v>
      </c>
      <c r="DM56">
        <v>-0.1041257367387034</v>
      </c>
      <c r="DN56">
        <v>2.0547945205479531E-2</v>
      </c>
      <c r="DP56">
        <v>-0.25249169435215951</v>
      </c>
      <c r="DQ56">
        <v>-0.18095238095238089</v>
      </c>
      <c r="DR56">
        <v>-6.9696969696969702E-2</v>
      </c>
      <c r="DS56">
        <v>-0.1131968145620021</v>
      </c>
      <c r="DT56">
        <v>-6.7164179104477584E-2</v>
      </c>
      <c r="DU56">
        <v>0.2132054592401329</v>
      </c>
      <c r="DV56">
        <v>0.2251908396946565</v>
      </c>
      <c r="DW56">
        <v>9.4488188976378007E-2</v>
      </c>
      <c r="DX56">
        <v>0.1731601731601731</v>
      </c>
      <c r="DY56">
        <v>-0.17634615384615379</v>
      </c>
      <c r="DZ56">
        <v>2.9239766081871291E-2</v>
      </c>
      <c r="EA56">
        <v>-4.1420118343195138E-2</v>
      </c>
      <c r="EB56">
        <v>-0.3651821862348178</v>
      </c>
      <c r="EC56">
        <v>5.6962025316455563E-2</v>
      </c>
      <c r="ED56">
        <v>-0.1402936378466558</v>
      </c>
      <c r="EE56">
        <v>-0.1193633952254642</v>
      </c>
      <c r="EF56">
        <v>-6.0361681329423211E-2</v>
      </c>
      <c r="EG56">
        <v>-0.38297872340425532</v>
      </c>
      <c r="EH56">
        <v>-0.14818449460255151</v>
      </c>
      <c r="EI56">
        <v>-3.8906556600581843E-2</v>
      </c>
      <c r="EJ56">
        <v>-2.242152466367708E-2</v>
      </c>
      <c r="EK56">
        <v>3.296703296703285E-2</v>
      </c>
      <c r="EL56">
        <v>1.423487544483981E-2</v>
      </c>
      <c r="EM56">
        <v>-0.13602941176470601</v>
      </c>
      <c r="EN56">
        <v>6.4798934812030584E-2</v>
      </c>
      <c r="EO56">
        <v>-9.2810457516339873E-2</v>
      </c>
    </row>
    <row r="57" spans="1:145" x14ac:dyDescent="0.25">
      <c r="A57">
        <v>2024</v>
      </c>
      <c r="B57">
        <v>10</v>
      </c>
      <c r="C57">
        <v>-8.9235272812419053E-3</v>
      </c>
      <c r="D57">
        <v>3.9502663032036089E-3</v>
      </c>
      <c r="E57">
        <v>0.57391304347826111</v>
      </c>
      <c r="F57">
        <v>1.001001001001089E-3</v>
      </c>
      <c r="G57">
        <v>5.9925093632958948E-2</v>
      </c>
      <c r="H57">
        <v>0.40112994350282483</v>
      </c>
      <c r="I57">
        <v>0.66666666666666674</v>
      </c>
      <c r="J57">
        <v>4.1211621677313071E-2</v>
      </c>
      <c r="K57">
        <v>1.802884615384626E-2</v>
      </c>
      <c r="L57">
        <v>-2.5906735751295321E-2</v>
      </c>
      <c r="M57">
        <v>-4.0479383171304062E-2</v>
      </c>
      <c r="N57">
        <v>-0.659965034965035</v>
      </c>
      <c r="O57">
        <v>9.3457943925234765E-3</v>
      </c>
      <c r="P57">
        <v>0.10240963855421679</v>
      </c>
      <c r="Q57">
        <v>3.008391358685936E-2</v>
      </c>
      <c r="R57">
        <v>7.3081607795371539E-2</v>
      </c>
      <c r="S57">
        <v>-6.3063063063063196E-2</v>
      </c>
      <c r="T57">
        <v>-0.12711864406779649</v>
      </c>
      <c r="U57">
        <v>-4.0134529147982101E-2</v>
      </c>
      <c r="V57">
        <v>0.179565383149066</v>
      </c>
      <c r="W57">
        <v>-3.2835820895522387E-2</v>
      </c>
      <c r="X57">
        <v>-9.3468343162346201E-3</v>
      </c>
      <c r="Y57">
        <v>-0.18297872340425539</v>
      </c>
      <c r="Z57">
        <v>-7.5187969924812137E-2</v>
      </c>
      <c r="AB57">
        <v>8.9874210481603711E-2</v>
      </c>
      <c r="AC57">
        <v>-8.6021505376344121E-2</v>
      </c>
      <c r="AD57">
        <v>-0.16478555304740389</v>
      </c>
      <c r="AE57">
        <v>7.7922077922076838E-3</v>
      </c>
      <c r="AF57">
        <v>7.4690567648314499E-3</v>
      </c>
      <c r="AG57">
        <v>-0.1984126984126984</v>
      </c>
      <c r="AH57">
        <v>-0.19685039370078741</v>
      </c>
      <c r="AI57">
        <v>-0.14482758620689659</v>
      </c>
      <c r="AJ57">
        <v>0.1122448979591837</v>
      </c>
      <c r="AK57">
        <v>5.6818181818181213E-3</v>
      </c>
      <c r="AL57">
        <v>-0.1164596273291926</v>
      </c>
      <c r="AM57">
        <v>5.8124459809852917E-2</v>
      </c>
      <c r="AN57">
        <v>9.3948370715192464E-2</v>
      </c>
      <c r="AO57">
        <v>-0.1249999999999999</v>
      </c>
      <c r="AP57">
        <v>0.24443069306930701</v>
      </c>
      <c r="AQ57">
        <v>-0.12434691745036559</v>
      </c>
      <c r="AR57">
        <v>-0.25549340791050729</v>
      </c>
      <c r="AS57">
        <v>0.24249084249084249</v>
      </c>
      <c r="AT57">
        <v>0.30555555555555558</v>
      </c>
      <c r="AU57">
        <v>1.7699115044247819E-2</v>
      </c>
      <c r="AV57">
        <v>-1.49253731343284E-2</v>
      </c>
      <c r="AW57">
        <v>-0.13955071477195369</v>
      </c>
      <c r="AX57">
        <v>9.0446358653093251E-2</v>
      </c>
      <c r="AY57">
        <v>5.3164556962025378E-2</v>
      </c>
      <c r="AZ57">
        <v>7.4074074074075291E-3</v>
      </c>
      <c r="BA57">
        <v>0.23636363636363661</v>
      </c>
      <c r="BB57">
        <v>0.41166666666666679</v>
      </c>
      <c r="BC57">
        <v>0.22899159663865551</v>
      </c>
      <c r="BD57">
        <v>0.25777444735856131</v>
      </c>
      <c r="BE57">
        <v>-5.0716221447928873E-2</v>
      </c>
      <c r="BF57">
        <v>0.47183979974968698</v>
      </c>
      <c r="BG57">
        <v>-0.11484593837535011</v>
      </c>
      <c r="BH57">
        <v>0.21076233183856499</v>
      </c>
      <c r="BJ57">
        <v>-1.6343283582089582E-2</v>
      </c>
      <c r="BK57">
        <v>-3.4090909090909172E-2</v>
      </c>
      <c r="BL57">
        <v>-0.19675000000000001</v>
      </c>
      <c r="BM57">
        <v>2.2241992882563451E-3</v>
      </c>
      <c r="BO57">
        <v>-8.6671351604591162E-2</v>
      </c>
      <c r="BP57">
        <v>-1.156069364161849E-2</v>
      </c>
      <c r="BQ57">
        <v>1.294665976178155E-2</v>
      </c>
      <c r="BR57">
        <v>-8.3969465648854991E-2</v>
      </c>
      <c r="BS57">
        <v>0.15826158261582621</v>
      </c>
      <c r="BT57">
        <v>0.1834862385321101</v>
      </c>
      <c r="BU57">
        <v>0.14070351758793961</v>
      </c>
      <c r="BV57">
        <v>-0.22222222222222221</v>
      </c>
      <c r="BW57">
        <v>-1.238667983125386E-2</v>
      </c>
      <c r="BX57">
        <v>-1.3575449327810849E-2</v>
      </c>
      <c r="BZ57">
        <v>-1.092896174863389E-2</v>
      </c>
      <c r="CA57">
        <v>-0.29508196721311469</v>
      </c>
      <c r="CB57">
        <v>5.6049555400139887E-2</v>
      </c>
      <c r="CC57">
        <v>-6.3435378946382404E-2</v>
      </c>
      <c r="CD57">
        <v>0.23385300668151429</v>
      </c>
      <c r="CE57">
        <v>8.4999999999999964E-2</v>
      </c>
      <c r="CF57">
        <v>6.9649805447470792E-2</v>
      </c>
      <c r="CI57">
        <v>0.68461538461538463</v>
      </c>
      <c r="CJ57">
        <v>-9.8978724851983557E-2</v>
      </c>
      <c r="CK57">
        <v>3.9036424321578833E-2</v>
      </c>
      <c r="CL57">
        <v>-8.4615384615384648E-2</v>
      </c>
      <c r="CM57">
        <v>-0.13323239969719919</v>
      </c>
      <c r="CN57">
        <v>-0.18934911242603539</v>
      </c>
      <c r="CO57">
        <v>2.3140495867768781E-2</v>
      </c>
      <c r="CP57">
        <v>-3.4934497816593968E-2</v>
      </c>
      <c r="CQ57">
        <v>0.21034482758620701</v>
      </c>
      <c r="CR57">
        <v>-1.8298400515997511E-2</v>
      </c>
      <c r="CS57">
        <v>1.7632241813601901E-2</v>
      </c>
      <c r="CT57">
        <v>2.9850746268656581E-2</v>
      </c>
      <c r="CU57">
        <v>-2.459016393442626E-2</v>
      </c>
      <c r="CV57">
        <v>2.6646091457998681E-2</v>
      </c>
      <c r="CW57">
        <v>2.2884882108183069E-2</v>
      </c>
      <c r="CX57">
        <v>0.1029900332225915</v>
      </c>
      <c r="CY57">
        <v>-0.15693430656934321</v>
      </c>
      <c r="CZ57">
        <v>-2.2115432640509192E-2</v>
      </c>
      <c r="DA57">
        <v>-5.1438053097345171E-2</v>
      </c>
      <c r="DB57">
        <v>0.25512934879571803</v>
      </c>
      <c r="DC57">
        <v>-2.2874190010190532E-2</v>
      </c>
      <c r="DD57">
        <v>-5.3719008264462742E-2</v>
      </c>
      <c r="DE57">
        <v>3.6414565826330618E-2</v>
      </c>
      <c r="DF57">
        <v>2.8037383177570211E-2</v>
      </c>
      <c r="DG57">
        <v>6.0185185185185119E-2</v>
      </c>
      <c r="DH57">
        <v>0.19775390625</v>
      </c>
      <c r="DI57">
        <v>7.4074074074073959E-2</v>
      </c>
      <c r="DJ57">
        <v>-0.2222222222222221</v>
      </c>
      <c r="DK57">
        <v>-0.1231736323479443</v>
      </c>
      <c r="DL57">
        <v>3.8611291369240908E-2</v>
      </c>
      <c r="DM57">
        <v>-8.9912280701754277E-2</v>
      </c>
      <c r="DN57">
        <v>-8.7248322147650881E-2</v>
      </c>
      <c r="DP57">
        <v>6.9629629629629486E-2</v>
      </c>
      <c r="DQ57">
        <v>8.5271317829457294E-2</v>
      </c>
      <c r="DR57">
        <v>-0.12703583061889251</v>
      </c>
      <c r="DS57">
        <v>9.2687620269403581E-2</v>
      </c>
      <c r="DT57">
        <v>-0.38319999999999999</v>
      </c>
      <c r="DU57">
        <v>0.35269078747339622</v>
      </c>
      <c r="DV57">
        <v>-0.36760124610591899</v>
      </c>
      <c r="DW57">
        <v>-0.17745803357314141</v>
      </c>
      <c r="DX57">
        <v>1.77121771217712E-2</v>
      </c>
      <c r="DY57">
        <v>9.5727293952836856E-2</v>
      </c>
      <c r="DZ57">
        <v>-6.8181818181818232E-2</v>
      </c>
      <c r="EA57">
        <v>-0.12345679012345689</v>
      </c>
      <c r="EB57">
        <v>-0.14285714285714279</v>
      </c>
      <c r="EC57">
        <v>-0.1182634730538922</v>
      </c>
      <c r="ED57">
        <v>-0.2428842504743832</v>
      </c>
      <c r="EE57">
        <v>-6.6265060240963791E-2</v>
      </c>
      <c r="EF57">
        <v>-1.7815344603381082E-2</v>
      </c>
      <c r="EG57">
        <v>-3.4482758620689717E-2</v>
      </c>
      <c r="EH57">
        <v>5.558755760368661E-2</v>
      </c>
      <c r="EI57">
        <v>-8.6243311743172679E-4</v>
      </c>
      <c r="EJ57">
        <v>-9.1743119266055606E-3</v>
      </c>
      <c r="EK57">
        <v>0.44680851063829802</v>
      </c>
      <c r="EL57">
        <v>0.1298245614035087</v>
      </c>
      <c r="EM57">
        <v>8.5106382978723527E-2</v>
      </c>
      <c r="EN57">
        <v>-8.2751416412372936E-2</v>
      </c>
      <c r="EO57">
        <v>0.17435158501440931</v>
      </c>
    </row>
    <row r="58" spans="1:145" x14ac:dyDescent="0.25">
      <c r="A58">
        <v>2024</v>
      </c>
      <c r="B58">
        <v>11</v>
      </c>
      <c r="C58">
        <v>5.9633474015355681E-2</v>
      </c>
      <c r="D58">
        <v>3.700592649635404E-3</v>
      </c>
      <c r="E58">
        <v>1.2486187845303871</v>
      </c>
      <c r="F58">
        <v>0</v>
      </c>
      <c r="G58">
        <v>-0.18197879858657251</v>
      </c>
      <c r="H58">
        <v>-6.8548387096774133E-2</v>
      </c>
      <c r="I58">
        <v>2.5925925925925911E-2</v>
      </c>
      <c r="J58">
        <v>-0.10567979418167429</v>
      </c>
      <c r="K58">
        <v>-2.3612750885478321E-2</v>
      </c>
      <c r="L58">
        <v>-0.23404255319148939</v>
      </c>
      <c r="M58">
        <v>-2.6203161848192819E-4</v>
      </c>
      <c r="N58">
        <v>0.13367609254498711</v>
      </c>
      <c r="O58">
        <v>0.54629629629629606</v>
      </c>
      <c r="P58">
        <v>-7.2859744990892539E-2</v>
      </c>
      <c r="Q58">
        <v>-9.0042464684981227E-2</v>
      </c>
      <c r="R58">
        <v>1.0972379871358349E-2</v>
      </c>
      <c r="S58">
        <v>4.8076923076922906E-3</v>
      </c>
      <c r="T58">
        <v>-2.9126213592233E-2</v>
      </c>
      <c r="U58">
        <v>0.53001635131978531</v>
      </c>
      <c r="V58">
        <v>-0.28506787330316741</v>
      </c>
      <c r="W58">
        <v>5.5555555555555358E-2</v>
      </c>
      <c r="X58">
        <v>0.1032236324834326</v>
      </c>
      <c r="Y58">
        <v>-0.16145833333333329</v>
      </c>
      <c r="Z58">
        <v>-0.26829268292682928</v>
      </c>
      <c r="AA58">
        <v>-0.20338983050847459</v>
      </c>
      <c r="AB58">
        <v>6.1861239110021948E-2</v>
      </c>
      <c r="AC58">
        <v>0.29607843137254908</v>
      </c>
      <c r="AD58">
        <v>-6.7567567567567544E-2</v>
      </c>
      <c r="AE58">
        <v>-2.0618556701030969E-2</v>
      </c>
      <c r="AF58">
        <v>-0.1484854903622114</v>
      </c>
      <c r="AG58">
        <v>7.9207920792079278E-2</v>
      </c>
      <c r="AH58">
        <v>2.941176470588247E-2</v>
      </c>
      <c r="AI58">
        <v>3.584229390680926E-3</v>
      </c>
      <c r="AJ58">
        <v>-0.30275229357798172</v>
      </c>
      <c r="AK58">
        <v>0.16949152542372881</v>
      </c>
      <c r="AL58">
        <v>-0.10661980082015229</v>
      </c>
      <c r="AM58">
        <v>0.17786399836634681</v>
      </c>
      <c r="AN58">
        <v>-0.2263056092843326</v>
      </c>
      <c r="AO58">
        <v>0.24999999999999981</v>
      </c>
      <c r="AP58">
        <v>-1.9393336648433679E-2</v>
      </c>
      <c r="AQ58">
        <v>-0.110381861575179</v>
      </c>
      <c r="AR58">
        <v>-0.64368124496914414</v>
      </c>
      <c r="AS58">
        <v>-0.10436320754716991</v>
      </c>
      <c r="AT58">
        <v>-0.19030732860520111</v>
      </c>
      <c r="AU58">
        <v>5.2173913043478404E-3</v>
      </c>
      <c r="AV58">
        <v>-0.33333333333333343</v>
      </c>
      <c r="AW58">
        <v>4.5094936708860889E-2</v>
      </c>
      <c r="AX58">
        <v>-0.1245960502692999</v>
      </c>
      <c r="AY58">
        <v>-0.33894230769230771</v>
      </c>
      <c r="AZ58">
        <v>-0.16115196078431379</v>
      </c>
      <c r="BA58">
        <v>0.37254901960784292</v>
      </c>
      <c r="BB58">
        <v>0.59740259740259716</v>
      </c>
      <c r="BC58">
        <v>-0.24273504273504279</v>
      </c>
      <c r="BD58">
        <v>-1.6979445933869571E-2</v>
      </c>
      <c r="BE58">
        <v>-0.79812398042414356</v>
      </c>
      <c r="BF58">
        <v>-0.24744897959183679</v>
      </c>
      <c r="BG58">
        <v>0.21835443037974689</v>
      </c>
      <c r="BH58">
        <v>0.10246913580246921</v>
      </c>
      <c r="BJ58">
        <v>1.358015325089146E-2</v>
      </c>
      <c r="BK58">
        <v>-1.1764705882352899E-2</v>
      </c>
      <c r="BL58">
        <v>7.9053843759726128E-2</v>
      </c>
      <c r="BM58">
        <v>-6.9906790945406194E-2</v>
      </c>
      <c r="BN58">
        <v>0.2977777777777777</v>
      </c>
      <c r="BO58">
        <v>-5.1038727878943368E-2</v>
      </c>
      <c r="BP58">
        <v>1.169590643274865E-2</v>
      </c>
      <c r="BQ58">
        <v>-2.9141104294478581E-2</v>
      </c>
      <c r="BR58">
        <v>-7.4999999999999845E-2</v>
      </c>
      <c r="BS58">
        <v>1.0619469026548639E-2</v>
      </c>
      <c r="BT58">
        <v>0.56589147286821695</v>
      </c>
      <c r="BU58">
        <v>-0.21585903083700439</v>
      </c>
      <c r="BV58">
        <v>-9.52380952380949E-3</v>
      </c>
      <c r="BW58">
        <v>0.1050622557484322</v>
      </c>
      <c r="BX58">
        <v>-2.2557246425634059E-2</v>
      </c>
      <c r="BZ58">
        <v>-9.9447513812154775E-2</v>
      </c>
      <c r="CA58">
        <v>-3.2558139534883623E-2</v>
      </c>
      <c r="CB58">
        <v>0.1491958372753075</v>
      </c>
      <c r="CC58">
        <v>-3.977683387596942E-2</v>
      </c>
      <c r="CD58">
        <v>-0.18050541516245491</v>
      </c>
      <c r="CE58">
        <v>6.4516129032258229E-2</v>
      </c>
      <c r="CF58">
        <v>-0.2469989086940706</v>
      </c>
      <c r="CH58">
        <v>-0.1117903930131003</v>
      </c>
      <c r="CI58">
        <v>-0.41095890410958902</v>
      </c>
      <c r="CJ58">
        <v>-6.6455746514253464E-3</v>
      </c>
      <c r="CK58">
        <v>-0.16201117318435751</v>
      </c>
      <c r="CL58">
        <v>-4.2016806722689148E-2</v>
      </c>
      <c r="CM58">
        <v>-0.13187772925764199</v>
      </c>
      <c r="CN58">
        <v>-4.3795620437956262E-2</v>
      </c>
      <c r="CO58">
        <v>-0.22455573505654289</v>
      </c>
      <c r="CP58">
        <v>0.31221719457013569</v>
      </c>
      <c r="CQ58">
        <v>-6.0778727445394032E-2</v>
      </c>
      <c r="CR58">
        <v>-0.1397629209202689</v>
      </c>
      <c r="CS58">
        <v>1.809405940594059</v>
      </c>
      <c r="CT58">
        <v>-0.27536231884057971</v>
      </c>
      <c r="CU58">
        <v>-4.2016806722687816E-3</v>
      </c>
      <c r="CV58">
        <v>1.595284494586258E-2</v>
      </c>
      <c r="CW58">
        <v>0.14942372881355939</v>
      </c>
      <c r="CX58">
        <v>1.8674698795180689E-2</v>
      </c>
      <c r="CY58">
        <v>8.6580086580068105E-4</v>
      </c>
      <c r="CZ58">
        <v>-5.929522843602586E-2</v>
      </c>
      <c r="DA58">
        <v>-0.48279883381924188</v>
      </c>
      <c r="DB58">
        <v>-1.91897654584221E-2</v>
      </c>
      <c r="DC58">
        <v>0.124304894893341</v>
      </c>
      <c r="DD58">
        <v>-0.66375545851528384</v>
      </c>
      <c r="DE58">
        <v>-0.25945945945945942</v>
      </c>
      <c r="DF58">
        <v>2.0181818181818181</v>
      </c>
      <c r="DG58">
        <v>-0.11790393013100441</v>
      </c>
      <c r="DH58">
        <v>-6.8895230330207946E-2</v>
      </c>
      <c r="DI58">
        <v>-0.13218390804597699</v>
      </c>
      <c r="DJ58">
        <v>0.107142857142857</v>
      </c>
      <c r="DK58">
        <v>-0.85119162952916105</v>
      </c>
      <c r="DL58">
        <v>-0.32937623659273141</v>
      </c>
      <c r="DM58">
        <v>-0.127710843373494</v>
      </c>
      <c r="DN58">
        <v>7.3529411764705621E-3</v>
      </c>
      <c r="DP58">
        <v>8.3102493074793671E-3</v>
      </c>
      <c r="DQ58">
        <v>-0.1964285714285714</v>
      </c>
      <c r="DR58">
        <v>4.1044776119402833E-2</v>
      </c>
      <c r="DS58">
        <v>7.3378338714411573E-2</v>
      </c>
      <c r="DT58">
        <v>0.3748378728923476</v>
      </c>
      <c r="DU58">
        <v>0.17891661047426391</v>
      </c>
      <c r="DV58">
        <v>-1.9704433497536811E-2</v>
      </c>
      <c r="DW58">
        <v>-9.0379008746355738E-2</v>
      </c>
      <c r="DX58">
        <v>-7.4691805656272647E-2</v>
      </c>
      <c r="DY58">
        <v>-0.24355422970381421</v>
      </c>
      <c r="DZ58">
        <v>-0.1829268292682926</v>
      </c>
      <c r="EA58">
        <v>-0.20422535211267609</v>
      </c>
      <c r="EB58">
        <v>-9.1269841269841279E-2</v>
      </c>
      <c r="EC58">
        <v>-2.2071307300509321E-2</v>
      </c>
      <c r="ED58">
        <v>-5.2631578947368467E-2</v>
      </c>
      <c r="EE58">
        <v>-8.3870967741935587E-2</v>
      </c>
      <c r="EF58">
        <v>-5.9976168409903392E-2</v>
      </c>
      <c r="EG58">
        <v>-8.5714285714285632E-2</v>
      </c>
      <c r="EH58">
        <v>-0.37107776261937242</v>
      </c>
      <c r="EI58">
        <v>0.13857522856589211</v>
      </c>
      <c r="EJ58">
        <v>0.2407407407407407</v>
      </c>
      <c r="EK58">
        <v>8.8235294117646967E-2</v>
      </c>
      <c r="EL58">
        <v>1.8633540372670732E-2</v>
      </c>
      <c r="EM58">
        <v>-3.3333333333333333E-2</v>
      </c>
      <c r="EN58">
        <v>-1.9744962075310731E-2</v>
      </c>
      <c r="EO58">
        <v>0.14478527607361971</v>
      </c>
    </row>
    <row r="59" spans="1:145" x14ac:dyDescent="0.25">
      <c r="A59">
        <v>2024</v>
      </c>
      <c r="B59">
        <v>12</v>
      </c>
      <c r="C59">
        <v>-2.4099749963716222E-2</v>
      </c>
      <c r="D59">
        <v>4.0230304397141916E-3</v>
      </c>
      <c r="E59">
        <v>-0.39066339066339067</v>
      </c>
      <c r="F59">
        <v>1.0000000000000011E-2</v>
      </c>
      <c r="G59">
        <v>-0.15118790496760259</v>
      </c>
      <c r="H59">
        <v>1.0129870129870131</v>
      </c>
      <c r="I59">
        <v>-0.31768953068592071</v>
      </c>
      <c r="J59">
        <v>-0.1783580438150032</v>
      </c>
      <c r="K59">
        <v>-4.2321644498186213E-2</v>
      </c>
      <c r="L59">
        <v>0.16666666666666671</v>
      </c>
      <c r="M59">
        <v>-3.4073038616110329E-2</v>
      </c>
      <c r="N59">
        <v>-4.0816326530612179E-2</v>
      </c>
      <c r="O59">
        <v>-0.17365269461077851</v>
      </c>
      <c r="P59">
        <v>-0.3005893909626719</v>
      </c>
      <c r="Q59">
        <v>9.52380952380949E-3</v>
      </c>
      <c r="R59">
        <v>-0.28255988023952078</v>
      </c>
      <c r="S59">
        <v>4.349717268379294E-4</v>
      </c>
      <c r="T59">
        <v>-0.12889999999999999</v>
      </c>
      <c r="U59">
        <v>-0.1042748091603054</v>
      </c>
      <c r="V59">
        <v>-4.9728752260397857E-2</v>
      </c>
      <c r="W59">
        <v>-2.0467836257309861E-2</v>
      </c>
      <c r="X59">
        <v>-0.1385664834046019</v>
      </c>
      <c r="Y59">
        <v>5.5900621118012417E-2</v>
      </c>
      <c r="Z59">
        <v>0.21111111111111119</v>
      </c>
      <c r="AA59">
        <v>-0.69202127659574475</v>
      </c>
      <c r="AB59">
        <v>-4.4917887261429201E-2</v>
      </c>
      <c r="AC59">
        <v>-6.5052950075643046E-2</v>
      </c>
      <c r="AD59">
        <v>2.608695652173898E-2</v>
      </c>
      <c r="AE59">
        <v>0.67763157894736836</v>
      </c>
      <c r="AF59">
        <v>0.74452736318407964</v>
      </c>
      <c r="AG59">
        <v>0.13073394495412829</v>
      </c>
      <c r="AH59">
        <v>-9.5238095238095344E-2</v>
      </c>
      <c r="AI59">
        <v>7.4999999999999956E-2</v>
      </c>
      <c r="AJ59">
        <v>-0.30921052631578949</v>
      </c>
      <c r="AK59">
        <v>-2.4154589371980562E-2</v>
      </c>
      <c r="AL59">
        <v>-6.0655737704918063E-2</v>
      </c>
      <c r="AM59">
        <v>-0.1263869625520111</v>
      </c>
      <c r="AN59">
        <v>0.16250000000000009</v>
      </c>
      <c r="AO59">
        <v>0.69285714285714306</v>
      </c>
      <c r="AP59">
        <v>-0.17849898580121701</v>
      </c>
      <c r="AQ59">
        <v>-1.7437961099932901E-2</v>
      </c>
      <c r="AR59">
        <v>0.20481927710843381</v>
      </c>
      <c r="AS59">
        <v>-4.6082949308755672E-2</v>
      </c>
      <c r="AT59">
        <v>-8.9051094890510885E-2</v>
      </c>
      <c r="AU59">
        <v>-0.32352941176470579</v>
      </c>
      <c r="AV59">
        <v>-0.14772727272727271</v>
      </c>
      <c r="AW59">
        <v>-8.3270249810749486E-2</v>
      </c>
      <c r="AX59">
        <v>-7.7112387202625032E-2</v>
      </c>
      <c r="AY59">
        <v>8.6060606060606171E-2</v>
      </c>
      <c r="AZ59">
        <v>-0.19357195032870711</v>
      </c>
      <c r="BA59">
        <v>-0.21428571428571419</v>
      </c>
      <c r="BB59">
        <v>-1.552106430155209E-2</v>
      </c>
      <c r="BC59">
        <v>-2.257336343115091E-3</v>
      </c>
      <c r="BD59">
        <v>-0.19090909090909089</v>
      </c>
      <c r="BE59">
        <v>0.4747474747474747</v>
      </c>
      <c r="BF59">
        <v>-0.15819209039548021</v>
      </c>
      <c r="BG59">
        <v>0.22077922077922069</v>
      </c>
      <c r="BH59">
        <v>-0.21612541993281081</v>
      </c>
      <c r="BI59">
        <v>0.1130952380952381</v>
      </c>
      <c r="BJ59">
        <v>-0.29625748502994009</v>
      </c>
      <c r="BK59">
        <v>-0.10940476190476189</v>
      </c>
      <c r="BL59">
        <v>-7.4992789154890724E-3</v>
      </c>
      <c r="BM59">
        <v>-0.19947506561679801</v>
      </c>
      <c r="BN59">
        <v>-0.50342465753424659</v>
      </c>
      <c r="BO59">
        <v>-9.1891891891891841E-2</v>
      </c>
      <c r="BP59">
        <v>-5.2023121387283273E-2</v>
      </c>
      <c r="BQ59">
        <v>-8.6361242759346868E-2</v>
      </c>
      <c r="BR59">
        <v>7.2072072072072002E-2</v>
      </c>
      <c r="BS59">
        <v>-2.4868651488616611E-2</v>
      </c>
      <c r="BT59">
        <v>-0.1237623762376238</v>
      </c>
      <c r="BU59">
        <v>0.1910112359550562</v>
      </c>
      <c r="BV59">
        <v>-2.8846153846153851E-2</v>
      </c>
      <c r="BW59">
        <v>1.2830002467308249E-2</v>
      </c>
      <c r="BX59">
        <v>-6.7028352897033794E-2</v>
      </c>
      <c r="BZ59">
        <v>1.2269938650306679E-2</v>
      </c>
      <c r="CA59">
        <v>9.6153846153845812E-3</v>
      </c>
      <c r="CB59">
        <v>-0.1178891907466864</v>
      </c>
      <c r="CC59">
        <v>-2.935816008123537E-2</v>
      </c>
      <c r="CD59">
        <v>7.4889867841409608E-2</v>
      </c>
      <c r="CE59">
        <v>1.818181818181808E-2</v>
      </c>
      <c r="CF59">
        <v>-2.898550724637627E-3</v>
      </c>
      <c r="CH59">
        <v>-9.3903638151425772E-2</v>
      </c>
      <c r="CI59">
        <v>-0.116279069767442</v>
      </c>
      <c r="CJ59">
        <v>-1.3329052031817669E-2</v>
      </c>
      <c r="CK59">
        <v>1.6666666666667049E-3</v>
      </c>
      <c r="CL59">
        <v>-0.18421052631578941</v>
      </c>
      <c r="CM59">
        <v>6.6398390342052416E-2</v>
      </c>
      <c r="CN59">
        <v>0.67938931297709937</v>
      </c>
      <c r="CO59">
        <v>-1.874999999999993E-2</v>
      </c>
      <c r="CP59">
        <v>-8.2758620689655116E-2</v>
      </c>
      <c r="CQ59">
        <v>-0.13650151668351879</v>
      </c>
      <c r="CR59">
        <v>-5.9862522223006698E-2</v>
      </c>
      <c r="CS59">
        <v>-0.1295154185022025</v>
      </c>
      <c r="CT59">
        <v>-0.10933333333333339</v>
      </c>
      <c r="CU59">
        <v>2.1097046413502071E-2</v>
      </c>
      <c r="CV59">
        <v>-0.10140938356134931</v>
      </c>
      <c r="CW59">
        <v>-7.8801462781644349E-2</v>
      </c>
      <c r="CX59">
        <v>0.11413364872856289</v>
      </c>
      <c r="CY59">
        <v>-0.23546712802768149</v>
      </c>
      <c r="CZ59">
        <v>1.2208648439014921E-2</v>
      </c>
      <c r="DA59">
        <v>-8.4554678692220997E-2</v>
      </c>
      <c r="DB59">
        <v>-4.5652173913043548E-2</v>
      </c>
      <c r="DC59">
        <v>-9.9157724049297458E-2</v>
      </c>
      <c r="DD59">
        <v>-1.6753246753246739E-2</v>
      </c>
      <c r="DE59">
        <v>0.43759124087591222</v>
      </c>
      <c r="DF59">
        <v>5.1204819277108633E-2</v>
      </c>
      <c r="DG59">
        <v>-0.32178217821782168</v>
      </c>
      <c r="DH59">
        <v>-0.22329246935201411</v>
      </c>
      <c r="DI59">
        <v>-0.82781456953642385</v>
      </c>
      <c r="DJ59">
        <v>0.45967741935483869</v>
      </c>
      <c r="DK59">
        <v>-0.38541666666666657</v>
      </c>
      <c r="DL59">
        <v>-0.33788819875776399</v>
      </c>
      <c r="DM59">
        <v>-2.2099447513812209E-2</v>
      </c>
      <c r="DN59">
        <v>-0.1167883211678833</v>
      </c>
      <c r="DO59">
        <v>-9.4503756425464602E-2</v>
      </c>
      <c r="DP59">
        <v>-0.1744505494505495</v>
      </c>
      <c r="DQ59">
        <v>0.47111111111111098</v>
      </c>
      <c r="DR59">
        <v>-3.5842293906810041E-2</v>
      </c>
      <c r="DS59">
        <v>-1.1211375444353361E-2</v>
      </c>
      <c r="DT59">
        <v>0.21698113207547179</v>
      </c>
      <c r="DU59">
        <v>5.5672068636796863E-2</v>
      </c>
      <c r="DV59">
        <v>3.5175879396984973E-2</v>
      </c>
      <c r="DW59">
        <v>-0.1121794871794872</v>
      </c>
      <c r="DX59">
        <v>-0.19357366771159881</v>
      </c>
      <c r="DY59">
        <v>-0.26183098591549292</v>
      </c>
      <c r="DZ59">
        <v>-7.4626865671642006E-3</v>
      </c>
      <c r="EA59">
        <v>1.7699115044247819E-2</v>
      </c>
      <c r="EB59">
        <v>0.93886462882096078</v>
      </c>
      <c r="EC59">
        <v>0.43055555555555558</v>
      </c>
      <c r="ED59">
        <v>-0.13756613756613759</v>
      </c>
      <c r="EE59">
        <v>-0.39436619718309862</v>
      </c>
      <c r="EF59">
        <v>-8.380281690140845E-2</v>
      </c>
      <c r="EG59">
        <v>-0.453125</v>
      </c>
      <c r="EH59">
        <v>-0.17592190889370929</v>
      </c>
      <c r="EI59">
        <v>-4.8891054948285273E-2</v>
      </c>
      <c r="EJ59">
        <v>-0.18283582089552239</v>
      </c>
      <c r="EK59">
        <v>0.1317567567567568</v>
      </c>
      <c r="EL59">
        <v>3.3536585365853799E-2</v>
      </c>
      <c r="EM59">
        <v>-0.23935091277890461</v>
      </c>
      <c r="EN59">
        <v>-7.0299350134637395E-2</v>
      </c>
      <c r="EO59">
        <v>-0.10610932475884249</v>
      </c>
    </row>
    <row r="60" spans="1:145" x14ac:dyDescent="0.25">
      <c r="A60">
        <v>2025</v>
      </c>
      <c r="B60">
        <v>1</v>
      </c>
      <c r="C60">
        <v>2.68563653032492E-2</v>
      </c>
      <c r="D60">
        <v>3.4993024518241711E-3</v>
      </c>
      <c r="E60">
        <v>0</v>
      </c>
      <c r="F60">
        <v>-0.17821782178217829</v>
      </c>
      <c r="G60">
        <v>-4.8346055979643698E-2</v>
      </c>
      <c r="H60">
        <v>0.41935483870967732</v>
      </c>
      <c r="I60">
        <v>-3.4391534391534417E-2</v>
      </c>
      <c r="J60">
        <v>-6.0867223269593478E-2</v>
      </c>
      <c r="K60">
        <v>4.2929292929292817E-2</v>
      </c>
      <c r="L60">
        <v>-8.5892857142857104E-2</v>
      </c>
      <c r="M60">
        <v>6.0781476121563038E-2</v>
      </c>
      <c r="N60">
        <v>1.4184397163120369E-2</v>
      </c>
      <c r="O60">
        <v>-0.17391304347826089</v>
      </c>
      <c r="P60">
        <v>-0.151685393258427</v>
      </c>
      <c r="Q60">
        <v>0.13207547169811321</v>
      </c>
      <c r="R60">
        <v>-8.1377151799687075E-2</v>
      </c>
      <c r="S60">
        <v>0.1252173913043477</v>
      </c>
      <c r="T60">
        <v>-7.8636207094478272E-2</v>
      </c>
      <c r="U60">
        <v>-0.10465314470768711</v>
      </c>
      <c r="V60">
        <v>-0.24833491912464309</v>
      </c>
      <c r="W60">
        <v>-8.6567164179104483E-2</v>
      </c>
      <c r="X60">
        <v>0.25824370641768102</v>
      </c>
      <c r="Y60">
        <v>-2.058823529411757E-2</v>
      </c>
      <c r="Z60">
        <v>3.6697247706421798E-2</v>
      </c>
      <c r="AA60">
        <v>-0.20725388601036279</v>
      </c>
      <c r="AB60">
        <v>5.3679567017237861E-2</v>
      </c>
      <c r="AC60">
        <v>-0.1763754045307443</v>
      </c>
      <c r="AD60">
        <v>-0.2768361581920904</v>
      </c>
      <c r="AE60">
        <v>-0.20915032679738571</v>
      </c>
      <c r="AF60">
        <v>3.0942535291601288E-2</v>
      </c>
      <c r="AG60">
        <v>-7.7079107505070965E-2</v>
      </c>
      <c r="AH60">
        <v>-2.1052631578947319E-2</v>
      </c>
      <c r="AI60">
        <v>-0.21013289036544849</v>
      </c>
      <c r="AJ60">
        <v>-0.13019047619047619</v>
      </c>
      <c r="AK60">
        <v>-1.4851485148514859E-2</v>
      </c>
      <c r="AL60">
        <v>0.1211169284467712</v>
      </c>
      <c r="AM60">
        <v>0.32804127803135552</v>
      </c>
      <c r="AN60">
        <v>-6.1075268817204383E-2</v>
      </c>
      <c r="AO60">
        <v>-4.6413502109704741E-2</v>
      </c>
      <c r="AP60">
        <v>0.26790123456790133</v>
      </c>
      <c r="AQ60">
        <v>-0.33174061433447111</v>
      </c>
      <c r="AR60">
        <v>-0.32750000000000001</v>
      </c>
      <c r="AS60">
        <v>0.36438923395445122</v>
      </c>
      <c r="AT60">
        <v>4.1666666666666741E-2</v>
      </c>
      <c r="AU60">
        <v>0.16368286445012781</v>
      </c>
      <c r="AV60">
        <v>2.0000000000000021E-2</v>
      </c>
      <c r="AW60">
        <v>-6.6061106523533919E-3</v>
      </c>
      <c r="AX60">
        <v>-2.8444444444444491E-2</v>
      </c>
      <c r="AY60">
        <v>-0.61123511904761907</v>
      </c>
      <c r="AZ60">
        <v>0.26539855072463792</v>
      </c>
      <c r="BA60">
        <v>-0.1863636363636364</v>
      </c>
      <c r="BB60">
        <v>0.32732732732732739</v>
      </c>
      <c r="BC60">
        <v>0.1244117647058824</v>
      </c>
      <c r="BD60">
        <v>4.9438202247191088E-2</v>
      </c>
      <c r="BE60">
        <v>-0.76301369863013702</v>
      </c>
      <c r="BF60">
        <v>2.6845637583892579E-2</v>
      </c>
      <c r="BG60">
        <v>-0.1574468085106383</v>
      </c>
      <c r="BH60">
        <v>0.51428571428571423</v>
      </c>
      <c r="BI60">
        <v>-0.11764705882352949</v>
      </c>
      <c r="BJ60">
        <v>-0.61816634758562006</v>
      </c>
      <c r="BK60">
        <v>0.68426680925010031</v>
      </c>
      <c r="BL60">
        <v>0.1267073525138043</v>
      </c>
      <c r="BM60">
        <v>-8.4351713859910582E-2</v>
      </c>
      <c r="BN60">
        <v>0.2068275862068967</v>
      </c>
      <c r="BO60">
        <v>-4.8214285714285883E-2</v>
      </c>
      <c r="BP60">
        <v>-9.7560975609756073E-2</v>
      </c>
      <c r="BQ60">
        <v>7.4351585014409194E-2</v>
      </c>
      <c r="BR60">
        <v>-6.7226890756302393E-2</v>
      </c>
      <c r="BS60">
        <v>0.52155172413793105</v>
      </c>
      <c r="BT60">
        <v>-9.6045197740112997E-2</v>
      </c>
      <c r="BU60">
        <v>-0.21226415094339629</v>
      </c>
      <c r="BV60">
        <v>-0.1243564356435644</v>
      </c>
      <c r="BW60">
        <v>9.9066179455948866E-3</v>
      </c>
      <c r="BX60">
        <v>5.2067963039503777E-2</v>
      </c>
      <c r="BZ60">
        <v>0.22121212121212139</v>
      </c>
      <c r="CA60">
        <v>-0.15714285714285711</v>
      </c>
      <c r="CB60">
        <v>8.7727484834344338E-2</v>
      </c>
      <c r="CC60">
        <v>5.062177634218612E-2</v>
      </c>
      <c r="CD60">
        <v>-0.1147540983606556</v>
      </c>
      <c r="CE60">
        <v>0.21003401360544219</v>
      </c>
      <c r="CF60">
        <v>-0.11434108527131789</v>
      </c>
      <c r="CH60">
        <v>-0.4568638090070537</v>
      </c>
      <c r="CI60">
        <v>5.2631578947368363E-2</v>
      </c>
      <c r="CJ60">
        <v>-6.6344205172294002E-3</v>
      </c>
      <c r="CK60">
        <v>0.1073211314475873</v>
      </c>
      <c r="CL60">
        <v>-0.1104301075268818</v>
      </c>
      <c r="CM60">
        <v>-0.81792452830188678</v>
      </c>
      <c r="CN60">
        <v>0.37272727272727257</v>
      </c>
      <c r="CO60">
        <v>0.76008492569002106</v>
      </c>
      <c r="CP60">
        <v>-0.1315789473684211</v>
      </c>
      <c r="CQ60">
        <v>-9.8360655737704805E-2</v>
      </c>
      <c r="CR60">
        <v>4.2900054614964489E-2</v>
      </c>
      <c r="CS60">
        <v>-0.12753036437246981</v>
      </c>
      <c r="CT60">
        <v>-0.1137724550898204</v>
      </c>
      <c r="CU60">
        <v>-7.4380165289256062E-2</v>
      </c>
      <c r="CV60">
        <v>3.8567203040194682E-2</v>
      </c>
      <c r="CW60">
        <v>-1.6903572800614719E-2</v>
      </c>
      <c r="CX60">
        <v>0.39755838641188951</v>
      </c>
      <c r="CY60">
        <v>-0.2645394885720751</v>
      </c>
      <c r="CZ60">
        <v>1.6099740227894621E-2</v>
      </c>
      <c r="DA60">
        <v>-0.26231527093596052</v>
      </c>
      <c r="DB60">
        <v>-0.18375094912680329</v>
      </c>
      <c r="DC60">
        <v>-3.1115146084372821E-2</v>
      </c>
      <c r="DD60">
        <v>-0.65222559767534016</v>
      </c>
      <c r="DE60">
        <v>-0.28992129982228992</v>
      </c>
      <c r="DF60">
        <v>0.1031518624641834</v>
      </c>
      <c r="DG60">
        <v>1.459854014598516E-2</v>
      </c>
      <c r="DH60">
        <v>-7.4971815107102491E-2</v>
      </c>
      <c r="DI60">
        <v>-0.3288461538461539</v>
      </c>
      <c r="DJ60">
        <v>4.4198895027624203E-2</v>
      </c>
      <c r="DK60">
        <v>8.4745762711864181E-3</v>
      </c>
      <c r="DL60">
        <v>-3.4005628517823627E-2</v>
      </c>
      <c r="DM60">
        <v>-6.2146892655367332E-2</v>
      </c>
      <c r="DN60">
        <v>-0.1157024793388429</v>
      </c>
      <c r="DO60">
        <v>-0.26157205240174658</v>
      </c>
      <c r="DP60">
        <v>-4.991680532445808E-3</v>
      </c>
      <c r="DQ60">
        <v>-0.14501510574018131</v>
      </c>
      <c r="DR60">
        <v>0</v>
      </c>
      <c r="DS60">
        <v>6.1117256637168271E-2</v>
      </c>
      <c r="DT60">
        <v>-0.43697674418604648</v>
      </c>
      <c r="DU60">
        <v>-2.907711757269282E-2</v>
      </c>
      <c r="DV60">
        <v>0.17961165048543701</v>
      </c>
      <c r="DW60">
        <v>-0.19494584837545131</v>
      </c>
      <c r="DX60">
        <v>-0.48882410106899898</v>
      </c>
      <c r="DY60">
        <v>0.21160083953444001</v>
      </c>
      <c r="DZ60">
        <v>-0.2105263157894737</v>
      </c>
      <c r="EA60">
        <v>-0.234695652173913</v>
      </c>
      <c r="EB60">
        <v>-0.1801801801801802</v>
      </c>
      <c r="EC60">
        <v>-4.3689320388349613E-2</v>
      </c>
      <c r="ED60">
        <v>-3.067484662576669E-3</v>
      </c>
      <c r="EE60">
        <v>0.2558139534883721</v>
      </c>
      <c r="EF60">
        <v>-0.14573405073020751</v>
      </c>
      <c r="EG60">
        <v>-7.4857142857142844E-2</v>
      </c>
      <c r="EH60">
        <v>-0.17846801789944719</v>
      </c>
      <c r="EI60">
        <v>-9.3975452837401496E-2</v>
      </c>
      <c r="EJ60">
        <v>-8.2191780821917915E-2</v>
      </c>
      <c r="EK60">
        <v>-0.29850746268656708</v>
      </c>
      <c r="EL60">
        <v>5.0147492625368661E-2</v>
      </c>
      <c r="EM60">
        <v>0.52533333333333321</v>
      </c>
      <c r="EN60">
        <v>5.2047090341850621E-2</v>
      </c>
      <c r="EO60">
        <v>-5.9952038369304517E-2</v>
      </c>
    </row>
    <row r="61" spans="1:145" x14ac:dyDescent="0.25">
      <c r="A61">
        <v>2025</v>
      </c>
      <c r="B61">
        <v>2</v>
      </c>
      <c r="C61">
        <v>-1.2694826022168541E-2</v>
      </c>
      <c r="D61">
        <v>3.234729672938919E-3</v>
      </c>
      <c r="E61">
        <v>-0.1975806451612904</v>
      </c>
      <c r="F61">
        <v>-5.4216867469879422E-2</v>
      </c>
      <c r="G61">
        <v>-0.37834224598930483</v>
      </c>
      <c r="H61">
        <v>-8.3333333333333259E-2</v>
      </c>
      <c r="I61">
        <v>-0.1013698630136987</v>
      </c>
      <c r="J61">
        <v>-0.18468597648408369</v>
      </c>
      <c r="K61">
        <v>4.9636803874091973E-2</v>
      </c>
      <c r="L61">
        <v>-0.24464413622452311</v>
      </c>
      <c r="M61">
        <v>5.5422919508867567E-2</v>
      </c>
      <c r="N61">
        <v>-0.34731934731934733</v>
      </c>
      <c r="O61">
        <v>0</v>
      </c>
      <c r="P61">
        <v>-7.2847682119205337E-2</v>
      </c>
      <c r="Q61">
        <v>-0.1083333333333333</v>
      </c>
      <c r="R61">
        <v>5.110732538330387E-3</v>
      </c>
      <c r="S61">
        <v>-0.884080370942813</v>
      </c>
      <c r="T61">
        <v>-3.3266882631447732E-2</v>
      </c>
      <c r="U61">
        <v>-0.2181610508280982</v>
      </c>
      <c r="V61">
        <v>1.2658227848101329E-3</v>
      </c>
      <c r="W61">
        <v>-9.8039215686275272E-3</v>
      </c>
      <c r="X61">
        <v>0.19800864174337801</v>
      </c>
      <c r="Y61">
        <v>-0.22522522522522531</v>
      </c>
      <c r="Z61">
        <v>-0.13690265486725661</v>
      </c>
      <c r="AA61">
        <v>8.7145969498911846E-3</v>
      </c>
      <c r="AB61">
        <v>1.136556403731959E-2</v>
      </c>
      <c r="AC61">
        <v>-0.14145383104125731</v>
      </c>
      <c r="AD61">
        <v>-0.13281249999999989</v>
      </c>
      <c r="AE61">
        <v>-1.239669421487599E-2</v>
      </c>
      <c r="AF61">
        <v>-0.37081604426002762</v>
      </c>
      <c r="AG61">
        <v>-9.4505494505494392E-2</v>
      </c>
      <c r="AH61">
        <v>-7.5591397849462338E-2</v>
      </c>
      <c r="AI61">
        <v>-0.48895899053627762</v>
      </c>
      <c r="AJ61">
        <v>-2.8139713128216389E-2</v>
      </c>
      <c r="AK61">
        <v>-0.1306532663316583</v>
      </c>
      <c r="AL61">
        <v>-9.5579078455790722E-2</v>
      </c>
      <c r="AM61">
        <v>-9.4739988045427381E-2</v>
      </c>
      <c r="AN61">
        <v>-3.8479157123224923E-2</v>
      </c>
      <c r="AO61">
        <v>1.1504424778761071</v>
      </c>
      <c r="AP61">
        <v>8.7633885102238462E-3</v>
      </c>
      <c r="AQ61">
        <v>-0.28089887640449429</v>
      </c>
      <c r="AR61">
        <v>-0.38661710037174718</v>
      </c>
      <c r="AS61">
        <v>-3.8947900859888751E-2</v>
      </c>
      <c r="AT61">
        <v>-3.3846153846153859E-2</v>
      </c>
      <c r="AU61">
        <v>0.23736263736263741</v>
      </c>
      <c r="AV61">
        <v>4.3137254901960853E-2</v>
      </c>
      <c r="AW61">
        <v>-7.1487946799667412E-2</v>
      </c>
      <c r="AX61">
        <v>-4.7118023787740222E-2</v>
      </c>
      <c r="AY61">
        <v>0.33971291866028719</v>
      </c>
      <c r="AZ61">
        <v>4.4380816034359283E-2</v>
      </c>
      <c r="BA61">
        <v>-5.027932960893855E-2</v>
      </c>
      <c r="BB61">
        <v>-0.1119909502262444</v>
      </c>
      <c r="BC61">
        <v>-6.2355379383891019E-2</v>
      </c>
      <c r="BD61">
        <v>-6.6024268379728746E-2</v>
      </c>
      <c r="BE61">
        <v>-0.38945086705202309</v>
      </c>
      <c r="BF61">
        <v>-0.18039215686274521</v>
      </c>
      <c r="BG61">
        <v>-9.3434343434343425E-2</v>
      </c>
      <c r="BH61">
        <v>-4.4339622641509369E-2</v>
      </c>
      <c r="BI61">
        <v>-8.181818181818179E-2</v>
      </c>
      <c r="BJ61">
        <v>-0.29805013927576601</v>
      </c>
      <c r="BK61">
        <v>-0.27317460317460318</v>
      </c>
      <c r="BL61">
        <v>-0.12690224400309519</v>
      </c>
      <c r="BM61">
        <v>-8.59375E-2</v>
      </c>
      <c r="BN61">
        <v>-9.709126235784904E-2</v>
      </c>
      <c r="BO61">
        <v>-9.3183239524702977E-2</v>
      </c>
      <c r="BP61">
        <v>-9.4594594594594517E-2</v>
      </c>
      <c r="BQ61">
        <v>-3.8626609442059978E-2</v>
      </c>
      <c r="BR61">
        <v>-7.2072072072072113E-2</v>
      </c>
      <c r="BS61">
        <v>8.8133459238275424E-3</v>
      </c>
      <c r="BT61">
        <v>-0.12812499999999999</v>
      </c>
      <c r="BU61">
        <v>-0.23952095808383231</v>
      </c>
      <c r="BV61">
        <v>-0.3025780189959294</v>
      </c>
      <c r="BW61">
        <v>0.15405644448017999</v>
      </c>
      <c r="BX61">
        <v>9.3264715547122679E-2</v>
      </c>
      <c r="BY61">
        <v>-0.3679611650485437</v>
      </c>
      <c r="BZ61">
        <v>-0.19354838709677419</v>
      </c>
      <c r="CA61">
        <v>-0.16949152542372881</v>
      </c>
      <c r="CB61">
        <v>4.8734448734448772E-2</v>
      </c>
      <c r="CC61">
        <v>0.13708351165299709</v>
      </c>
      <c r="CD61">
        <v>-0.28935185185185203</v>
      </c>
      <c r="CE61">
        <v>8.8545326774420285E-2</v>
      </c>
      <c r="CF61">
        <v>0.17067833698030641</v>
      </c>
      <c r="CH61">
        <v>-4.0959040959041022E-2</v>
      </c>
      <c r="CI61">
        <v>-0.1666666666666666</v>
      </c>
      <c r="CJ61">
        <v>-6.6484185473558055E-2</v>
      </c>
      <c r="CK61">
        <v>-9.0909090909090939E-2</v>
      </c>
      <c r="CL61">
        <v>1.535114227003498E-2</v>
      </c>
      <c r="CM61">
        <v>-0.1917098445595854</v>
      </c>
      <c r="CN61">
        <v>-0.2483443708609272</v>
      </c>
      <c r="CO61">
        <v>-0.1230398069963812</v>
      </c>
      <c r="CP61">
        <v>-0.1471861471861472</v>
      </c>
      <c r="CQ61">
        <v>-7.2727272727272751E-2</v>
      </c>
      <c r="CR61">
        <v>-2.3984708439161121E-2</v>
      </c>
      <c r="CS61">
        <v>-2.4361948955916372E-2</v>
      </c>
      <c r="CT61">
        <v>-1.8581081081081141E-2</v>
      </c>
      <c r="CU61">
        <v>-6.696428571428592E-2</v>
      </c>
      <c r="CV61">
        <v>4.2642125055301523E-2</v>
      </c>
      <c r="CW61">
        <v>0.10394685423993751</v>
      </c>
      <c r="CX61">
        <v>-8.6593239650588627E-2</v>
      </c>
      <c r="CY61">
        <v>-0.15538461538461529</v>
      </c>
      <c r="CZ61">
        <v>-3.3936651583710291E-3</v>
      </c>
      <c r="DA61">
        <v>-7.8464106844741366E-2</v>
      </c>
      <c r="DB61">
        <v>-0.67999999999999994</v>
      </c>
      <c r="DC61">
        <v>0.16419024439711991</v>
      </c>
      <c r="DD61">
        <v>0.70451955943790368</v>
      </c>
      <c r="DE61">
        <v>-0.65033964962459778</v>
      </c>
      <c r="DF61">
        <v>4.9350649350649263E-2</v>
      </c>
      <c r="DG61">
        <v>0.10071942446043169</v>
      </c>
      <c r="DH61">
        <v>-0.38878732480195011</v>
      </c>
      <c r="DI61">
        <v>-0.2550143266475644</v>
      </c>
      <c r="DJ61">
        <v>-0.23809523809523811</v>
      </c>
      <c r="DK61">
        <v>8.4033613445377853E-3</v>
      </c>
      <c r="DL61">
        <v>-0.42704539936877878</v>
      </c>
      <c r="DM61">
        <v>-1.204819277108438E-2</v>
      </c>
      <c r="DN61">
        <v>-3.7383177570093462E-2</v>
      </c>
      <c r="DO61">
        <v>-0.6173861620342993</v>
      </c>
      <c r="DP61">
        <v>-8.1939799331103735E-2</v>
      </c>
      <c r="DQ61">
        <v>2.4734982332155431E-2</v>
      </c>
      <c r="DR61">
        <v>-0.1561338289962825</v>
      </c>
      <c r="DS61">
        <v>-0.16445139431847791</v>
      </c>
      <c r="DT61">
        <v>-0.50158336775437151</v>
      </c>
      <c r="DU61">
        <v>-0.1726190476190477</v>
      </c>
      <c r="DV61">
        <v>-0.17695473251028809</v>
      </c>
      <c r="DW61">
        <v>-0.17264573991031401</v>
      </c>
      <c r="DX61">
        <v>-0.34410646387832688</v>
      </c>
      <c r="DY61">
        <v>-0.1188976377952756</v>
      </c>
      <c r="DZ61">
        <v>-0.3</v>
      </c>
      <c r="EA61">
        <v>-0.52494034768776277</v>
      </c>
      <c r="EB61">
        <v>-0.54532967032967039</v>
      </c>
      <c r="EC61">
        <v>0.14720812182741111</v>
      </c>
      <c r="ED61">
        <v>0.22461538461538469</v>
      </c>
      <c r="EE61">
        <v>-0.13888888888888901</v>
      </c>
      <c r="EF61">
        <v>-6.4783156379341178E-2</v>
      </c>
      <c r="EG61">
        <v>2.3162445954294508E-3</v>
      </c>
      <c r="EH61">
        <v>-0.23101570009612299</v>
      </c>
      <c r="EI61">
        <v>-0.1817349384611241</v>
      </c>
      <c r="EJ61">
        <v>-0.21393034825870641</v>
      </c>
      <c r="EK61">
        <v>7.2340425531914887E-2</v>
      </c>
      <c r="EL61">
        <v>7.5842696629213391E-2</v>
      </c>
      <c r="EM61">
        <v>-0.30454545454545462</v>
      </c>
      <c r="EN61">
        <v>-2.1416032767700429E-2</v>
      </c>
      <c r="EO61">
        <v>2.168367346938771E-2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9908-3A60-4C2A-8346-0A10FA43C855}">
  <sheetPr>
    <tabColor rgb="FFFFFF00"/>
  </sheetPr>
  <dimension ref="A1:EO126"/>
  <sheetViews>
    <sheetView topLeftCell="DM1" workbookViewId="0">
      <selection activeCell="EN6" sqref="EN6"/>
    </sheetView>
  </sheetViews>
  <sheetFormatPr defaultRowHeight="15" outlineLevelRow="1" outlineLevelCol="1" x14ac:dyDescent="0.25"/>
  <cols>
    <col min="5" max="27" width="9.140625" hidden="1" customWidth="1" outlineLevel="1"/>
    <col min="28" max="28" width="9.140625" collapsed="1"/>
    <col min="29" max="75" width="9.140625" hidden="1" customWidth="1" outlineLevel="1"/>
    <col min="76" max="76" width="9.140625" collapsed="1"/>
    <col min="77" max="87" width="9.140625" hidden="1" customWidth="1" outlineLevel="1"/>
    <col min="88" max="88" width="9.140625" collapsed="1"/>
    <col min="89" max="95" width="9.140625" hidden="1" customWidth="1" outlineLevel="1"/>
    <col min="96" max="96" width="9.140625" collapsed="1"/>
    <col min="97" max="103" width="9.140625" hidden="1" customWidth="1" outlineLevel="1"/>
    <col min="104" max="104" width="9.140625" collapsed="1"/>
    <col min="105" max="106" width="9.140625" hidden="1" customWidth="1" outlineLevel="1"/>
    <col min="107" max="107" width="9.140625" customWidth="1" collapsed="1"/>
    <col min="108" max="138" width="9.140625" customWidth="1" outlineLevel="1"/>
    <col min="140" max="145" width="9.140625" customWidth="1" outlineLevel="1"/>
  </cols>
  <sheetData>
    <row r="1" spans="1:145" x14ac:dyDescent="0.25">
      <c r="A1" s="109" t="s">
        <v>977</v>
      </c>
      <c r="B1" s="109" t="s">
        <v>978</v>
      </c>
      <c r="C1" s="109" t="s">
        <v>979</v>
      </c>
      <c r="D1" s="109" t="s">
        <v>980</v>
      </c>
      <c r="E1" s="109" t="s">
        <v>740</v>
      </c>
      <c r="F1" s="109" t="s">
        <v>519</v>
      </c>
      <c r="G1" s="109" t="s">
        <v>751</v>
      </c>
      <c r="H1" s="109" t="s">
        <v>507</v>
      </c>
      <c r="I1" s="109" t="s">
        <v>731</v>
      </c>
      <c r="J1" s="109" t="s">
        <v>622</v>
      </c>
      <c r="K1" s="109" t="s">
        <v>661</v>
      </c>
      <c r="L1" s="109" t="s">
        <v>520</v>
      </c>
      <c r="M1" s="109" t="s">
        <v>630</v>
      </c>
      <c r="N1" s="109" t="s">
        <v>488</v>
      </c>
      <c r="O1" s="109" t="s">
        <v>769</v>
      </c>
      <c r="P1" s="109" t="s">
        <v>734</v>
      </c>
      <c r="Q1" s="109" t="s">
        <v>521</v>
      </c>
      <c r="R1" s="109" t="s">
        <v>634</v>
      </c>
      <c r="S1" s="109" t="s">
        <v>752</v>
      </c>
      <c r="T1" s="109" t="s">
        <v>490</v>
      </c>
      <c r="U1" s="109" t="s">
        <v>754</v>
      </c>
      <c r="V1" s="109" t="s">
        <v>728</v>
      </c>
      <c r="W1" s="109" t="s">
        <v>753</v>
      </c>
      <c r="X1" s="109" t="s">
        <v>602</v>
      </c>
      <c r="Y1" s="109" t="s">
        <v>492</v>
      </c>
      <c r="Z1" s="109" t="s">
        <v>495</v>
      </c>
      <c r="AA1" s="109" t="s">
        <v>755</v>
      </c>
      <c r="AB1" s="109" t="s">
        <v>480</v>
      </c>
      <c r="AC1" s="109" t="s">
        <v>727</v>
      </c>
      <c r="AD1" s="109" t="s">
        <v>523</v>
      </c>
      <c r="AE1" s="109" t="s">
        <v>506</v>
      </c>
      <c r="AF1" s="109" t="s">
        <v>528</v>
      </c>
      <c r="AG1" s="109" t="s">
        <v>545</v>
      </c>
      <c r="AH1" s="109" t="s">
        <v>742</v>
      </c>
      <c r="AI1" s="109" t="s">
        <v>526</v>
      </c>
      <c r="AJ1" s="109" t="s">
        <v>529</v>
      </c>
      <c r="AK1" s="109" t="s">
        <v>527</v>
      </c>
      <c r="AL1" s="109" t="s">
        <v>638</v>
      </c>
      <c r="AM1" s="109" t="s">
        <v>489</v>
      </c>
      <c r="AN1" s="109" t="s">
        <v>744</v>
      </c>
      <c r="AO1" s="109" t="s">
        <v>737</v>
      </c>
      <c r="AP1" s="109" t="s">
        <v>689</v>
      </c>
      <c r="AQ1" s="109" t="s">
        <v>756</v>
      </c>
      <c r="AR1" s="109" t="s">
        <v>525</v>
      </c>
      <c r="AS1" s="109" t="s">
        <v>522</v>
      </c>
      <c r="AT1" s="109" t="s">
        <v>511</v>
      </c>
      <c r="AU1" s="109" t="s">
        <v>493</v>
      </c>
      <c r="AV1" s="109" t="s">
        <v>509</v>
      </c>
      <c r="AW1" s="109" t="s">
        <v>484</v>
      </c>
      <c r="AX1" s="109" t="s">
        <v>696</v>
      </c>
      <c r="AY1" s="109" t="s">
        <v>530</v>
      </c>
      <c r="AZ1" s="109" t="s">
        <v>669</v>
      </c>
      <c r="BA1" s="109" t="s">
        <v>700</v>
      </c>
      <c r="BB1" s="109" t="s">
        <v>736</v>
      </c>
      <c r="BC1" s="109" t="s">
        <v>503</v>
      </c>
      <c r="BD1" s="109" t="s">
        <v>646</v>
      </c>
      <c r="BE1" s="109" t="s">
        <v>518</v>
      </c>
      <c r="BF1" s="109" t="s">
        <v>704</v>
      </c>
      <c r="BG1" s="109" t="s">
        <v>732</v>
      </c>
      <c r="BH1" s="109" t="s">
        <v>757</v>
      </c>
      <c r="BI1" s="109" t="s">
        <v>531</v>
      </c>
      <c r="BJ1" s="109" t="s">
        <v>532</v>
      </c>
      <c r="BK1" s="109" t="s">
        <v>533</v>
      </c>
      <c r="BL1" s="109" t="s">
        <v>618</v>
      </c>
      <c r="BM1" s="109" t="s">
        <v>642</v>
      </c>
      <c r="BN1" s="109" t="s">
        <v>759</v>
      </c>
      <c r="BO1" s="109" t="s">
        <v>747</v>
      </c>
      <c r="BP1" s="109" t="s">
        <v>758</v>
      </c>
      <c r="BQ1" s="109" t="s">
        <v>657</v>
      </c>
      <c r="BR1" s="109" t="s">
        <v>504</v>
      </c>
      <c r="BS1" s="109" t="s">
        <v>726</v>
      </c>
      <c r="BT1" s="109" t="s">
        <v>534</v>
      </c>
      <c r="BU1" s="109" t="s">
        <v>750</v>
      </c>
      <c r="BV1" s="109" t="s">
        <v>502</v>
      </c>
      <c r="BW1" s="109" t="s">
        <v>610</v>
      </c>
      <c r="BX1" s="109" t="s">
        <v>477</v>
      </c>
      <c r="BY1" s="109" t="s">
        <v>535</v>
      </c>
      <c r="BZ1" s="109" t="s">
        <v>497</v>
      </c>
      <c r="CA1" s="109" t="s">
        <v>515</v>
      </c>
      <c r="CB1" s="109" t="s">
        <v>650</v>
      </c>
      <c r="CC1" s="109" t="s">
        <v>481</v>
      </c>
      <c r="CD1" s="109" t="s">
        <v>501</v>
      </c>
      <c r="CE1" s="109" t="s">
        <v>498</v>
      </c>
      <c r="CF1" s="109" t="s">
        <v>513</v>
      </c>
      <c r="CG1" s="109" t="s">
        <v>729</v>
      </c>
      <c r="CH1" s="109" t="s">
        <v>760</v>
      </c>
      <c r="CI1" s="109" t="s">
        <v>536</v>
      </c>
      <c r="CJ1" s="109" t="s">
        <v>478</v>
      </c>
      <c r="CK1" s="109" t="s">
        <v>741</v>
      </c>
      <c r="CL1" s="109" t="s">
        <v>491</v>
      </c>
      <c r="CM1" s="109" t="s">
        <v>761</v>
      </c>
      <c r="CN1" s="109" t="s">
        <v>537</v>
      </c>
      <c r="CO1" s="109" t="s">
        <v>510</v>
      </c>
      <c r="CP1" s="109" t="s">
        <v>487</v>
      </c>
      <c r="CQ1" s="109" t="s">
        <v>677</v>
      </c>
      <c r="CR1" s="109" t="s">
        <v>483</v>
      </c>
      <c r="CS1" s="109" t="s">
        <v>685</v>
      </c>
      <c r="CT1" s="109" t="s">
        <v>733</v>
      </c>
      <c r="CU1" s="109" t="s">
        <v>538</v>
      </c>
      <c r="CV1" s="109" t="s">
        <v>708</v>
      </c>
      <c r="CW1" s="109" t="s">
        <v>486</v>
      </c>
      <c r="CX1" s="109" t="s">
        <v>614</v>
      </c>
      <c r="CY1" s="109" t="s">
        <v>539</v>
      </c>
      <c r="CZ1" s="109" t="s">
        <v>479</v>
      </c>
      <c r="DA1" s="109" t="s">
        <v>735</v>
      </c>
      <c r="DB1" s="109" t="s">
        <v>762</v>
      </c>
      <c r="DC1" s="109" t="s">
        <v>485</v>
      </c>
      <c r="DD1" s="109" t="s">
        <v>500</v>
      </c>
      <c r="DE1" s="109" t="s">
        <v>508</v>
      </c>
      <c r="DF1" s="109" t="s">
        <v>505</v>
      </c>
      <c r="DG1" s="109" t="s">
        <v>763</v>
      </c>
      <c r="DH1" s="109" t="s">
        <v>764</v>
      </c>
      <c r="DI1" s="109" t="s">
        <v>765</v>
      </c>
      <c r="DJ1" s="109" t="s">
        <v>540</v>
      </c>
      <c r="DK1" s="109" t="s">
        <v>524</v>
      </c>
      <c r="DL1" s="109" t="s">
        <v>494</v>
      </c>
      <c r="DM1" s="109" t="s">
        <v>738</v>
      </c>
      <c r="DN1" s="109" t="s">
        <v>745</v>
      </c>
      <c r="DO1" s="109" t="s">
        <v>748</v>
      </c>
      <c r="DP1" s="109" t="s">
        <v>730</v>
      </c>
      <c r="DQ1" s="109" t="s">
        <v>512</v>
      </c>
      <c r="DR1" s="109" t="s">
        <v>499</v>
      </c>
      <c r="DS1" s="109" t="s">
        <v>626</v>
      </c>
      <c r="DT1" s="109" t="s">
        <v>516</v>
      </c>
      <c r="DU1" s="109" t="s">
        <v>567</v>
      </c>
      <c r="DV1" s="109" t="s">
        <v>541</v>
      </c>
      <c r="DW1" s="109" t="s">
        <v>766</v>
      </c>
      <c r="DX1" s="109" t="s">
        <v>770</v>
      </c>
      <c r="DY1" s="109" t="s">
        <v>749</v>
      </c>
      <c r="DZ1" s="109" t="s">
        <v>725</v>
      </c>
      <c r="EA1" s="109" t="s">
        <v>543</v>
      </c>
      <c r="EB1" s="109" t="s">
        <v>517</v>
      </c>
      <c r="EC1" s="109" t="s">
        <v>767</v>
      </c>
      <c r="ED1" s="109" t="s">
        <v>542</v>
      </c>
      <c r="EE1" s="109" t="s">
        <v>746</v>
      </c>
      <c r="EF1" s="109" t="s">
        <v>496</v>
      </c>
      <c r="EG1" s="109" t="s">
        <v>743</v>
      </c>
      <c r="EH1" s="109" t="s">
        <v>544</v>
      </c>
      <c r="EI1" s="109" t="s">
        <v>606</v>
      </c>
      <c r="EJ1" s="109" t="s">
        <v>768</v>
      </c>
      <c r="EK1" s="109" t="s">
        <v>514</v>
      </c>
      <c r="EL1" s="109" t="s">
        <v>681</v>
      </c>
      <c r="EM1" s="109" t="s">
        <v>739</v>
      </c>
      <c r="EN1" s="109" t="s">
        <v>482</v>
      </c>
      <c r="EO1" s="109" t="s">
        <v>712</v>
      </c>
    </row>
    <row r="2" spans="1:145" x14ac:dyDescent="0.25">
      <c r="A2">
        <v>2020</v>
      </c>
      <c r="B2">
        <v>3</v>
      </c>
      <c r="C2" s="98">
        <v>-0.12464237195363009</v>
      </c>
      <c r="D2" s="98">
        <v>2.047363156590043E-3</v>
      </c>
      <c r="E2" s="98">
        <v>-8.7719298245613975E-2</v>
      </c>
      <c r="F2" s="98">
        <v>-9.722222222222221E-2</v>
      </c>
      <c r="G2" s="98"/>
      <c r="H2" s="98">
        <v>-0.36</v>
      </c>
      <c r="I2" s="98"/>
      <c r="J2" s="98">
        <v>-3.5737491877842809E-2</v>
      </c>
      <c r="K2" s="98">
        <v>-9.6103896103896136E-2</v>
      </c>
      <c r="L2" s="98"/>
      <c r="M2" s="98">
        <v>-0.15142678608623189</v>
      </c>
      <c r="N2" s="98"/>
      <c r="O2" s="98"/>
      <c r="P2" s="98">
        <v>-0.41286863270777491</v>
      </c>
      <c r="Q2" s="98">
        <v>-0.10280373831775701</v>
      </c>
      <c r="R2" s="98">
        <v>-0.1449183110545301</v>
      </c>
      <c r="S2" s="98"/>
      <c r="T2" s="98">
        <v>-0.39814814814814808</v>
      </c>
      <c r="U2" s="98"/>
      <c r="V2" s="98">
        <v>-0.2052052052052051</v>
      </c>
      <c r="W2" s="98"/>
      <c r="X2" s="98">
        <v>-0.24576923076923071</v>
      </c>
      <c r="Y2" s="98">
        <v>1.8301886792452831</v>
      </c>
      <c r="Z2" s="98"/>
      <c r="AA2" s="98"/>
      <c r="AB2" s="98">
        <v>-5.6215218999928977E-2</v>
      </c>
      <c r="AC2" s="98"/>
      <c r="AD2" s="98"/>
      <c r="AE2" s="98">
        <v>-0.1210911510312708</v>
      </c>
      <c r="AF2" s="98"/>
      <c r="AG2" s="98"/>
      <c r="AH2" s="98">
        <v>-0.24107142857142869</v>
      </c>
      <c r="AI2" s="98">
        <v>-0.43548387096774188</v>
      </c>
      <c r="AJ2" s="98"/>
      <c r="AK2" s="98">
        <v>-0.46616541353383473</v>
      </c>
      <c r="AL2" s="98">
        <v>-0.31242105263157899</v>
      </c>
      <c r="AM2" s="98">
        <v>-5.7844690966719403E-2</v>
      </c>
      <c r="AN2" s="98">
        <v>-0.1228070175438597</v>
      </c>
      <c r="AO2" s="98">
        <v>-9.9255583126550917E-2</v>
      </c>
      <c r="AP2" s="98">
        <v>-0.30961538461538463</v>
      </c>
      <c r="AQ2" s="98"/>
      <c r="AR2" s="98">
        <v>-0.15730337078651691</v>
      </c>
      <c r="AS2" s="98"/>
      <c r="AT2" s="98">
        <v>-0.22018348623853209</v>
      </c>
      <c r="AU2" s="98"/>
      <c r="AV2" s="98">
        <v>-0.1242937853107344</v>
      </c>
      <c r="AW2" s="98">
        <v>-0.18284671532846711</v>
      </c>
      <c r="AX2" s="98"/>
      <c r="AY2" s="98">
        <v>-0.16303400174367921</v>
      </c>
      <c r="AZ2" s="98">
        <v>-0.51688009313154826</v>
      </c>
      <c r="BA2" s="98">
        <v>-0.37551990493166959</v>
      </c>
      <c r="BB2" s="98">
        <v>-0.24074074074074081</v>
      </c>
      <c r="BC2" s="98">
        <v>-5.6910569105691138E-2</v>
      </c>
      <c r="BD2" s="98"/>
      <c r="BE2" s="98">
        <v>-0.41025641025641019</v>
      </c>
      <c r="BF2" s="98">
        <v>-0.20930232558139539</v>
      </c>
      <c r="BG2" s="98">
        <v>-0.36892177589852021</v>
      </c>
      <c r="BH2" s="98"/>
      <c r="BI2" s="98"/>
      <c r="BJ2" s="98">
        <v>-0.505586592178771</v>
      </c>
      <c r="BK2" s="98">
        <v>-0.27021225852611502</v>
      </c>
      <c r="BL2" s="98"/>
      <c r="BM2" s="98">
        <v>-0.30797101449275349</v>
      </c>
      <c r="BN2" s="98"/>
      <c r="BO2" s="98">
        <v>0.11363636363636349</v>
      </c>
      <c r="BP2" s="98"/>
      <c r="BQ2" s="98">
        <v>-0.12694877505567939</v>
      </c>
      <c r="BR2" s="98">
        <v>-0.2274678111587983</v>
      </c>
      <c r="BS2" s="98">
        <v>-0.27156398104265411</v>
      </c>
      <c r="BT2" s="98">
        <v>0.12916666666666671</v>
      </c>
      <c r="BU2" s="98"/>
      <c r="BV2" s="98">
        <v>-0.15789473684210531</v>
      </c>
      <c r="BW2" s="98">
        <v>-0.12951649502530979</v>
      </c>
      <c r="BX2" s="98">
        <v>-2.4910800612630849E-2</v>
      </c>
      <c r="BY2" s="98"/>
      <c r="BZ2" s="98">
        <v>-9.5652173913043481E-2</v>
      </c>
      <c r="CA2" s="98">
        <v>-0.1212121212121213</v>
      </c>
      <c r="CB2" s="98">
        <v>-0.22307692307692309</v>
      </c>
      <c r="CC2" s="98">
        <v>9.9818251709580252E-2</v>
      </c>
      <c r="CD2" s="98">
        <v>-3.4205231388329982E-2</v>
      </c>
      <c r="CE2" s="98">
        <v>0.1404358353510895</v>
      </c>
      <c r="CF2" s="98"/>
      <c r="CG2" s="98"/>
      <c r="CH2" s="98"/>
      <c r="CI2" s="98"/>
      <c r="CJ2" s="98">
        <v>1.29510516498359E-2</v>
      </c>
      <c r="CK2" s="98">
        <v>5.2631578947368363E-2</v>
      </c>
      <c r="CL2" s="98">
        <v>-0.14223930802498791</v>
      </c>
      <c r="CM2" s="98"/>
      <c r="CN2" s="98">
        <v>1.12676056338028E-2</v>
      </c>
      <c r="CO2" s="98">
        <v>0.50000583001993859</v>
      </c>
      <c r="CP2" s="98"/>
      <c r="CQ2" s="98">
        <v>5.2072263549415521E-2</v>
      </c>
      <c r="CR2" s="98"/>
      <c r="CS2" s="98">
        <v>0.1225860621326615</v>
      </c>
      <c r="CT2" s="98">
        <v>-0.25785123966942158</v>
      </c>
      <c r="CU2" s="98">
        <v>-0.25490196078431371</v>
      </c>
      <c r="CV2" s="98">
        <v>-3.8269983307336441E-2</v>
      </c>
      <c r="CW2" s="98">
        <v>-1.8201284796573899E-2</v>
      </c>
      <c r="CX2" s="98">
        <v>-0.22706316274780999</v>
      </c>
      <c r="CY2" s="98">
        <v>2.564102564102555E-2</v>
      </c>
      <c r="CZ2" s="98">
        <v>-2.3339183541763339E-2</v>
      </c>
      <c r="DA2" s="98">
        <v>-0.28516057585825022</v>
      </c>
      <c r="DB2" s="98"/>
      <c r="DC2" s="98">
        <v>-5.1291715205920803E-2</v>
      </c>
      <c r="DD2" s="98">
        <v>-2.5728383458646479E-2</v>
      </c>
      <c r="DE2" s="98"/>
      <c r="DF2" s="98">
        <v>-0.36875000000000002</v>
      </c>
      <c r="DG2" s="98"/>
      <c r="DH2" s="98"/>
      <c r="DI2" s="98">
        <v>-0.30073800738007378</v>
      </c>
      <c r="DJ2" s="98">
        <v>-3.787878787878896E-3</v>
      </c>
      <c r="DK2" s="98">
        <v>-0.26737967914438499</v>
      </c>
      <c r="DL2" s="98"/>
      <c r="DM2" s="98">
        <v>-0.16384180790960451</v>
      </c>
      <c r="DN2" s="98">
        <v>-0.1673773987206825</v>
      </c>
      <c r="DO2" s="98"/>
      <c r="DP2" s="98">
        <v>-4.4000490256158931E-2</v>
      </c>
      <c r="DQ2" s="98">
        <v>-0.37650602409638562</v>
      </c>
      <c r="DR2" s="98">
        <v>-7.0208728652751518E-2</v>
      </c>
      <c r="DS2" s="98">
        <v>0</v>
      </c>
      <c r="DT2" s="98"/>
      <c r="DU2" s="98"/>
      <c r="DV2" s="98"/>
      <c r="DW2" s="98"/>
      <c r="DX2" s="98"/>
      <c r="DY2" s="98">
        <v>-0.10606060606060599</v>
      </c>
      <c r="DZ2" s="98">
        <v>-0.52321552321552323</v>
      </c>
      <c r="EA2" s="98">
        <v>-0.23201438848920869</v>
      </c>
      <c r="EB2" s="98">
        <v>-0.30232558139534882</v>
      </c>
      <c r="EC2" s="98">
        <v>-0.36608863198458569</v>
      </c>
      <c r="ED2" s="98">
        <v>-0.1153846153846154</v>
      </c>
      <c r="EE2" s="98">
        <v>-0.37278106508875741</v>
      </c>
      <c r="EF2" s="98">
        <v>-0.20823244552058109</v>
      </c>
      <c r="EG2" s="98">
        <v>-7.9191238416175147E-2</v>
      </c>
      <c r="EH2" s="98"/>
      <c r="EI2" s="98"/>
      <c r="EJ2" s="98"/>
      <c r="EK2" s="98">
        <v>-9.152542372881356E-2</v>
      </c>
      <c r="EL2" s="98">
        <v>-0.452247191011236</v>
      </c>
      <c r="EM2" s="98">
        <v>-8.8235294117646967E-2</v>
      </c>
      <c r="EN2" s="98">
        <v>-0.11664052440594649</v>
      </c>
      <c r="EO2" s="98">
        <v>-0.25742574257425738</v>
      </c>
    </row>
    <row r="3" spans="1:145" x14ac:dyDescent="0.25">
      <c r="A3">
        <v>2020</v>
      </c>
      <c r="B3">
        <v>4</v>
      </c>
      <c r="C3" s="98">
        <v>0.126983219259136</v>
      </c>
      <c r="D3" s="98">
        <v>-1.9324052044489279E-4</v>
      </c>
      <c r="E3" s="98">
        <v>0.27884615384615402</v>
      </c>
      <c r="F3" s="98">
        <v>0.13846153846153841</v>
      </c>
      <c r="G3" s="98"/>
      <c r="H3" s="98">
        <v>0.1651785714285712</v>
      </c>
      <c r="I3" s="98"/>
      <c r="J3" s="98">
        <v>0.1421832884097034</v>
      </c>
      <c r="K3" s="98">
        <v>4.31034482758621E-2</v>
      </c>
      <c r="L3" s="98"/>
      <c r="M3" s="98">
        <v>-1.791850760922931E-2</v>
      </c>
      <c r="N3" s="98"/>
      <c r="O3" s="98"/>
      <c r="P3" s="98">
        <v>0.96803652968036524</v>
      </c>
      <c r="Q3" s="98">
        <v>0.22916666666666649</v>
      </c>
      <c r="R3" s="98">
        <v>0.30272952853598029</v>
      </c>
      <c r="S3" s="98"/>
      <c r="T3" s="98">
        <v>0.3538461538461537</v>
      </c>
      <c r="U3" s="98"/>
      <c r="V3" s="98">
        <v>0.30730478589420662</v>
      </c>
      <c r="W3" s="98"/>
      <c r="X3" s="98">
        <v>0.61533231344552108</v>
      </c>
      <c r="Y3" s="98">
        <v>9.3333333333333268E-2</v>
      </c>
      <c r="Z3" s="98"/>
      <c r="AA3" s="98"/>
      <c r="AB3" s="98">
        <v>9.9850494913390042E-2</v>
      </c>
      <c r="AC3" s="98"/>
      <c r="AD3" s="98"/>
      <c r="AE3" s="98">
        <v>0.12187736563209681</v>
      </c>
      <c r="AF3" s="98"/>
      <c r="AG3" s="98"/>
      <c r="AH3" s="98">
        <v>0.16470588235294131</v>
      </c>
      <c r="AI3" s="98">
        <v>0.3666666666666667</v>
      </c>
      <c r="AJ3" s="98"/>
      <c r="AK3" s="98">
        <v>0.323943661971831</v>
      </c>
      <c r="AL3" s="98">
        <v>0.26638089406001231</v>
      </c>
      <c r="AM3" s="98">
        <v>6.4760302775441536E-2</v>
      </c>
      <c r="AN3" s="98">
        <v>-4.0000000000000042E-2</v>
      </c>
      <c r="AO3" s="98">
        <v>9.0909090909090828E-2</v>
      </c>
      <c r="AP3" s="98">
        <v>0.15598885793871881</v>
      </c>
      <c r="AQ3" s="98"/>
      <c r="AR3" s="98">
        <v>0.53166666666666673</v>
      </c>
      <c r="AS3" s="98"/>
      <c r="AT3" s="98">
        <v>0.30588235294117649</v>
      </c>
      <c r="AU3" s="98"/>
      <c r="AV3" s="98">
        <v>0.37419354838709679</v>
      </c>
      <c r="AW3" s="98">
        <v>0.103617686467173</v>
      </c>
      <c r="AX3" s="98"/>
      <c r="AY3" s="98">
        <v>-5.208333333333337E-2</v>
      </c>
      <c r="AZ3" s="98">
        <v>2.4096385542167198E-3</v>
      </c>
      <c r="BA3" s="98">
        <v>0.25594671741198849</v>
      </c>
      <c r="BB3" s="98">
        <v>0.26341463414634148</v>
      </c>
      <c r="BC3" s="98">
        <v>0.14655172413793099</v>
      </c>
      <c r="BD3" s="98"/>
      <c r="BE3" s="98">
        <v>0.5913043478260871</v>
      </c>
      <c r="BF3" s="98">
        <v>-4.9019607843137303E-2</v>
      </c>
      <c r="BG3" s="98">
        <v>5.695142378559459E-2</v>
      </c>
      <c r="BH3" s="98"/>
      <c r="BI3" s="98"/>
      <c r="BJ3" s="98">
        <v>5.6497175141242861E-2</v>
      </c>
      <c r="BK3" s="98">
        <v>0.16013071895424849</v>
      </c>
      <c r="BL3" s="98"/>
      <c r="BM3" s="98">
        <v>0.1753926701570683</v>
      </c>
      <c r="BN3" s="98"/>
      <c r="BO3" s="98">
        <v>0.1020408163265307</v>
      </c>
      <c r="BP3" s="98"/>
      <c r="BQ3" s="98">
        <v>0.2057823129251701</v>
      </c>
      <c r="BR3" s="98">
        <v>5.555555555555558E-2</v>
      </c>
      <c r="BS3" s="98">
        <v>0.14964216005204969</v>
      </c>
      <c r="BT3" s="98">
        <v>0.29151291512915128</v>
      </c>
      <c r="BU3" s="98"/>
      <c r="BV3" s="98">
        <v>-5.0000000000000037E-2</v>
      </c>
      <c r="BW3" s="98">
        <v>0.1053739723280529</v>
      </c>
      <c r="BX3" s="98">
        <v>0.14420734703619459</v>
      </c>
      <c r="BY3" s="98"/>
      <c r="BZ3" s="98">
        <v>1.923076923076916E-3</v>
      </c>
      <c r="CA3" s="98">
        <v>0</v>
      </c>
      <c r="CB3" s="98">
        <v>0.35547304730473051</v>
      </c>
      <c r="CC3" s="98">
        <v>0.1147634720303894</v>
      </c>
      <c r="CD3" s="98">
        <v>0.15416666666666659</v>
      </c>
      <c r="CE3" s="98">
        <v>5.732484076433142E-2</v>
      </c>
      <c r="CF3" s="98"/>
      <c r="CG3" s="98"/>
      <c r="CH3" s="98"/>
      <c r="CI3" s="98"/>
      <c r="CJ3" s="98">
        <v>3.1192156638631952E-2</v>
      </c>
      <c r="CK3" s="98">
        <v>0.53333333333333344</v>
      </c>
      <c r="CL3" s="98">
        <v>7.5630252100840289E-2</v>
      </c>
      <c r="CM3" s="98"/>
      <c r="CN3" s="98">
        <v>0.10027855153203349</v>
      </c>
      <c r="CO3" s="98">
        <v>-0.2</v>
      </c>
      <c r="CP3" s="98"/>
      <c r="CQ3" s="98">
        <v>0.16363636363636361</v>
      </c>
      <c r="CR3" s="98"/>
      <c r="CS3" s="98">
        <v>0.24308152580403911</v>
      </c>
      <c r="CT3" s="98">
        <v>-0.1002227171492204</v>
      </c>
      <c r="CU3" s="98">
        <v>1.6447368421052651E-2</v>
      </c>
      <c r="CV3" s="98">
        <v>0.1050899382074957</v>
      </c>
      <c r="CW3" s="98">
        <v>0.1093238822246456</v>
      </c>
      <c r="CX3" s="98">
        <v>0.23143453623620619</v>
      </c>
      <c r="CY3" s="98">
        <v>-0.25</v>
      </c>
      <c r="CZ3" s="98">
        <v>0.17524809521699039</v>
      </c>
      <c r="DA3" s="98">
        <v>0.31061192873741289</v>
      </c>
      <c r="DB3" s="98"/>
      <c r="DC3" s="98">
        <v>0.10833905160894219</v>
      </c>
      <c r="DD3" s="98">
        <v>-0.11642348969010009</v>
      </c>
      <c r="DE3" s="98"/>
      <c r="DF3" s="98">
        <v>0.36633663366336638</v>
      </c>
      <c r="DG3" s="98"/>
      <c r="DH3" s="98"/>
      <c r="DI3" s="98">
        <v>0.23013778950454419</v>
      </c>
      <c r="DJ3" s="98">
        <v>8.5551330798478986E-3</v>
      </c>
      <c r="DK3" s="98">
        <v>0.85766423357664223</v>
      </c>
      <c r="DL3" s="98"/>
      <c r="DM3" s="98">
        <v>0.27567567567567552</v>
      </c>
      <c r="DN3" s="98">
        <v>0.23559539052496811</v>
      </c>
      <c r="DO3" s="98"/>
      <c r="DP3" s="98">
        <v>0.2364102564102564</v>
      </c>
      <c r="DQ3" s="98">
        <v>3.8647342995169032E-2</v>
      </c>
      <c r="DR3" s="98">
        <v>3.6734693877551017E-2</v>
      </c>
      <c r="DS3" s="98">
        <v>0.30072262367982222</v>
      </c>
      <c r="DT3" s="98"/>
      <c r="DU3" s="98"/>
      <c r="DV3" s="98"/>
      <c r="DW3" s="98"/>
      <c r="DX3" s="98"/>
      <c r="DY3" s="98">
        <v>0.36440677966101709</v>
      </c>
      <c r="DZ3" s="98">
        <v>0.17005813953488391</v>
      </c>
      <c r="EA3" s="98">
        <v>0.62060889929742391</v>
      </c>
      <c r="EB3" s="98">
        <v>3.3333333333333437E-2</v>
      </c>
      <c r="EC3" s="98">
        <v>-0.1276595744680851</v>
      </c>
      <c r="ED3" s="98">
        <v>0.13043478260869559</v>
      </c>
      <c r="EE3" s="98">
        <v>0.49056603773584889</v>
      </c>
      <c r="EF3" s="98">
        <v>-1.223241590214064E-2</v>
      </c>
      <c r="EG3" s="98">
        <v>0.10430009149130839</v>
      </c>
      <c r="EH3" s="98"/>
      <c r="EI3" s="98"/>
      <c r="EJ3" s="98"/>
      <c r="EK3" s="98">
        <v>-0.32089552238805968</v>
      </c>
      <c r="EL3" s="98">
        <v>0.3846153846153848</v>
      </c>
      <c r="EM3" s="98">
        <v>3.548387096774186E-2</v>
      </c>
      <c r="EN3" s="98">
        <v>0.10045751651308631</v>
      </c>
      <c r="EO3" s="98">
        <v>0.33333333333333331</v>
      </c>
    </row>
    <row r="4" spans="1:145" x14ac:dyDescent="0.25">
      <c r="A4">
        <v>2020</v>
      </c>
      <c r="B4">
        <v>5</v>
      </c>
      <c r="C4" s="98">
        <v>4.7645592087328881E-2</v>
      </c>
      <c r="D4" s="98">
        <v>-1.7111862336904871E-4</v>
      </c>
      <c r="E4" s="98">
        <v>6.0150375939849399E-2</v>
      </c>
      <c r="F4" s="98">
        <v>9.4594594594594517E-2</v>
      </c>
      <c r="G4" s="98"/>
      <c r="H4" s="98">
        <v>0.21072796934865901</v>
      </c>
      <c r="I4" s="98"/>
      <c r="J4" s="98">
        <v>9.9705014749262633E-2</v>
      </c>
      <c r="K4" s="98">
        <v>0.34159779614325081</v>
      </c>
      <c r="L4" s="98"/>
      <c r="M4" s="98">
        <v>-0.2236940764808798</v>
      </c>
      <c r="N4" s="98"/>
      <c r="O4" s="98"/>
      <c r="P4" s="98">
        <v>0.1299303944315546</v>
      </c>
      <c r="Q4" s="98">
        <v>8.4745762711864403E-2</v>
      </c>
      <c r="R4" s="98">
        <v>-0.36628571428571421</v>
      </c>
      <c r="S4" s="98"/>
      <c r="T4" s="98">
        <v>0.125</v>
      </c>
      <c r="U4" s="98"/>
      <c r="V4" s="98">
        <v>-0.22157996146435449</v>
      </c>
      <c r="W4" s="98"/>
      <c r="X4" s="98">
        <v>-0.1899400189413869</v>
      </c>
      <c r="Y4" s="98">
        <v>-9.1463414634146312E-2</v>
      </c>
      <c r="Z4" s="98"/>
      <c r="AA4" s="98"/>
      <c r="AB4" s="98">
        <v>-1.7923128002812368E-2</v>
      </c>
      <c r="AC4" s="98"/>
      <c r="AD4" s="98"/>
      <c r="AE4" s="98">
        <v>7.0850202429149745E-2</v>
      </c>
      <c r="AF4" s="98"/>
      <c r="AG4" s="98"/>
      <c r="AH4" s="98">
        <v>-6.0606060606060552E-2</v>
      </c>
      <c r="AI4" s="98">
        <v>-7.3170731707317027E-2</v>
      </c>
      <c r="AJ4" s="98"/>
      <c r="AK4" s="98">
        <v>3.1914893617021489E-2</v>
      </c>
      <c r="AL4" s="98">
        <v>6.6247582205029021E-2</v>
      </c>
      <c r="AM4" s="98">
        <v>0.19589257503949439</v>
      </c>
      <c r="AN4" s="98">
        <v>-6.25E-2</v>
      </c>
      <c r="AO4" s="98">
        <v>-0.16414141414141409</v>
      </c>
      <c r="AP4" s="98">
        <v>6.5060240963855209E-2</v>
      </c>
      <c r="AQ4" s="98"/>
      <c r="AR4" s="98">
        <v>-5.5495103373231817E-2</v>
      </c>
      <c r="AS4" s="98"/>
      <c r="AT4" s="98">
        <v>-5.4054054054054057E-2</v>
      </c>
      <c r="AU4" s="98"/>
      <c r="AV4" s="98">
        <v>9.8591549295774517E-2</v>
      </c>
      <c r="AW4" s="98">
        <v>-0.13354917037636579</v>
      </c>
      <c r="AX4" s="98">
        <v>0.91371428571428592</v>
      </c>
      <c r="AY4" s="98">
        <v>0.4505494505494505</v>
      </c>
      <c r="AZ4" s="98">
        <v>9.8557692307692291E-2</v>
      </c>
      <c r="BA4" s="98">
        <v>6.9949494949494762E-2</v>
      </c>
      <c r="BB4" s="98">
        <v>-0.111969111969112</v>
      </c>
      <c r="BC4" s="98">
        <v>0.85714285714285698</v>
      </c>
      <c r="BD4" s="98"/>
      <c r="BE4" s="98">
        <v>-0.21038251366120231</v>
      </c>
      <c r="BF4" s="98">
        <v>-0.11340206185567001</v>
      </c>
      <c r="BG4" s="98">
        <v>0.57765451664025358</v>
      </c>
      <c r="BH4" s="98"/>
      <c r="BI4" s="98"/>
      <c r="BJ4" s="98">
        <v>-1.069518716577544E-2</v>
      </c>
      <c r="BK4" s="98">
        <v>-0.18591549295774651</v>
      </c>
      <c r="BL4" s="98"/>
      <c r="BM4" s="98">
        <v>0.20489977728285069</v>
      </c>
      <c r="BN4" s="98"/>
      <c r="BO4" s="98">
        <v>7.4074074074073959E-2</v>
      </c>
      <c r="BP4" s="98"/>
      <c r="BQ4" s="98">
        <v>-1.480959097320167E-2</v>
      </c>
      <c r="BR4" s="98">
        <v>0.32105263157894731</v>
      </c>
      <c r="BS4" s="98">
        <v>0.1816638370118844</v>
      </c>
      <c r="BT4" s="98">
        <v>0.20285714285714279</v>
      </c>
      <c r="BU4" s="98"/>
      <c r="BV4" s="98">
        <v>5.921052631578938E-2</v>
      </c>
      <c r="BW4" s="98">
        <v>8.2267573696145124E-2</v>
      </c>
      <c r="BX4" s="98">
        <v>-1.66186461670137E-3</v>
      </c>
      <c r="BY4" s="98"/>
      <c r="BZ4" s="98">
        <v>-2.1113243761996081E-2</v>
      </c>
      <c r="CA4" s="98">
        <v>3.4482758620689717E-2</v>
      </c>
      <c r="CB4" s="98">
        <v>3.043522369889429E-2</v>
      </c>
      <c r="CC4" s="98">
        <v>-6.307781797779799E-3</v>
      </c>
      <c r="CD4" s="98">
        <v>0.64981949458483768</v>
      </c>
      <c r="CE4" s="98">
        <v>0.85542168674698793</v>
      </c>
      <c r="CF4" s="98"/>
      <c r="CG4" s="98"/>
      <c r="CH4" s="98"/>
      <c r="CI4" s="98"/>
      <c r="CJ4" s="98">
        <v>1.739423599447654E-2</v>
      </c>
      <c r="CK4" s="98">
        <v>-7.6086956521739135E-2</v>
      </c>
      <c r="CL4" s="98">
        <v>0.13020833333333329</v>
      </c>
      <c r="CM4" s="98"/>
      <c r="CN4" s="98">
        <v>-6.5654008438818523E-2</v>
      </c>
      <c r="CO4" s="98">
        <v>-0.14583738194255519</v>
      </c>
      <c r="CP4" s="98"/>
      <c r="CQ4" s="98">
        <v>0.22222222222222229</v>
      </c>
      <c r="CR4" s="98"/>
      <c r="CS4" s="98">
        <v>-0.1046931407942239</v>
      </c>
      <c r="CT4" s="98">
        <v>6.9306930693069146E-2</v>
      </c>
      <c r="CU4" s="98">
        <v>1.6181229773462921E-2</v>
      </c>
      <c r="CV4" s="98">
        <v>-1.909649954726278E-2</v>
      </c>
      <c r="CW4" s="98">
        <v>3.7109855001228993E-2</v>
      </c>
      <c r="CX4" s="98">
        <v>6.4422378299830552E-2</v>
      </c>
      <c r="CY4" s="98">
        <v>6.6666666666666652E-2</v>
      </c>
      <c r="CZ4" s="98">
        <v>5.8041866939104736E-3</v>
      </c>
      <c r="DA4" s="98">
        <v>0.2494089834515365</v>
      </c>
      <c r="DB4" s="98"/>
      <c r="DC4" s="98">
        <v>3.1779237593736687E-2</v>
      </c>
      <c r="DD4" s="98">
        <v>-4.7901740020470873E-2</v>
      </c>
      <c r="DE4" s="98"/>
      <c r="DF4" s="98">
        <v>0.21739130434782619</v>
      </c>
      <c r="DG4" s="98"/>
      <c r="DH4" s="98"/>
      <c r="DI4" s="98">
        <v>0.14895138226882751</v>
      </c>
      <c r="DJ4" s="98">
        <v>-6.5975494816211677E-3</v>
      </c>
      <c r="DK4" s="98">
        <v>-0.71971185330713816</v>
      </c>
      <c r="DL4" s="98"/>
      <c r="DM4" s="98">
        <v>-0.1175847457627118</v>
      </c>
      <c r="DN4" s="98">
        <v>-0.21865284974093269</v>
      </c>
      <c r="DO4" s="98"/>
      <c r="DP4" s="98">
        <v>1.354209871422629E-2</v>
      </c>
      <c r="DQ4" s="98">
        <v>-0.1116279069767442</v>
      </c>
      <c r="DR4" s="98">
        <v>0.90944881889763796</v>
      </c>
      <c r="DS4" s="98">
        <v>3.0769230769230878E-2</v>
      </c>
      <c r="DT4" s="98"/>
      <c r="DU4" s="98"/>
      <c r="DV4" s="98"/>
      <c r="DW4" s="98"/>
      <c r="DX4" s="98"/>
      <c r="DY4" s="98">
        <v>-0.13664596273291929</v>
      </c>
      <c r="DZ4" s="98">
        <v>0.22360248447204939</v>
      </c>
      <c r="EA4" s="98">
        <v>-1.7341040462427681E-2</v>
      </c>
      <c r="EB4" s="98">
        <v>0.35483870967741932</v>
      </c>
      <c r="EC4" s="98">
        <v>-4.5296167247386721E-2</v>
      </c>
      <c r="ED4" s="98">
        <v>7.6923076923076872E-2</v>
      </c>
      <c r="EE4" s="98">
        <v>-0.28481012658227839</v>
      </c>
      <c r="EF4" s="98">
        <v>0.1547987616099071</v>
      </c>
      <c r="EG4" s="98">
        <v>-4.8881524440762207E-2</v>
      </c>
      <c r="EH4" s="98"/>
      <c r="EI4" s="98"/>
      <c r="EJ4" s="98"/>
      <c r="EK4" s="98">
        <v>0.31318681318681341</v>
      </c>
      <c r="EL4" s="98">
        <v>0.90370370370370345</v>
      </c>
      <c r="EM4" s="98">
        <v>0.52647975077881637</v>
      </c>
      <c r="EN4" s="98">
        <v>7.7952343146046044E-2</v>
      </c>
      <c r="EO4" s="98">
        <v>-0.37333333333333329</v>
      </c>
    </row>
    <row r="5" spans="1:145" x14ac:dyDescent="0.25">
      <c r="A5">
        <v>2020</v>
      </c>
      <c r="B5">
        <v>6</v>
      </c>
      <c r="C5" s="98">
        <v>1.7760594009069711E-2</v>
      </c>
      <c r="D5" s="98">
        <v>0</v>
      </c>
      <c r="E5" s="98">
        <v>0.14893617021276609</v>
      </c>
      <c r="F5" s="98">
        <v>-0.1419753086419753</v>
      </c>
      <c r="G5" s="98"/>
      <c r="H5" s="98">
        <v>1.265822784810133E-2</v>
      </c>
      <c r="I5" s="98"/>
      <c r="J5" s="98">
        <v>0.20493562231759671</v>
      </c>
      <c r="K5" s="98">
        <v>-2.2587268993839889E-2</v>
      </c>
      <c r="L5" s="98"/>
      <c r="M5" s="98">
        <v>4.1210560206052849E-2</v>
      </c>
      <c r="N5" s="98"/>
      <c r="O5" s="98"/>
      <c r="P5" s="98">
        <v>-2.0533880903490509E-3</v>
      </c>
      <c r="Q5" s="98">
        <v>-5.46875E-2</v>
      </c>
      <c r="R5" s="98">
        <v>8.1154192966634842E-3</v>
      </c>
      <c r="S5" s="98"/>
      <c r="T5" s="98">
        <v>-0.1313131313131313</v>
      </c>
      <c r="U5" s="98"/>
      <c r="V5" s="98">
        <v>0</v>
      </c>
      <c r="W5" s="98"/>
      <c r="X5" s="98">
        <v>6.8849051701740605E-2</v>
      </c>
      <c r="Y5" s="98">
        <v>-4.6979865771812117E-2</v>
      </c>
      <c r="Z5" s="98"/>
      <c r="AA5" s="98"/>
      <c r="AB5" s="98">
        <v>-1.540639921406883E-2</v>
      </c>
      <c r="AC5" s="98"/>
      <c r="AD5" s="98"/>
      <c r="AE5" s="98">
        <v>7.7504725897920457E-2</v>
      </c>
      <c r="AF5" s="98"/>
      <c r="AG5" s="98"/>
      <c r="AH5" s="98">
        <v>1.0752688172042999E-2</v>
      </c>
      <c r="AI5" s="98">
        <v>-0.1954887218045113</v>
      </c>
      <c r="AJ5" s="98"/>
      <c r="AK5" s="98">
        <v>0.56701030927835028</v>
      </c>
      <c r="AL5" s="98">
        <v>-0.20634920634920639</v>
      </c>
      <c r="AM5" s="98">
        <v>0.1109643328929986</v>
      </c>
      <c r="AN5" s="98">
        <v>0.48888888888888887</v>
      </c>
      <c r="AO5" s="98">
        <v>6.0422960725075034E-3</v>
      </c>
      <c r="AP5" s="98">
        <v>0.42533936651583709</v>
      </c>
      <c r="AQ5" s="98"/>
      <c r="AR5" s="98">
        <v>0.30184331797235031</v>
      </c>
      <c r="AS5" s="98"/>
      <c r="AT5" s="98">
        <v>-5.8095238095238089E-2</v>
      </c>
      <c r="AU5" s="98"/>
      <c r="AV5" s="98">
        <v>-8.5470085470085166E-3</v>
      </c>
      <c r="AW5" s="98">
        <v>1.8682858477345741E-3</v>
      </c>
      <c r="AX5" s="98">
        <v>-0.17497760525530021</v>
      </c>
      <c r="AY5" s="98">
        <v>0.17424242424242431</v>
      </c>
      <c r="AZ5" s="98">
        <v>0.159737417943107</v>
      </c>
      <c r="BA5" s="98">
        <v>0.21099834788765651</v>
      </c>
      <c r="BB5" s="98">
        <v>0.1847826086956523</v>
      </c>
      <c r="BC5" s="98">
        <v>0.4331983805668016</v>
      </c>
      <c r="BD5" s="98"/>
      <c r="BE5" s="98">
        <v>-1.730103806228378E-2</v>
      </c>
      <c r="BF5" s="98">
        <v>-0.1162790697674418</v>
      </c>
      <c r="BG5" s="98">
        <v>-8.136614766449024E-2</v>
      </c>
      <c r="BH5" s="98"/>
      <c r="BI5" s="98"/>
      <c r="BJ5" s="98">
        <v>0.54594594594594592</v>
      </c>
      <c r="BK5" s="98">
        <v>-0.10726643598615911</v>
      </c>
      <c r="BL5" s="98"/>
      <c r="BM5" s="98">
        <v>-3.6968576709796697E-2</v>
      </c>
      <c r="BN5" s="98"/>
      <c r="BO5" s="98">
        <v>3.4482758620689717E-2</v>
      </c>
      <c r="BP5" s="98"/>
      <c r="BQ5" s="98">
        <v>7.158196134573469E-4</v>
      </c>
      <c r="BR5" s="98">
        <v>0.1314741035856575</v>
      </c>
      <c r="BS5" s="98">
        <v>0.22940613026819931</v>
      </c>
      <c r="BT5" s="98">
        <v>-0.71733966745843225</v>
      </c>
      <c r="BU5" s="98"/>
      <c r="BV5" s="98">
        <v>4.1407867494824826E-3</v>
      </c>
      <c r="BW5" s="98">
        <v>-7.5259805564867555E-2</v>
      </c>
      <c r="BX5" s="98">
        <v>-5.4587913565168011E-2</v>
      </c>
      <c r="BY5" s="98"/>
      <c r="BZ5" s="98">
        <v>-5.6862745098039243E-2</v>
      </c>
      <c r="CA5" s="98">
        <v>-1.5666666666666721E-2</v>
      </c>
      <c r="CB5" s="98">
        <v>0.10121098749630809</v>
      </c>
      <c r="CC5" s="98">
        <v>7.3422731487247539E-2</v>
      </c>
      <c r="CD5" s="98">
        <v>0.37855579868708977</v>
      </c>
      <c r="CE5" s="98">
        <v>-8.8744588744588793E-2</v>
      </c>
      <c r="CF5" s="98"/>
      <c r="CG5" s="98"/>
      <c r="CH5" s="98"/>
      <c r="CI5" s="98"/>
      <c r="CJ5" s="98">
        <v>-3.433744601910782E-2</v>
      </c>
      <c r="CK5" s="98">
        <v>0.35294117647058831</v>
      </c>
      <c r="CL5" s="98">
        <v>6.7281105990783407E-2</v>
      </c>
      <c r="CM5" s="98"/>
      <c r="CN5" s="98">
        <v>-5.1661849710982637E-2</v>
      </c>
      <c r="CO5" s="98">
        <v>0</v>
      </c>
      <c r="CP5" s="98"/>
      <c r="CQ5" s="98">
        <v>0.18323863636363649</v>
      </c>
      <c r="CR5" s="98"/>
      <c r="CS5" s="98">
        <v>-1.0752688172042999E-2</v>
      </c>
      <c r="CT5" s="98">
        <v>0.72222222222222232</v>
      </c>
      <c r="CU5" s="98">
        <v>0.1242038216560508</v>
      </c>
      <c r="CV5" s="98">
        <v>7.3585706348406887E-3</v>
      </c>
      <c r="CW5" s="98">
        <v>-0.1099526066350711</v>
      </c>
      <c r="CX5" s="98">
        <v>0.19385665529010221</v>
      </c>
      <c r="CY5" s="98">
        <v>0.125</v>
      </c>
      <c r="CZ5" s="98">
        <v>-0.14375602889095671</v>
      </c>
      <c r="DA5" s="98">
        <v>-0.22161778618732281</v>
      </c>
      <c r="DB5" s="98"/>
      <c r="DC5" s="98">
        <v>9.1291706055864896E-3</v>
      </c>
      <c r="DD5" s="98">
        <v>-9.4316634415537837E-2</v>
      </c>
      <c r="DE5" s="98"/>
      <c r="DF5" s="98">
        <v>2.3809523809523721E-2</v>
      </c>
      <c r="DG5" s="98"/>
      <c r="DH5" s="98"/>
      <c r="DI5" s="98">
        <v>-7.1769342460070495E-2</v>
      </c>
      <c r="DJ5" s="98">
        <v>1.9924098671726839E-2</v>
      </c>
      <c r="DK5" s="98">
        <v>0.43925233644859812</v>
      </c>
      <c r="DL5" s="98"/>
      <c r="DM5" s="98">
        <v>-0.11644657863145259</v>
      </c>
      <c r="DN5" s="98">
        <v>-3.9787798408488229E-3</v>
      </c>
      <c r="DO5" s="98"/>
      <c r="DP5" s="98">
        <v>-1.3361160558999829E-2</v>
      </c>
      <c r="DQ5" s="98">
        <v>4.7120418848167533E-2</v>
      </c>
      <c r="DR5" s="98">
        <v>-0.26597938144329891</v>
      </c>
      <c r="DS5" s="98">
        <v>-1.5339966832504159E-2</v>
      </c>
      <c r="DT5" s="98"/>
      <c r="DU5" s="98"/>
      <c r="DV5" s="98"/>
      <c r="DW5" s="98"/>
      <c r="DX5" s="98"/>
      <c r="DY5" s="98">
        <v>-0.1294964028776979</v>
      </c>
      <c r="DZ5" s="98">
        <v>-0.2781725888324873</v>
      </c>
      <c r="EA5" s="98">
        <v>2.3529411764706021E-2</v>
      </c>
      <c r="EB5" s="98">
        <v>0.35714285714285721</v>
      </c>
      <c r="EC5" s="98">
        <v>1.4014598540145979</v>
      </c>
      <c r="ED5" s="98">
        <v>0.10714285714285721</v>
      </c>
      <c r="EE5" s="98">
        <v>0.1061946902654867</v>
      </c>
      <c r="EF5" s="98">
        <v>-0.1045576407506703</v>
      </c>
      <c r="EG5" s="98">
        <v>-4.09407665505227E-2</v>
      </c>
      <c r="EH5" s="98"/>
      <c r="EI5" s="98"/>
      <c r="EJ5" s="98"/>
      <c r="EK5" s="98">
        <v>-0.27615062761506282</v>
      </c>
      <c r="EL5" s="98">
        <v>-0.48249027237354081</v>
      </c>
      <c r="EM5" s="98">
        <v>0.29931972789115641</v>
      </c>
      <c r="EN5" s="98">
        <v>-1.6858777392348308E-2</v>
      </c>
      <c r="EO5" s="98">
        <v>0.52659574468085091</v>
      </c>
    </row>
    <row r="6" spans="1:145" x14ac:dyDescent="0.25">
      <c r="A6">
        <v>2020</v>
      </c>
      <c r="B6">
        <v>7</v>
      </c>
      <c r="C6" s="98">
        <v>5.8892329817333611E-2</v>
      </c>
      <c r="D6" s="98">
        <v>1.095839135738519E-4</v>
      </c>
      <c r="E6" s="98">
        <v>0.32716049382716039</v>
      </c>
      <c r="F6" s="98">
        <v>0.15827338129496391</v>
      </c>
      <c r="G6" s="98"/>
      <c r="H6" s="98">
        <v>0.23125000000000001</v>
      </c>
      <c r="I6" s="98"/>
      <c r="J6" s="98">
        <v>-0.10863757791629571</v>
      </c>
      <c r="K6" s="98">
        <v>-9.0336134453781414E-2</v>
      </c>
      <c r="L6" s="98"/>
      <c r="M6" s="98">
        <v>-8.4415584415584499E-2</v>
      </c>
      <c r="N6" s="98"/>
      <c r="O6" s="98"/>
      <c r="P6" s="98">
        <v>8.2304526748971041E-2</v>
      </c>
      <c r="Q6" s="98">
        <v>-4.9586776859504078E-2</v>
      </c>
      <c r="R6" s="98">
        <v>-6.0822898032200312E-2</v>
      </c>
      <c r="S6" s="98"/>
      <c r="T6" s="98">
        <v>4.7209302325581293E-2</v>
      </c>
      <c r="U6" s="98"/>
      <c r="V6" s="98">
        <v>-3.0940594059405972E-2</v>
      </c>
      <c r="W6" s="98"/>
      <c r="X6" s="98">
        <v>-0.13308215848322799</v>
      </c>
      <c r="Y6" s="98">
        <v>-2.112676056338025E-2</v>
      </c>
      <c r="Z6" s="98"/>
      <c r="AA6" s="98"/>
      <c r="AB6" s="98">
        <v>5.2111105724950146E-3</v>
      </c>
      <c r="AC6" s="98"/>
      <c r="AD6" s="98"/>
      <c r="AE6" s="98">
        <v>-3.8596491228070073E-2</v>
      </c>
      <c r="AF6" s="98"/>
      <c r="AG6" s="98"/>
      <c r="AH6" s="98">
        <v>-0.1276595744680851</v>
      </c>
      <c r="AI6" s="98">
        <v>-0.13084112149532709</v>
      </c>
      <c r="AJ6" s="98"/>
      <c r="AK6" s="98">
        <v>0.11184210526315801</v>
      </c>
      <c r="AL6" s="98">
        <v>-9.828571428571431E-2</v>
      </c>
      <c r="AM6" s="98">
        <v>-0.1111771700356718</v>
      </c>
      <c r="AN6" s="98">
        <v>-0.28358208955223879</v>
      </c>
      <c r="AO6" s="98">
        <v>0</v>
      </c>
      <c r="AP6" s="98">
        <v>-0.29365079365079361</v>
      </c>
      <c r="AQ6" s="98"/>
      <c r="AR6" s="98">
        <v>0.1415929203539823</v>
      </c>
      <c r="AS6" s="98"/>
      <c r="AT6" s="98">
        <v>0.1223458038422649</v>
      </c>
      <c r="AU6" s="98"/>
      <c r="AV6" s="98">
        <v>-0.15517241379310329</v>
      </c>
      <c r="AW6" s="98">
        <v>0.1016317016317017</v>
      </c>
      <c r="AX6" s="98">
        <v>-0.26927252985884897</v>
      </c>
      <c r="AY6" s="98">
        <v>0.19354838709677419</v>
      </c>
      <c r="AZ6" s="98">
        <v>-0.38490566037735852</v>
      </c>
      <c r="BA6" s="98">
        <v>-0.26661469499122981</v>
      </c>
      <c r="BB6" s="98">
        <v>0.22568807339449529</v>
      </c>
      <c r="BC6" s="98">
        <v>4.2372881355932313E-2</v>
      </c>
      <c r="BD6" s="98"/>
      <c r="BE6" s="98">
        <v>0.23943661971831001</v>
      </c>
      <c r="BF6" s="98">
        <v>-6.5789473684210509E-2</v>
      </c>
      <c r="BG6" s="98">
        <v>-0.1323127392017496</v>
      </c>
      <c r="BH6" s="98"/>
      <c r="BI6" s="98"/>
      <c r="BJ6" s="98">
        <v>0.41258741258741249</v>
      </c>
      <c r="BK6" s="98">
        <v>5.8139534883721027E-2</v>
      </c>
      <c r="BL6" s="98"/>
      <c r="BM6" s="98">
        <v>5.1823416506717963E-2</v>
      </c>
      <c r="BN6" s="98"/>
      <c r="BO6" s="98">
        <v>1.6666666666666611E-2</v>
      </c>
      <c r="BP6" s="98"/>
      <c r="BQ6" s="98">
        <v>-3.1115879828326198E-2</v>
      </c>
      <c r="BR6" s="98">
        <v>-6.3380281690140761E-2</v>
      </c>
      <c r="BS6" s="98">
        <v>-0.2276977015971953</v>
      </c>
      <c r="BT6" s="98">
        <v>-0.12605042016806731</v>
      </c>
      <c r="BU6" s="98"/>
      <c r="BV6" s="98">
        <v>0.34804123711340212</v>
      </c>
      <c r="BW6" s="98">
        <v>-1.8941453688598901E-2</v>
      </c>
      <c r="BX6" s="98">
        <v>3.6478409526718991E-2</v>
      </c>
      <c r="BY6" s="98"/>
      <c r="BZ6" s="98">
        <v>-0.15176715176715169</v>
      </c>
      <c r="CA6" s="98">
        <v>0.34050118523535389</v>
      </c>
      <c r="CB6" s="98">
        <v>4.7653106839517401E-2</v>
      </c>
      <c r="CC6" s="98">
        <v>-8.4602135455208782E-2</v>
      </c>
      <c r="CD6" s="98">
        <v>0.2222222222222221</v>
      </c>
      <c r="CE6" s="98">
        <v>-0.34323040380047498</v>
      </c>
      <c r="CF6" s="98">
        <v>0.18165784832451501</v>
      </c>
      <c r="CG6" s="98"/>
      <c r="CH6" s="98"/>
      <c r="CI6" s="98"/>
      <c r="CJ6" s="98">
        <v>3.7629918409750163E-2</v>
      </c>
      <c r="CK6" s="98">
        <v>6.956521739130439E-2</v>
      </c>
      <c r="CL6" s="98">
        <v>-4.3177892918825567E-2</v>
      </c>
      <c r="CM6" s="98"/>
      <c r="CN6" s="98">
        <v>2.0952380952381059E-2</v>
      </c>
      <c r="CO6" s="98">
        <v>-0.12194705768596351</v>
      </c>
      <c r="CP6" s="98"/>
      <c r="CQ6" s="98">
        <v>-5.8823529411764719E-2</v>
      </c>
      <c r="CR6" s="98"/>
      <c r="CS6" s="98">
        <v>-0.12839673913043481</v>
      </c>
      <c r="CT6" s="98">
        <v>-0.31518817204301081</v>
      </c>
      <c r="CU6" s="98">
        <v>3.966005665722383E-2</v>
      </c>
      <c r="CV6" s="98">
        <v>-0.11705079931729059</v>
      </c>
      <c r="CW6" s="98">
        <v>-9.8509052183174406E-3</v>
      </c>
      <c r="CX6" s="98">
        <v>2.668191347436677E-3</v>
      </c>
      <c r="CY6" s="98">
        <v>-5.555555555555558E-2</v>
      </c>
      <c r="CZ6" s="98">
        <v>0.1883011417015652</v>
      </c>
      <c r="DA6" s="98">
        <v>1.0635065329687171E-2</v>
      </c>
      <c r="DB6" s="98"/>
      <c r="DC6" s="98">
        <v>-4.0707536245793263E-2</v>
      </c>
      <c r="DD6" s="98">
        <v>0.18746537944132299</v>
      </c>
      <c r="DE6" s="98"/>
      <c r="DF6" s="98">
        <v>-0.23255813953488369</v>
      </c>
      <c r="DG6" s="98"/>
      <c r="DH6" s="98"/>
      <c r="DI6" s="98">
        <v>-0.1872625698324023</v>
      </c>
      <c r="DJ6" s="98">
        <v>-4.6511627906977706E-3</v>
      </c>
      <c r="DK6" s="98">
        <v>2.9220779220779258E-2</v>
      </c>
      <c r="DL6" s="98"/>
      <c r="DM6" s="98">
        <v>1.9021739130434812E-2</v>
      </c>
      <c r="DN6" s="98">
        <v>-0.1371504660452729</v>
      </c>
      <c r="DO6" s="98"/>
      <c r="DP6" s="98">
        <v>8.629199502281204E-2</v>
      </c>
      <c r="DQ6" s="98">
        <v>-9.9999999999999978E-2</v>
      </c>
      <c r="DR6" s="98">
        <v>0.2893258426966292</v>
      </c>
      <c r="DS6" s="98">
        <v>-6.2526315789473652E-2</v>
      </c>
      <c r="DT6" s="98"/>
      <c r="DU6" s="98"/>
      <c r="DV6" s="98"/>
      <c r="DW6" s="98"/>
      <c r="DX6" s="98"/>
      <c r="DY6" s="98">
        <v>-9.9173553719008156E-2</v>
      </c>
      <c r="DZ6" s="98">
        <v>3.7974683544303778E-2</v>
      </c>
      <c r="EA6" s="98">
        <v>0.4913793103448274</v>
      </c>
      <c r="EB6" s="98">
        <v>1.0175438596491231</v>
      </c>
      <c r="EC6" s="98">
        <v>-0.24468085106382989</v>
      </c>
      <c r="ED6" s="98">
        <v>-6.1290322580645151E-2</v>
      </c>
      <c r="EE6" s="98">
        <v>0.48</v>
      </c>
      <c r="EF6" s="98">
        <v>-0.15269461077844301</v>
      </c>
      <c r="EG6" s="98">
        <v>-0.40417801998183472</v>
      </c>
      <c r="EH6" s="98"/>
      <c r="EI6" s="98"/>
      <c r="EJ6" s="98"/>
      <c r="EK6" s="98">
        <v>-6.9364161849710948E-2</v>
      </c>
      <c r="EL6" s="98">
        <v>7.5187969924811915E-2</v>
      </c>
      <c r="EM6" s="98">
        <v>0.72774869109947637</v>
      </c>
      <c r="EN6" s="98">
        <v>0.1083789589778239</v>
      </c>
      <c r="EO6" s="98">
        <v>0.44947735191637639</v>
      </c>
    </row>
    <row r="7" spans="1:145" x14ac:dyDescent="0.25">
      <c r="A7">
        <v>2020</v>
      </c>
      <c r="B7">
        <v>8</v>
      </c>
      <c r="C7" s="98">
        <v>6.9796714935401294E-2</v>
      </c>
      <c r="D7" s="98">
        <v>0</v>
      </c>
      <c r="E7" s="98">
        <v>0.144186046511628</v>
      </c>
      <c r="F7" s="98">
        <v>-0.1428571428571429</v>
      </c>
      <c r="G7" s="98"/>
      <c r="H7" s="98">
        <v>0.7715736040609138</v>
      </c>
      <c r="I7" s="98"/>
      <c r="J7" s="98">
        <v>1.7982017982018039E-2</v>
      </c>
      <c r="K7" s="98">
        <v>-5.0808314087759758E-2</v>
      </c>
      <c r="L7" s="98"/>
      <c r="M7" s="98">
        <v>5.9101654846335672E-2</v>
      </c>
      <c r="N7" s="98"/>
      <c r="O7" s="98"/>
      <c r="P7" s="98">
        <v>0.49429657794676829</v>
      </c>
      <c r="Q7" s="98">
        <v>-0.16521739130434779</v>
      </c>
      <c r="R7" s="98">
        <v>-0.1761904761904762</v>
      </c>
      <c r="S7" s="98"/>
      <c r="T7" s="98">
        <v>-0.10059960026648899</v>
      </c>
      <c r="U7" s="98"/>
      <c r="V7" s="98">
        <v>-6.6411238825031971E-2</v>
      </c>
      <c r="W7" s="98"/>
      <c r="X7" s="98">
        <v>2.7758306462918991E-2</v>
      </c>
      <c r="Y7" s="98">
        <v>-0.23741007194244601</v>
      </c>
      <c r="Z7" s="98"/>
      <c r="AA7" s="98"/>
      <c r="AB7" s="98">
        <v>6.0346490487787063E-2</v>
      </c>
      <c r="AC7" s="98"/>
      <c r="AD7" s="98"/>
      <c r="AE7" s="98">
        <v>-5.7177615571776141E-2</v>
      </c>
      <c r="AF7" s="98"/>
      <c r="AG7" s="98"/>
      <c r="AH7" s="98">
        <v>4.8780487804878092E-2</v>
      </c>
      <c r="AI7" s="98">
        <v>0.15591397849462371</v>
      </c>
      <c r="AJ7" s="98"/>
      <c r="AK7" s="98">
        <v>-0.37278106508875741</v>
      </c>
      <c r="AL7" s="98">
        <v>0.20785804816223069</v>
      </c>
      <c r="AM7" s="98">
        <v>-0.15050167224080269</v>
      </c>
      <c r="AN7" s="98">
        <v>-0.1870833333333333</v>
      </c>
      <c r="AO7" s="98">
        <v>-3.3033033033032948E-2</v>
      </c>
      <c r="AP7" s="98">
        <v>4.9438202247190872E-2</v>
      </c>
      <c r="AQ7" s="98"/>
      <c r="AR7" s="98">
        <v>-0.27906976744186052</v>
      </c>
      <c r="AS7" s="98"/>
      <c r="AT7" s="98">
        <v>-2.702702702702697E-2</v>
      </c>
      <c r="AU7" s="98"/>
      <c r="AV7" s="98">
        <v>-0.1147959183673469</v>
      </c>
      <c r="AW7" s="98">
        <v>0.2297926364790521</v>
      </c>
      <c r="AX7" s="98">
        <v>0.1510648836057453</v>
      </c>
      <c r="AY7" s="98">
        <v>-0.31345945945945941</v>
      </c>
      <c r="AZ7" s="98">
        <v>0.1840490797546013</v>
      </c>
      <c r="BA7" s="98">
        <v>-4.0659048631411121E-2</v>
      </c>
      <c r="BB7" s="98">
        <v>0.1736526946107784</v>
      </c>
      <c r="BC7" s="98">
        <v>0.211382113821138</v>
      </c>
      <c r="BD7" s="98"/>
      <c r="BE7" s="98">
        <v>-2.8409090909091721E-3</v>
      </c>
      <c r="BF7" s="98">
        <v>-0.24633802816901409</v>
      </c>
      <c r="BG7" s="98">
        <v>-0.54190296156269691</v>
      </c>
      <c r="BH7" s="98"/>
      <c r="BI7" s="98"/>
      <c r="BJ7" s="98">
        <v>-0.18069306930693069</v>
      </c>
      <c r="BK7" s="98">
        <v>-2.9304029304029311E-2</v>
      </c>
      <c r="BL7" s="98"/>
      <c r="BM7" s="98">
        <v>0.25729927007299258</v>
      </c>
      <c r="BN7" s="98"/>
      <c r="BO7" s="98">
        <v>0.96721311475409832</v>
      </c>
      <c r="BP7" s="98"/>
      <c r="BQ7" s="98">
        <v>-0.13547434477667031</v>
      </c>
      <c r="BR7" s="98">
        <v>-0.14285714285714299</v>
      </c>
      <c r="BS7" s="98">
        <v>-8.0958385876418681E-2</v>
      </c>
      <c r="BT7" s="98">
        <v>-0.25</v>
      </c>
      <c r="BU7" s="98"/>
      <c r="BV7" s="98">
        <v>-0.38819210767818901</v>
      </c>
      <c r="BW7" s="98">
        <v>0.24147806004618921</v>
      </c>
      <c r="BX7" s="98">
        <v>5.9470548900419702E-2</v>
      </c>
      <c r="BY7" s="98"/>
      <c r="BZ7" s="98">
        <v>-4.9019607843137081E-3</v>
      </c>
      <c r="CA7" s="98">
        <v>-0.12625152625152619</v>
      </c>
      <c r="CB7" s="98">
        <v>-0.1295442908346135</v>
      </c>
      <c r="CC7" s="98">
        <v>-7.7861481628578311E-3</v>
      </c>
      <c r="CD7" s="98">
        <v>-3.8961038961038967E-2</v>
      </c>
      <c r="CE7" s="98">
        <v>-7.4141048824593159E-2</v>
      </c>
      <c r="CF7" s="98">
        <v>-2.4626865671641851E-2</v>
      </c>
      <c r="CG7" s="98"/>
      <c r="CH7" s="98"/>
      <c r="CI7" s="98"/>
      <c r="CJ7" s="98">
        <v>6.2687631001926869E-2</v>
      </c>
      <c r="CK7" s="98">
        <v>-0.26317073170731708</v>
      </c>
      <c r="CL7" s="98">
        <v>-0.12725631768953069</v>
      </c>
      <c r="CM7" s="98"/>
      <c r="CN7" s="98">
        <v>-1.8656716417910779E-3</v>
      </c>
      <c r="CO7" s="98">
        <v>0.1111067925946079</v>
      </c>
      <c r="CP7" s="98"/>
      <c r="CQ7" s="98">
        <v>0.10969387755102029</v>
      </c>
      <c r="CR7" s="98"/>
      <c r="CS7" s="98">
        <v>-6.8589243959470081E-2</v>
      </c>
      <c r="CT7" s="98">
        <v>-0.1069676153091266</v>
      </c>
      <c r="CU7" s="98">
        <v>-4.9046321525885513E-2</v>
      </c>
      <c r="CV7" s="98">
        <v>-7.4803130241457572E-2</v>
      </c>
      <c r="CW7" s="98">
        <v>-2.0435600968002121E-2</v>
      </c>
      <c r="CX7" s="98">
        <v>0.18836723056453161</v>
      </c>
      <c r="CY7" s="98">
        <v>-7.6470588235294068E-2</v>
      </c>
      <c r="CZ7" s="98">
        <v>-1.7932637869925491E-2</v>
      </c>
      <c r="DA7" s="98">
        <v>0.10523150932050521</v>
      </c>
      <c r="DB7" s="98">
        <v>7.9862601975096537E-2</v>
      </c>
      <c r="DC7" s="98">
        <v>-9.3434771828633245E-3</v>
      </c>
      <c r="DD7" s="98">
        <v>0.60822337731574039</v>
      </c>
      <c r="DE7" s="98"/>
      <c r="DF7" s="98">
        <v>-0.18939393939393939</v>
      </c>
      <c r="DG7" s="98"/>
      <c r="DH7" s="98"/>
      <c r="DI7" s="98">
        <v>-1.8971679956007681E-2</v>
      </c>
      <c r="DJ7" s="98">
        <v>-4.6728971962616273E-3</v>
      </c>
      <c r="DK7" s="98">
        <v>-9.4637223974762819E-3</v>
      </c>
      <c r="DL7" s="98"/>
      <c r="DM7" s="98">
        <v>0.14133333333333331</v>
      </c>
      <c r="DN7" s="98">
        <v>-0.12808641975308641</v>
      </c>
      <c r="DO7" s="98"/>
      <c r="DP7" s="98">
        <v>8.2549015864531006E-2</v>
      </c>
      <c r="DQ7" s="98">
        <v>-0.2055555555555556</v>
      </c>
      <c r="DR7" s="98">
        <v>-0.1971677559912853</v>
      </c>
      <c r="DS7" s="98">
        <v>-1.235122389400412E-2</v>
      </c>
      <c r="DT7" s="98"/>
      <c r="DU7" s="98"/>
      <c r="DV7" s="98"/>
      <c r="DW7" s="98"/>
      <c r="DX7" s="98"/>
      <c r="DY7" s="98">
        <v>0.14678899082568811</v>
      </c>
      <c r="DZ7" s="98">
        <v>-9.0785907859078585E-2</v>
      </c>
      <c r="EA7" s="98">
        <v>-0.51445086705202314</v>
      </c>
      <c r="EB7" s="98">
        <v>-0.79069565217391302</v>
      </c>
      <c r="EC7" s="98">
        <v>-0.18913480885311859</v>
      </c>
      <c r="ED7" s="98">
        <v>-0.20687285223367699</v>
      </c>
      <c r="EE7" s="98">
        <v>-0.21081081081081079</v>
      </c>
      <c r="EF7" s="98">
        <v>-2.1201413427561881E-2</v>
      </c>
      <c r="EG7" s="98">
        <v>0.40091463414634138</v>
      </c>
      <c r="EH7" s="98"/>
      <c r="EI7" s="98"/>
      <c r="EJ7" s="98"/>
      <c r="EK7" s="98">
        <v>-4.9689440993788907E-2</v>
      </c>
      <c r="EL7" s="98">
        <v>0.64510489510489522</v>
      </c>
      <c r="EM7" s="98">
        <v>-0.25151515151515152</v>
      </c>
      <c r="EN7" s="98">
        <v>5.5510981778817303E-2</v>
      </c>
      <c r="EO7" s="98">
        <v>0.75456730769230784</v>
      </c>
    </row>
    <row r="8" spans="1:145" x14ac:dyDescent="0.25">
      <c r="A8">
        <v>2020</v>
      </c>
      <c r="B8">
        <v>9</v>
      </c>
      <c r="C8" s="98">
        <v>-3.7398487170201222E-2</v>
      </c>
      <c r="D8" s="98">
        <v>-2.1914381251131321E-4</v>
      </c>
      <c r="E8" s="98">
        <v>4.471544715447151E-2</v>
      </c>
      <c r="F8" s="98">
        <v>0.61594202898550732</v>
      </c>
      <c r="G8" s="98"/>
      <c r="H8" s="98">
        <v>-0.3209169054441261</v>
      </c>
      <c r="I8" s="98"/>
      <c r="J8" s="98">
        <v>-7.9980372914622122E-2</v>
      </c>
      <c r="K8" s="98">
        <v>-5.5961070559610859E-2</v>
      </c>
      <c r="L8" s="98"/>
      <c r="M8" s="98">
        <v>-0.10044642857142851</v>
      </c>
      <c r="N8" s="98"/>
      <c r="O8" s="98"/>
      <c r="P8" s="98">
        <v>-0.38231552162849869</v>
      </c>
      <c r="Q8" s="98">
        <v>3.3958333333333313E-2</v>
      </c>
      <c r="R8" s="98">
        <v>-9.0173410404624232E-2</v>
      </c>
      <c r="S8" s="98"/>
      <c r="T8" s="98">
        <v>-0.17814814814814831</v>
      </c>
      <c r="U8" s="98"/>
      <c r="V8" s="98">
        <v>-0.31053351573187421</v>
      </c>
      <c r="W8" s="98"/>
      <c r="X8" s="98">
        <v>-2.8099849952257561E-2</v>
      </c>
      <c r="Y8" s="98">
        <v>0.12264150943396231</v>
      </c>
      <c r="Z8" s="98"/>
      <c r="AA8" s="98"/>
      <c r="AB8" s="98">
        <v>-3.0706317307455318E-2</v>
      </c>
      <c r="AC8" s="98"/>
      <c r="AD8" s="98"/>
      <c r="AE8" s="98">
        <v>-0.1790322580645162</v>
      </c>
      <c r="AF8" s="98"/>
      <c r="AG8" s="98"/>
      <c r="AH8" s="98">
        <v>-0.1046511627906976</v>
      </c>
      <c r="AI8" s="98">
        <v>-0.18139534883720931</v>
      </c>
      <c r="AJ8" s="98"/>
      <c r="AK8" s="98">
        <v>-0.12301886792452831</v>
      </c>
      <c r="AL8" s="98">
        <v>9.2339979013641216E-2</v>
      </c>
      <c r="AM8" s="98">
        <v>0.37047244094488208</v>
      </c>
      <c r="AN8" s="98">
        <v>-6.5094823167606508E-2</v>
      </c>
      <c r="AO8" s="98">
        <v>-3.105590062111863E-3</v>
      </c>
      <c r="AP8" s="98">
        <v>0.29122055674518199</v>
      </c>
      <c r="AQ8" s="98"/>
      <c r="AR8" s="98">
        <v>0.118279569892473</v>
      </c>
      <c r="AS8" s="98"/>
      <c r="AT8" s="98">
        <v>-7.5277777777777777E-2</v>
      </c>
      <c r="AU8" s="98"/>
      <c r="AV8" s="98">
        <v>-1.440922190201732E-2</v>
      </c>
      <c r="AW8" s="98">
        <v>-3.8885065381968342E-2</v>
      </c>
      <c r="AX8" s="98">
        <v>-0.1247848537005163</v>
      </c>
      <c r="AY8" s="98">
        <v>8.6528619793716954E-2</v>
      </c>
      <c r="AZ8" s="98">
        <v>1.2953367875647709E-2</v>
      </c>
      <c r="BA8" s="98">
        <v>2.9639889196675821E-2</v>
      </c>
      <c r="BB8" s="98">
        <v>7.6530612244898322E-3</v>
      </c>
      <c r="BC8" s="98">
        <v>4.9217002237136542E-2</v>
      </c>
      <c r="BD8" s="98"/>
      <c r="BE8" s="98">
        <v>-0.1111111111111112</v>
      </c>
      <c r="BF8" s="98">
        <v>-3.1769762661184808E-2</v>
      </c>
      <c r="BG8" s="98">
        <v>9.0784044016506193E-2</v>
      </c>
      <c r="BH8" s="98"/>
      <c r="BI8" s="98"/>
      <c r="BJ8" s="98">
        <v>-6.0422960725075581E-2</v>
      </c>
      <c r="BK8" s="98">
        <v>-0.25660377358490571</v>
      </c>
      <c r="BL8" s="98"/>
      <c r="BM8" s="98">
        <v>-0.1886792452830188</v>
      </c>
      <c r="BN8" s="98"/>
      <c r="BO8" s="98">
        <v>-0.1333333333333333</v>
      </c>
      <c r="BP8" s="98"/>
      <c r="BQ8" s="98">
        <v>-0.1076003415883862</v>
      </c>
      <c r="BR8" s="98">
        <v>-8.7719298245613975E-2</v>
      </c>
      <c r="BS8" s="98">
        <v>0.40834248079034041</v>
      </c>
      <c r="BT8" s="98">
        <v>0.34615384615384631</v>
      </c>
      <c r="BU8" s="98"/>
      <c r="BV8" s="98">
        <v>-0.27625</v>
      </c>
      <c r="BW8" s="98">
        <v>6.101644467594336E-2</v>
      </c>
      <c r="BX8" s="98">
        <v>-2.952899958194144E-2</v>
      </c>
      <c r="BY8" s="98"/>
      <c r="BZ8" s="98">
        <v>-3.4482758620689613E-2</v>
      </c>
      <c r="CA8" s="98">
        <v>-0.22659547811337491</v>
      </c>
      <c r="CB8" s="98">
        <v>-6.5490196078431429E-2</v>
      </c>
      <c r="CC8" s="98">
        <v>-2.4932063144191829E-3</v>
      </c>
      <c r="CD8" s="98">
        <v>-4.7297297297297369E-2</v>
      </c>
      <c r="CE8" s="98">
        <v>-3.90625E-2</v>
      </c>
      <c r="CF8" s="98">
        <v>-0.1446059678653405</v>
      </c>
      <c r="CG8" s="98"/>
      <c r="CH8" s="98"/>
      <c r="CI8" s="98"/>
      <c r="CJ8" s="98">
        <v>-2.015727935701328E-2</v>
      </c>
      <c r="CK8" s="98">
        <v>-0.19452719849939321</v>
      </c>
      <c r="CL8" s="98">
        <v>-0.14219234746639089</v>
      </c>
      <c r="CM8" s="98"/>
      <c r="CN8" s="98">
        <v>2.803738317757043E-3</v>
      </c>
      <c r="CO8" s="98">
        <v>-0.39499551088464718</v>
      </c>
      <c r="CP8" s="98"/>
      <c r="CQ8" s="98">
        <v>-0.12528735632183899</v>
      </c>
      <c r="CR8" s="98"/>
      <c r="CS8" s="98">
        <v>-0.1543933054393305</v>
      </c>
      <c r="CT8" s="98">
        <v>-0.1428571428571429</v>
      </c>
      <c r="CU8" s="98">
        <v>-0.25214899713467048</v>
      </c>
      <c r="CV8" s="98">
        <v>-0.18446669041302721</v>
      </c>
      <c r="CW8" s="98">
        <v>-2.7449903925336189E-4</v>
      </c>
      <c r="CX8" s="98">
        <v>-3.8387715930902178E-2</v>
      </c>
      <c r="CY8" s="98">
        <v>0.26114649681528662</v>
      </c>
      <c r="CZ8" s="98">
        <v>-2.8841594662173061E-2</v>
      </c>
      <c r="DA8" s="98">
        <v>-2.4483133841131099E-3</v>
      </c>
      <c r="DB8" s="98">
        <v>-9.9403578528827086E-2</v>
      </c>
      <c r="DC8" s="98">
        <v>-0.1221805089025005</v>
      </c>
      <c r="DD8" s="98">
        <v>0.25815273691625568</v>
      </c>
      <c r="DE8" s="98"/>
      <c r="DF8" s="98">
        <v>0.1121495327102804</v>
      </c>
      <c r="DG8" s="98"/>
      <c r="DH8" s="98"/>
      <c r="DI8" s="98">
        <v>5.4372197309416892E-2</v>
      </c>
      <c r="DJ8" s="98">
        <v>9.3896713615022609E-3</v>
      </c>
      <c r="DK8" s="98">
        <v>2.6656050955414008</v>
      </c>
      <c r="DL8" s="98"/>
      <c r="DM8" s="98">
        <v>-0.12967289719626171</v>
      </c>
      <c r="DN8" s="98">
        <v>-0.21946902654867259</v>
      </c>
      <c r="DO8" s="98"/>
      <c r="DP8" s="98">
        <v>-1.151573935279071E-2</v>
      </c>
      <c r="DQ8" s="98">
        <v>0.31468531468531458</v>
      </c>
      <c r="DR8" s="98">
        <v>0.135685210312076</v>
      </c>
      <c r="DS8" s="98">
        <v>-5.2296498408367358E-2</v>
      </c>
      <c r="DT8" s="98"/>
      <c r="DU8" s="98"/>
      <c r="DV8" s="98"/>
      <c r="DW8" s="98"/>
      <c r="DX8" s="98"/>
      <c r="DY8" s="98">
        <v>0.1359999999999999</v>
      </c>
      <c r="DZ8" s="98">
        <v>-0.27719821162444108</v>
      </c>
      <c r="EA8" s="98">
        <v>-0.1071428571428571</v>
      </c>
      <c r="EB8" s="98">
        <v>0.1632737847943497</v>
      </c>
      <c r="EC8" s="98">
        <v>0</v>
      </c>
      <c r="ED8" s="98">
        <v>-0.28336221837088382</v>
      </c>
      <c r="EE8" s="98">
        <v>8.2191780821917915E-2</v>
      </c>
      <c r="EF8" s="98">
        <v>-5.4151624548736448E-2</v>
      </c>
      <c r="EG8" s="98">
        <v>-0.15778019586507061</v>
      </c>
      <c r="EH8" s="98"/>
      <c r="EI8" s="98"/>
      <c r="EJ8" s="98"/>
      <c r="EK8" s="98">
        <v>8.4967320261437829E-2</v>
      </c>
      <c r="EL8" s="98">
        <v>0.2603613177470776</v>
      </c>
      <c r="EM8" s="98">
        <v>-0.19028340080971659</v>
      </c>
      <c r="EN8" s="98">
        <v>3.291748356068247E-2</v>
      </c>
      <c r="EO8" s="98">
        <v>-0.22660638443622419</v>
      </c>
    </row>
    <row r="9" spans="1:145" x14ac:dyDescent="0.25">
      <c r="A9">
        <v>2020</v>
      </c>
      <c r="B9">
        <v>10</v>
      </c>
      <c r="C9" s="98">
        <v>-2.493339615422718E-2</v>
      </c>
      <c r="D9" s="98">
        <v>1.095959235242194E-4</v>
      </c>
      <c r="E9" s="98">
        <v>0.49416342412451358</v>
      </c>
      <c r="F9" s="98">
        <v>-0.21973094170403579</v>
      </c>
      <c r="G9" s="98"/>
      <c r="H9" s="98">
        <v>-0.22784810126582281</v>
      </c>
      <c r="I9" s="98"/>
      <c r="J9" s="98">
        <v>4.4799999999999951E-2</v>
      </c>
      <c r="K9" s="98">
        <v>7.2164948453608213E-2</v>
      </c>
      <c r="L9" s="98"/>
      <c r="M9" s="98">
        <v>-9.6419709322935199E-2</v>
      </c>
      <c r="N9" s="98"/>
      <c r="O9" s="98"/>
      <c r="P9" s="98">
        <v>-3.08959835221434E-3</v>
      </c>
      <c r="Q9" s="98">
        <v>-0.53878702397743305</v>
      </c>
      <c r="R9" s="98">
        <v>-0.1143583227445997</v>
      </c>
      <c r="S9" s="98"/>
      <c r="T9" s="98">
        <v>-6.8649541835661632E-2</v>
      </c>
      <c r="U9" s="98"/>
      <c r="V9" s="98">
        <v>0</v>
      </c>
      <c r="W9" s="98"/>
      <c r="X9" s="98">
        <v>-6.9333333333333247E-2</v>
      </c>
      <c r="Y9" s="98">
        <v>-0.2014285714285714</v>
      </c>
      <c r="Z9" s="98"/>
      <c r="AA9" s="98"/>
      <c r="AB9" s="98">
        <v>-2.3227534432703419E-2</v>
      </c>
      <c r="AC9" s="98"/>
      <c r="AD9" s="98"/>
      <c r="AE9" s="98">
        <v>4.2043222003929293E-2</v>
      </c>
      <c r="AF9" s="98"/>
      <c r="AG9" s="98"/>
      <c r="AH9" s="98">
        <v>-0.1233766233766234</v>
      </c>
      <c r="AI9" s="98">
        <v>-4.4545454545454548E-2</v>
      </c>
      <c r="AJ9" s="98"/>
      <c r="AK9" s="98">
        <v>-0.1025172117039588</v>
      </c>
      <c r="AL9" s="98">
        <v>-0.14361191162343909</v>
      </c>
      <c r="AM9" s="98">
        <v>-3.590922148807818E-2</v>
      </c>
      <c r="AN9" s="98">
        <v>6.4418859649122862E-2</v>
      </c>
      <c r="AO9" s="98">
        <v>-8.099688473520239E-2</v>
      </c>
      <c r="AP9" s="98">
        <v>-0.1625207296849088</v>
      </c>
      <c r="AQ9" s="98"/>
      <c r="AR9" s="98">
        <v>-5.721153846153848E-2</v>
      </c>
      <c r="AS9" s="98"/>
      <c r="AT9" s="98">
        <v>-3.6647641934514967E-2</v>
      </c>
      <c r="AU9" s="98"/>
      <c r="AV9" s="98">
        <v>5.555555555555558E-2</v>
      </c>
      <c r="AW9" s="98">
        <v>0.1102756892230576</v>
      </c>
      <c r="AX9" s="98">
        <v>-0.22271386430678461</v>
      </c>
      <c r="AY9" s="98">
        <v>-0.1521739130434783</v>
      </c>
      <c r="AZ9" s="98">
        <v>-0.2250639386189259</v>
      </c>
      <c r="BA9" s="98">
        <v>-0.1937046004842615</v>
      </c>
      <c r="BB9" s="98">
        <v>-7.72151898734178E-2</v>
      </c>
      <c r="BC9" s="98">
        <v>-0.1855010660980809</v>
      </c>
      <c r="BD9" s="98"/>
      <c r="BE9" s="98">
        <v>5.7692307692307709E-2</v>
      </c>
      <c r="BF9" s="98">
        <v>-0.27793862188766649</v>
      </c>
      <c r="BG9" s="98">
        <v>0.24337957124842369</v>
      </c>
      <c r="BH9" s="98"/>
      <c r="BI9" s="98"/>
      <c r="BJ9" s="98">
        <v>-0.135048231511254</v>
      </c>
      <c r="BK9" s="98">
        <v>-0.1522842639593909</v>
      </c>
      <c r="BL9" s="98">
        <v>0.14749262536873159</v>
      </c>
      <c r="BM9" s="98">
        <v>-0.14847942754919499</v>
      </c>
      <c r="BN9" s="98"/>
      <c r="BO9" s="98">
        <v>5.7692307692307709E-2</v>
      </c>
      <c r="BP9" s="98"/>
      <c r="BQ9" s="98">
        <v>3.4449760765550293E-2</v>
      </c>
      <c r="BR9" s="98">
        <v>3.3653846153846027E-2</v>
      </c>
      <c r="BS9" s="98">
        <v>-3.8581449727201789E-2</v>
      </c>
      <c r="BT9" s="98">
        <v>-0.54857142857142849</v>
      </c>
      <c r="BU9" s="98"/>
      <c r="BV9" s="98">
        <v>-0.31295336787564759</v>
      </c>
      <c r="BW9" s="98">
        <v>1.058980293148171E-2</v>
      </c>
      <c r="BX9" s="98">
        <v>-7.9056738567388818E-2</v>
      </c>
      <c r="BY9" s="98"/>
      <c r="BZ9" s="98">
        <v>-0.1020408163265306</v>
      </c>
      <c r="CA9" s="98">
        <v>-0.32990654205607473</v>
      </c>
      <c r="CB9" s="98">
        <v>-0.13501888375996629</v>
      </c>
      <c r="CC9" s="98">
        <v>-0.118632587604837</v>
      </c>
      <c r="CD9" s="98">
        <v>-0.14893617021276601</v>
      </c>
      <c r="CE9" s="98">
        <v>-6.0975609756097497E-2</v>
      </c>
      <c r="CF9" s="98">
        <v>-4.29338103756709E-2</v>
      </c>
      <c r="CG9" s="98"/>
      <c r="CH9" s="98"/>
      <c r="CI9" s="98"/>
      <c r="CJ9" s="98">
        <v>-9.330980042956738E-2</v>
      </c>
      <c r="CK9" s="98">
        <v>-0.1676712328767124</v>
      </c>
      <c r="CL9" s="98">
        <v>-4.5207956600361698E-2</v>
      </c>
      <c r="CM9" s="98"/>
      <c r="CN9" s="98">
        <v>5.0046598322461833E-3</v>
      </c>
      <c r="CO9" s="98">
        <v>1.231387438086611</v>
      </c>
      <c r="CP9" s="98">
        <v>-9.8946240400071495E-2</v>
      </c>
      <c r="CQ9" s="98">
        <v>0.24835742444152431</v>
      </c>
      <c r="CR9" s="98"/>
      <c r="CS9" s="98">
        <v>3.4636318654130971E-3</v>
      </c>
      <c r="CT9" s="98">
        <v>-0.17948717948717949</v>
      </c>
      <c r="CU9" s="98">
        <v>-3.0651340996168619E-2</v>
      </c>
      <c r="CV9" s="98">
        <v>-5.5175650745431848E-2</v>
      </c>
      <c r="CW9" s="98">
        <v>-9.3080724876441479E-2</v>
      </c>
      <c r="CX9" s="98">
        <v>-0.1300731869594145</v>
      </c>
      <c r="CY9" s="98">
        <v>-0.58484848484848484</v>
      </c>
      <c r="CZ9" s="98">
        <v>-3.3242242657131382E-2</v>
      </c>
      <c r="DA9" s="98">
        <v>7.3356967548404706E-2</v>
      </c>
      <c r="DB9" s="98">
        <v>-4.547461368653416E-2</v>
      </c>
      <c r="DC9" s="98">
        <v>-4.4435496376032391E-2</v>
      </c>
      <c r="DD9" s="98">
        <v>1.0924809801403019</v>
      </c>
      <c r="DE9" s="98"/>
      <c r="DF9" s="98">
        <v>-5.882352941176483E-2</v>
      </c>
      <c r="DG9" s="98"/>
      <c r="DH9" s="98"/>
      <c r="DI9" s="98">
        <v>-0.1778309409888357</v>
      </c>
      <c r="DJ9" s="98">
        <v>9.302325581395321E-3</v>
      </c>
      <c r="DK9" s="98">
        <v>-0.28670721112076453</v>
      </c>
      <c r="DL9" s="98"/>
      <c r="DM9" s="98">
        <v>0.15704697986577171</v>
      </c>
      <c r="DN9" s="98">
        <v>-9.0702947845805459E-3</v>
      </c>
      <c r="DO9" s="98"/>
      <c r="DP9" s="98">
        <v>-6.9863697994719254E-2</v>
      </c>
      <c r="DQ9" s="98">
        <v>-0.25</v>
      </c>
      <c r="DR9" s="98">
        <v>-0.1146953405017922</v>
      </c>
      <c r="DS9" s="98">
        <v>-0.1190019193857965</v>
      </c>
      <c r="DT9" s="98"/>
      <c r="DU9" s="98"/>
      <c r="DV9" s="98"/>
      <c r="DW9" s="98"/>
      <c r="DX9" s="98"/>
      <c r="DY9" s="98">
        <v>0.2042253521126762</v>
      </c>
      <c r="DZ9" s="98">
        <v>0.17731958762886599</v>
      </c>
      <c r="EA9" s="98">
        <v>-0.17777777777777781</v>
      </c>
      <c r="EB9" s="98">
        <v>-7.1428571428571397E-2</v>
      </c>
      <c r="EC9" s="98">
        <v>-0.20099255583126549</v>
      </c>
      <c r="ED9" s="98">
        <v>-0.15175332527206761</v>
      </c>
      <c r="EE9" s="98">
        <v>-0.22784810126582281</v>
      </c>
      <c r="EF9" s="98">
        <v>-3.8167938931297767E-2</v>
      </c>
      <c r="EG9" s="98">
        <v>-4.2635658914728647E-2</v>
      </c>
      <c r="EH9" s="98"/>
      <c r="EI9" s="98"/>
      <c r="EJ9" s="98"/>
      <c r="EK9" s="98">
        <v>-3.6144578313252913E-2</v>
      </c>
      <c r="EL9" s="98">
        <v>-0.20236087689713311</v>
      </c>
      <c r="EM9" s="98">
        <v>2.4999999999999911E-2</v>
      </c>
      <c r="EN9" s="98">
        <v>-4.0040543894972018E-2</v>
      </c>
      <c r="EO9" s="98">
        <v>9.7431355181576418E-3</v>
      </c>
    </row>
    <row r="10" spans="1:145" x14ac:dyDescent="0.25">
      <c r="A10">
        <v>2020</v>
      </c>
      <c r="B10">
        <v>11</v>
      </c>
      <c r="C10" s="98">
        <v>0.10877691072475799</v>
      </c>
      <c r="D10" s="98">
        <v>-1.095839135739629E-4</v>
      </c>
      <c r="E10" s="98">
        <v>-0.1302083333333334</v>
      </c>
      <c r="F10" s="98">
        <v>0.33908045977011492</v>
      </c>
      <c r="G10" s="98"/>
      <c r="H10" s="98">
        <v>0.16666666666666649</v>
      </c>
      <c r="I10" s="98"/>
      <c r="J10" s="98">
        <v>-9.3415007656967752E-2</v>
      </c>
      <c r="K10" s="98">
        <v>-5.0480769230769267E-2</v>
      </c>
      <c r="L10" s="98"/>
      <c r="M10" s="98">
        <v>0.15967045900353069</v>
      </c>
      <c r="N10" s="98"/>
      <c r="O10" s="98"/>
      <c r="P10" s="98">
        <v>0.45867768595041308</v>
      </c>
      <c r="Q10" s="98">
        <v>0.34185233726518122</v>
      </c>
      <c r="R10" s="98">
        <v>0.1573409851745575</v>
      </c>
      <c r="S10" s="98"/>
      <c r="T10" s="98">
        <v>-0.32258064516129042</v>
      </c>
      <c r="U10" s="98">
        <v>0.37873754152823919</v>
      </c>
      <c r="V10" s="98">
        <v>0.42460317460317443</v>
      </c>
      <c r="W10" s="98"/>
      <c r="X10" s="98">
        <v>9.3198612577288342E-2</v>
      </c>
      <c r="Y10" s="98">
        <v>-6.997790171524787E-2</v>
      </c>
      <c r="Z10" s="98"/>
      <c r="AA10" s="98"/>
      <c r="AB10" s="98">
        <v>6.7578819272092527E-2</v>
      </c>
      <c r="AC10" s="98"/>
      <c r="AD10" s="98">
        <v>0.9673252279635256</v>
      </c>
      <c r="AE10" s="98">
        <v>0.10633484162895911</v>
      </c>
      <c r="AF10" s="98"/>
      <c r="AG10" s="98"/>
      <c r="AH10" s="98">
        <v>0.48888888888888871</v>
      </c>
      <c r="AI10" s="98">
        <v>0.33206470028544238</v>
      </c>
      <c r="AJ10" s="98"/>
      <c r="AK10" s="98">
        <v>1.5889967637540461</v>
      </c>
      <c r="AL10" s="98">
        <v>3.7016264722377963E-2</v>
      </c>
      <c r="AM10" s="98">
        <v>0.34922526817640032</v>
      </c>
      <c r="AN10" s="98">
        <v>0.1189801699716715</v>
      </c>
      <c r="AO10" s="98">
        <v>3.3898305084745228E-3</v>
      </c>
      <c r="AP10" s="98">
        <v>0.78217821782178221</v>
      </c>
      <c r="AQ10" s="98"/>
      <c r="AR10" s="98">
        <v>5.048444671086183E-2</v>
      </c>
      <c r="AS10" s="98"/>
      <c r="AT10" s="98">
        <v>0.53830163184700153</v>
      </c>
      <c r="AU10" s="98"/>
      <c r="AV10" s="98">
        <v>2.4930747922437661E-2</v>
      </c>
      <c r="AW10" s="98">
        <v>-1.3544018058690771E-2</v>
      </c>
      <c r="AX10" s="98">
        <v>0.61353573687539531</v>
      </c>
      <c r="AY10" s="98">
        <v>0.35897435897435898</v>
      </c>
      <c r="AZ10" s="98">
        <v>0.23102310231023121</v>
      </c>
      <c r="BA10" s="98">
        <v>-5.5055055055055042E-2</v>
      </c>
      <c r="BB10" s="98">
        <v>8.9163237311385535E-2</v>
      </c>
      <c r="BC10" s="98">
        <v>-0.18324607329842951</v>
      </c>
      <c r="BD10" s="98"/>
      <c r="BE10" s="98">
        <v>6.3636363636363713E-2</v>
      </c>
      <c r="BF10" s="98">
        <v>0.45682972467254751</v>
      </c>
      <c r="BG10" s="98">
        <v>0.15922920892494941</v>
      </c>
      <c r="BH10" s="98"/>
      <c r="BI10" s="98"/>
      <c r="BJ10" s="98">
        <v>-0.379182156133829</v>
      </c>
      <c r="BK10" s="98">
        <v>2.9940119760478941E-2</v>
      </c>
      <c r="BL10" s="98">
        <v>0.11182519280205661</v>
      </c>
      <c r="BM10" s="98">
        <v>0.2079831932773111</v>
      </c>
      <c r="BN10" s="98"/>
      <c r="BO10" s="98">
        <v>1.081818181818182</v>
      </c>
      <c r="BP10" s="98"/>
      <c r="BQ10" s="98">
        <v>-3.2839962997224803E-2</v>
      </c>
      <c r="BR10" s="98">
        <v>-0.28372093023255812</v>
      </c>
      <c r="BS10" s="98">
        <v>-4.1751114714227877E-2</v>
      </c>
      <c r="BT10" s="98">
        <v>0.54388185654008425</v>
      </c>
      <c r="BU10" s="98"/>
      <c r="BV10" s="98">
        <v>0.75917546505781797</v>
      </c>
      <c r="BW10" s="98">
        <v>-2.352532963219978E-2</v>
      </c>
      <c r="BX10" s="98">
        <v>6.2618388459857233E-2</v>
      </c>
      <c r="BY10" s="98"/>
      <c r="BZ10" s="98">
        <v>-5.965909090909105E-2</v>
      </c>
      <c r="CA10" s="98">
        <v>0.16317991631799139</v>
      </c>
      <c r="CB10" s="98">
        <v>2.328684050939955E-2</v>
      </c>
      <c r="CC10" s="98">
        <v>0.1222916814662216</v>
      </c>
      <c r="CD10" s="98">
        <v>0.33333333333333348</v>
      </c>
      <c r="CE10" s="98">
        <v>-0.39610389610389612</v>
      </c>
      <c r="CF10" s="98">
        <v>0.16074766355140199</v>
      </c>
      <c r="CG10" s="98"/>
      <c r="CH10" s="98"/>
      <c r="CI10" s="98"/>
      <c r="CJ10" s="98">
        <v>6.8874951814725582E-2</v>
      </c>
      <c r="CK10" s="98">
        <v>2.0408163265306149E-2</v>
      </c>
      <c r="CL10" s="98">
        <v>3.4722222222222321E-2</v>
      </c>
      <c r="CM10" s="98"/>
      <c r="CN10" s="98">
        <v>8.002819069521605E-3</v>
      </c>
      <c r="CO10" s="98">
        <v>-0.20666781827604069</v>
      </c>
      <c r="CP10" s="98">
        <v>-4.9554013875124916E-3</v>
      </c>
      <c r="CQ10" s="98">
        <v>0.84210526315789469</v>
      </c>
      <c r="CR10" s="98"/>
      <c r="CS10" s="98">
        <v>0.14299802761341221</v>
      </c>
      <c r="CT10" s="98">
        <v>0.265625</v>
      </c>
      <c r="CU10" s="98">
        <v>0.6837944664031621</v>
      </c>
      <c r="CV10" s="98">
        <v>0.15606780877208731</v>
      </c>
      <c r="CW10" s="98">
        <v>7.6899788071450148E-2</v>
      </c>
      <c r="CX10" s="98">
        <v>0.15850860420650109</v>
      </c>
      <c r="CY10" s="98">
        <v>0.54501216545012166</v>
      </c>
      <c r="CZ10" s="98">
        <v>0.14995240413611691</v>
      </c>
      <c r="DA10" s="98">
        <v>8.7906504065040636E-2</v>
      </c>
      <c r="DB10" s="98">
        <v>0.27289546716003699</v>
      </c>
      <c r="DC10" s="98">
        <v>0.1043183073303129</v>
      </c>
      <c r="DD10" s="98">
        <v>0.44752416029212722</v>
      </c>
      <c r="DE10" s="98"/>
      <c r="DF10" s="98">
        <v>0.23214285714285721</v>
      </c>
      <c r="DG10" s="98"/>
      <c r="DH10" s="98"/>
      <c r="DI10" s="98">
        <v>0.14969285483349501</v>
      </c>
      <c r="DJ10" s="98">
        <v>1.0138248847926469E-2</v>
      </c>
      <c r="DK10" s="98">
        <v>-5.9683313032886882E-2</v>
      </c>
      <c r="DL10" s="98"/>
      <c r="DM10" s="98">
        <v>6.9605568445475718E-2</v>
      </c>
      <c r="DN10" s="98">
        <v>0.52173913043478271</v>
      </c>
      <c r="DO10" s="98"/>
      <c r="DP10" s="98">
        <v>8.4509743747123167E-2</v>
      </c>
      <c r="DQ10" s="98">
        <v>0.14184397163120571</v>
      </c>
      <c r="DR10" s="98">
        <v>-9.0418353576248167E-2</v>
      </c>
      <c r="DS10" s="98">
        <v>0.16013071895424849</v>
      </c>
      <c r="DT10" s="98"/>
      <c r="DU10" s="98"/>
      <c r="DV10" s="98"/>
      <c r="DW10" s="98"/>
      <c r="DX10" s="98"/>
      <c r="DY10" s="98">
        <v>-0.1228070175438597</v>
      </c>
      <c r="DZ10" s="98">
        <v>0.58318739054290702</v>
      </c>
      <c r="EA10" s="98">
        <v>0.10270270270270281</v>
      </c>
      <c r="EB10" s="98">
        <v>0.1153846153846154</v>
      </c>
      <c r="EC10" s="98">
        <v>-5.2795031055900783E-2</v>
      </c>
      <c r="ED10" s="98">
        <v>0.21168923734853881</v>
      </c>
      <c r="EE10" s="98">
        <v>9.8360655737705027E-2</v>
      </c>
      <c r="EF10" s="98">
        <v>0.20634920634920631</v>
      </c>
      <c r="EG10" s="98">
        <v>0.23481781376518221</v>
      </c>
      <c r="EH10" s="98"/>
      <c r="EI10" s="98"/>
      <c r="EJ10" s="98"/>
      <c r="EK10" s="98">
        <v>6.25E-2</v>
      </c>
      <c r="EL10" s="98">
        <v>-7.8224101479915431E-2</v>
      </c>
      <c r="EM10" s="98">
        <v>0.46829268292682918</v>
      </c>
      <c r="EN10" s="98">
        <v>1.1542145875328201E-2</v>
      </c>
      <c r="EO10" s="98">
        <v>0.77192982456140369</v>
      </c>
    </row>
    <row r="11" spans="1:145" x14ac:dyDescent="0.25">
      <c r="A11">
        <v>2020</v>
      </c>
      <c r="B11">
        <v>12</v>
      </c>
      <c r="C11" s="98">
        <v>3.7065957207947031E-2</v>
      </c>
      <c r="D11" s="98">
        <v>3.571103126076558E-5</v>
      </c>
      <c r="E11" s="98">
        <v>0.93712574850299402</v>
      </c>
      <c r="F11" s="98">
        <v>-0.27038626609442062</v>
      </c>
      <c r="G11" s="98"/>
      <c r="H11" s="98">
        <v>0.14519906323185011</v>
      </c>
      <c r="I11" s="98"/>
      <c r="J11" s="98">
        <v>0.13231981981981969</v>
      </c>
      <c r="K11" s="98">
        <v>0.15696202531645559</v>
      </c>
      <c r="L11" s="98"/>
      <c r="M11" s="98">
        <v>-1.7591339648173169E-2</v>
      </c>
      <c r="N11" s="98"/>
      <c r="O11" s="98"/>
      <c r="P11" s="98">
        <v>-0.2422096317280453</v>
      </c>
      <c r="Q11" s="98">
        <v>0.1883444571056487</v>
      </c>
      <c r="R11" s="98">
        <v>2.509504132231406</v>
      </c>
      <c r="S11" s="98"/>
      <c r="T11" s="98">
        <v>-0.1485714285714286</v>
      </c>
      <c r="U11" s="98">
        <v>0.37550200803212852</v>
      </c>
      <c r="V11" s="98">
        <v>-6.9637883008356494E-2</v>
      </c>
      <c r="W11" s="98">
        <v>0.25390156062424962</v>
      </c>
      <c r="X11" s="98">
        <v>0.12387915574562031</v>
      </c>
      <c r="Y11" s="98">
        <v>-0.32337632948630912</v>
      </c>
      <c r="Z11" s="98"/>
      <c r="AA11" s="98"/>
      <c r="AB11" s="98">
        <v>1.923552835834341E-3</v>
      </c>
      <c r="AC11" s="98"/>
      <c r="AD11" s="98">
        <v>0.1208960988798764</v>
      </c>
      <c r="AE11" s="98">
        <v>3.1356509884117312E-2</v>
      </c>
      <c r="AF11" s="98"/>
      <c r="AG11" s="98"/>
      <c r="AH11" s="98">
        <v>0.36318407960199028</v>
      </c>
      <c r="AI11" s="98">
        <v>-0.2053571428571429</v>
      </c>
      <c r="AJ11" s="98"/>
      <c r="AK11" s="98">
        <v>-0.37037037037037029</v>
      </c>
      <c r="AL11" s="98">
        <v>8.3288263926446948E-2</v>
      </c>
      <c r="AM11" s="98">
        <v>0.15547703180212011</v>
      </c>
      <c r="AN11" s="98">
        <v>2.6006904487916978E-2</v>
      </c>
      <c r="AO11" s="98">
        <v>-3.3783783783782879E-3</v>
      </c>
      <c r="AP11" s="98">
        <v>-0.17444444444444451</v>
      </c>
      <c r="AQ11" s="98"/>
      <c r="AR11" s="98">
        <v>-9.7087378640776656E-3</v>
      </c>
      <c r="AS11" s="98"/>
      <c r="AT11" s="98">
        <v>-9.4594594594594739E-2</v>
      </c>
      <c r="AU11" s="98"/>
      <c r="AV11" s="98">
        <v>0.1189189189189188</v>
      </c>
      <c r="AW11" s="98">
        <v>2.6152337365152878E-3</v>
      </c>
      <c r="AX11" s="98">
        <v>-0.1356330850646805</v>
      </c>
      <c r="AY11" s="98">
        <v>-6.9182389937106903E-2</v>
      </c>
      <c r="AZ11" s="98">
        <v>-9.9195710455764141E-2</v>
      </c>
      <c r="BA11" s="98">
        <v>-8.1920903954802227E-2</v>
      </c>
      <c r="BB11" s="98">
        <v>2.3929471032745561E-2</v>
      </c>
      <c r="BC11" s="98">
        <v>-0.17307692307692299</v>
      </c>
      <c r="BD11" s="98"/>
      <c r="BE11" s="98">
        <v>0.72649572649572636</v>
      </c>
      <c r="BF11" s="98">
        <v>0.20733944954128439</v>
      </c>
      <c r="BG11" s="98">
        <v>2.4496937882764861E-2</v>
      </c>
      <c r="BH11" s="98"/>
      <c r="BI11" s="98"/>
      <c r="BJ11" s="98">
        <v>0.31137724550898199</v>
      </c>
      <c r="BK11" s="98">
        <v>0.37790697674418611</v>
      </c>
      <c r="BL11" s="98">
        <v>-0.16416184971098269</v>
      </c>
      <c r="BM11" s="98">
        <v>0.19304347826086959</v>
      </c>
      <c r="BN11" s="98"/>
      <c r="BO11" s="98">
        <v>-0.31877729257641918</v>
      </c>
      <c r="BP11" s="98"/>
      <c r="BQ11" s="98">
        <v>0.18507890961262549</v>
      </c>
      <c r="BR11" s="98">
        <v>5.3571428571428603E-2</v>
      </c>
      <c r="BS11" s="98">
        <v>0.34517766497461921</v>
      </c>
      <c r="BT11" s="98">
        <v>0.35146214812790388</v>
      </c>
      <c r="BU11" s="98"/>
      <c r="BV11" s="98">
        <v>1.329236924835667</v>
      </c>
      <c r="BW11" s="98">
        <v>0.17297988771231609</v>
      </c>
      <c r="BX11" s="98">
        <v>8.7780205122771626E-2</v>
      </c>
      <c r="BY11" s="98"/>
      <c r="BZ11" s="98">
        <v>0.48942598187311193</v>
      </c>
      <c r="CA11" s="98">
        <v>0.1956834532374101</v>
      </c>
      <c r="CB11" s="98">
        <v>0.17873651771956861</v>
      </c>
      <c r="CC11" s="98">
        <v>0.1592175033878358</v>
      </c>
      <c r="CD11" s="98">
        <v>-0.14999999999999991</v>
      </c>
      <c r="CE11" s="98">
        <v>5.7347670250896148E-2</v>
      </c>
      <c r="CF11" s="98">
        <v>-8.212560386473422E-2</v>
      </c>
      <c r="CG11" s="98"/>
      <c r="CH11" s="98"/>
      <c r="CI11" s="98"/>
      <c r="CJ11" s="98">
        <v>2.5773249871679841E-2</v>
      </c>
      <c r="CK11" s="98">
        <v>0.1241935483870968</v>
      </c>
      <c r="CL11" s="98">
        <v>3.7217815741305671E-2</v>
      </c>
      <c r="CM11" s="98"/>
      <c r="CN11" s="98">
        <v>1.2447102115915361</v>
      </c>
      <c r="CO11" s="98">
        <v>0.40056830553499112</v>
      </c>
      <c r="CP11" s="98">
        <v>0.1653386454183268</v>
      </c>
      <c r="CQ11" s="98">
        <v>0.1828571428571428</v>
      </c>
      <c r="CR11" s="98"/>
      <c r="CS11" s="98">
        <v>0.23252804141501299</v>
      </c>
      <c r="CT11" s="98">
        <v>2.222222222222214E-2</v>
      </c>
      <c r="CU11" s="98">
        <v>-4.6948356807510194E-3</v>
      </c>
      <c r="CV11" s="98">
        <v>2.8056124184605791E-2</v>
      </c>
      <c r="CW11" s="98">
        <v>-1.9679505201012141E-2</v>
      </c>
      <c r="CX11" s="98">
        <v>-1.237828024426468E-2</v>
      </c>
      <c r="CY11" s="98">
        <v>3.8582677165354351E-2</v>
      </c>
      <c r="CZ11" s="98">
        <v>-3.9152496319185159E-2</v>
      </c>
      <c r="DA11" s="98">
        <v>-0.22419430172816451</v>
      </c>
      <c r="DB11" s="98">
        <v>-0.1744186046511628</v>
      </c>
      <c r="DC11" s="98">
        <v>-7.2585844030261026E-2</v>
      </c>
      <c r="DD11" s="98">
        <v>-0.1240444942207531</v>
      </c>
      <c r="DE11" s="98"/>
      <c r="DF11" s="98">
        <v>-0.13768115942028991</v>
      </c>
      <c r="DG11" s="98"/>
      <c r="DH11" s="98"/>
      <c r="DI11" s="98">
        <v>-9.8143982002249719E-2</v>
      </c>
      <c r="DJ11" s="98">
        <v>-0.20209854014598549</v>
      </c>
      <c r="DK11" s="98">
        <v>-0.116580310880829</v>
      </c>
      <c r="DL11" s="98"/>
      <c r="DM11" s="98">
        <v>-0.42624728850325388</v>
      </c>
      <c r="DN11" s="98">
        <v>0.15037593984962411</v>
      </c>
      <c r="DO11" s="98"/>
      <c r="DP11" s="98">
        <v>4.9060875101694323E-2</v>
      </c>
      <c r="DQ11" s="98">
        <v>7.1428571428571397E-2</v>
      </c>
      <c r="DR11" s="98">
        <v>7.7151335311572478E-2</v>
      </c>
      <c r="DS11" s="98">
        <v>0.18122065727699521</v>
      </c>
      <c r="DT11" s="98"/>
      <c r="DU11" s="98">
        <v>0.70997103847745113</v>
      </c>
      <c r="DV11" s="98"/>
      <c r="DW11" s="98"/>
      <c r="DX11" s="98"/>
      <c r="DY11" s="98">
        <v>-0.17333333333333331</v>
      </c>
      <c r="DZ11" s="98">
        <v>-8.6283185840707932E-2</v>
      </c>
      <c r="EA11" s="98">
        <v>-2.4509803921568651E-2</v>
      </c>
      <c r="EB11" s="98">
        <v>0.60620689655172422</v>
      </c>
      <c r="EC11" s="98">
        <v>-0.20655737704918031</v>
      </c>
      <c r="ED11" s="98">
        <v>-0.3549019607843138</v>
      </c>
      <c r="EE11" s="98">
        <v>-9.7014925373134275E-2</v>
      </c>
      <c r="EF11" s="98">
        <v>1.8453947368421051</v>
      </c>
      <c r="EG11" s="98">
        <v>0.25792349726775948</v>
      </c>
      <c r="EH11" s="98"/>
      <c r="EI11" s="98"/>
      <c r="EJ11" s="98"/>
      <c r="EK11" s="98">
        <v>-7.0588235294117618E-2</v>
      </c>
      <c r="EL11" s="98">
        <v>0.12844036697247699</v>
      </c>
      <c r="EM11" s="98">
        <v>-1.993355481727566E-2</v>
      </c>
      <c r="EN11" s="98">
        <v>3.1924198909436319E-2</v>
      </c>
      <c r="EO11" s="98">
        <v>-0.30693069306930698</v>
      </c>
    </row>
    <row r="12" spans="1:145" x14ac:dyDescent="0.25">
      <c r="A12">
        <v>2021</v>
      </c>
      <c r="B12">
        <v>1</v>
      </c>
      <c r="C12" s="98">
        <v>-1.0190495727583571E-2</v>
      </c>
      <c r="D12" s="98">
        <v>0</v>
      </c>
      <c r="E12" s="98">
        <v>2.2071097372488411</v>
      </c>
      <c r="F12" s="98">
        <v>0.26470588235294112</v>
      </c>
      <c r="G12" s="98"/>
      <c r="H12" s="98">
        <v>0.84253578732106349</v>
      </c>
      <c r="I12" s="98"/>
      <c r="J12" s="98">
        <v>-9.5972153157632967E-2</v>
      </c>
      <c r="K12" s="98">
        <v>5.2516411378555672E-2</v>
      </c>
      <c r="L12" s="98"/>
      <c r="M12" s="98">
        <v>-1.7217630853994529E-2</v>
      </c>
      <c r="N12" s="98"/>
      <c r="O12" s="98"/>
      <c r="P12" s="98">
        <v>-1.121495327102795E-2</v>
      </c>
      <c r="Q12" s="98">
        <v>0.31178082191780843</v>
      </c>
      <c r="R12" s="98">
        <v>-0.1117390792417285</v>
      </c>
      <c r="S12" s="98"/>
      <c r="T12" s="98">
        <v>0.76314317673378085</v>
      </c>
      <c r="U12" s="98">
        <v>-0.37751824817518242</v>
      </c>
      <c r="V12" s="98">
        <v>9.2814371257485151E-2</v>
      </c>
      <c r="W12" s="98">
        <v>0.74724748683580655</v>
      </c>
      <c r="X12" s="98">
        <v>-0.16423223272370191</v>
      </c>
      <c r="Y12" s="98">
        <v>0.19397993311036801</v>
      </c>
      <c r="Z12" s="98"/>
      <c r="AA12" s="98"/>
      <c r="AB12" s="98">
        <v>-9.6722765496413121E-3</v>
      </c>
      <c r="AC12" s="98"/>
      <c r="AD12" s="98">
        <v>5.616815988973145E-2</v>
      </c>
      <c r="AE12" s="98">
        <v>0.23595505617977519</v>
      </c>
      <c r="AF12" s="98"/>
      <c r="AG12" s="98"/>
      <c r="AH12" s="98">
        <v>0.14233576642335749</v>
      </c>
      <c r="AI12" s="98">
        <v>-3.3707865168539297E-2</v>
      </c>
      <c r="AJ12" s="98"/>
      <c r="AK12" s="98">
        <v>0.26470588235294112</v>
      </c>
      <c r="AL12" s="98">
        <v>0.20519221168247631</v>
      </c>
      <c r="AM12" s="98">
        <v>8.0275229357798183E-2</v>
      </c>
      <c r="AN12" s="98">
        <v>0.59376401973979354</v>
      </c>
      <c r="AO12" s="98">
        <v>7.4576271186440612E-2</v>
      </c>
      <c r="AP12" s="98">
        <v>0.1776581426648722</v>
      </c>
      <c r="AQ12" s="98"/>
      <c r="AR12" s="98">
        <v>0.19607843137254899</v>
      </c>
      <c r="AS12" s="98"/>
      <c r="AT12" s="98">
        <v>0.68656716417910468</v>
      </c>
      <c r="AU12" s="98"/>
      <c r="AV12" s="98">
        <v>-4.8309178743960457E-3</v>
      </c>
      <c r="AW12" s="98">
        <v>-5.3472448646886273E-2</v>
      </c>
      <c r="AX12" s="98">
        <v>-0.40952380952380951</v>
      </c>
      <c r="AY12" s="98">
        <v>1.5</v>
      </c>
      <c r="AZ12" s="98">
        <v>1.0119047619047621</v>
      </c>
      <c r="BA12" s="98">
        <v>0.211153846153846</v>
      </c>
      <c r="BB12" s="98">
        <v>9.7170971709716891E-2</v>
      </c>
      <c r="BC12" s="98">
        <v>0</v>
      </c>
      <c r="BD12" s="98"/>
      <c r="BE12" s="98">
        <v>-8.2508250825082952E-3</v>
      </c>
      <c r="BF12" s="98">
        <v>0.70212765957446788</v>
      </c>
      <c r="BG12" s="98">
        <v>-5.5508112724167447E-2</v>
      </c>
      <c r="BH12" s="98"/>
      <c r="BI12" s="98"/>
      <c r="BJ12" s="98">
        <v>-5.9360730593607358E-2</v>
      </c>
      <c r="BK12" s="98">
        <v>-0.109704641350211</v>
      </c>
      <c r="BL12" s="98">
        <v>-8.0221300138312301E-3</v>
      </c>
      <c r="BM12" s="98">
        <v>0.31195335276967923</v>
      </c>
      <c r="BN12" s="98"/>
      <c r="BO12" s="98">
        <v>1.9230769230769159E-2</v>
      </c>
      <c r="BP12" s="98"/>
      <c r="BQ12" s="98">
        <v>-3.0669895076674839E-2</v>
      </c>
      <c r="BR12" s="98">
        <v>0.79815100154083196</v>
      </c>
      <c r="BS12" s="98">
        <v>1.100628930817593E-2</v>
      </c>
      <c r="BT12" s="98">
        <v>0.42568250758341741</v>
      </c>
      <c r="BU12" s="98"/>
      <c r="BV12" s="98">
        <v>2.4601226993865031</v>
      </c>
      <c r="BW12" s="98">
        <v>-5.7861254165404441E-2</v>
      </c>
      <c r="BX12" s="98">
        <v>3.6535805963649803E-2</v>
      </c>
      <c r="BY12" s="98"/>
      <c r="BZ12" s="98">
        <v>0.27991886409736311</v>
      </c>
      <c r="CA12" s="98">
        <v>-0.38093327985024739</v>
      </c>
      <c r="CB12" s="98">
        <v>0.86375062845651063</v>
      </c>
      <c r="CC12" s="98">
        <v>0.23175829582973201</v>
      </c>
      <c r="CD12" s="98">
        <v>0.30147058823529421</v>
      </c>
      <c r="CE12" s="98">
        <v>-7.118644067796609E-2</v>
      </c>
      <c r="CF12" s="98">
        <v>-7.2807017543859653E-2</v>
      </c>
      <c r="CG12" s="98"/>
      <c r="CH12" s="98"/>
      <c r="CI12" s="98"/>
      <c r="CJ12" s="98">
        <v>-5.782422090407513E-2</v>
      </c>
      <c r="CK12" s="98">
        <v>0.27690100430416059</v>
      </c>
      <c r="CL12" s="98">
        <v>0.15882352941176461</v>
      </c>
      <c r="CM12" s="98"/>
      <c r="CN12" s="98">
        <v>1.4073770491803279</v>
      </c>
      <c r="CO12" s="98">
        <v>0.2</v>
      </c>
      <c r="CP12" s="98">
        <v>-0.1239316239316238</v>
      </c>
      <c r="CQ12" s="98">
        <v>-0.1231884057971014</v>
      </c>
      <c r="CR12" s="98"/>
      <c r="CS12" s="98">
        <v>0.36226811340567022</v>
      </c>
      <c r="CT12" s="98">
        <v>-3.8647342995169032E-2</v>
      </c>
      <c r="CU12" s="98">
        <v>0.71226415094339601</v>
      </c>
      <c r="CV12" s="98">
        <v>6.7973620963903025E-2</v>
      </c>
      <c r="CW12" s="98">
        <v>0.1471178663607686</v>
      </c>
      <c r="CX12" s="98">
        <v>0.10427807486631011</v>
      </c>
      <c r="CY12" s="98">
        <v>-4.4730856709628508E-2</v>
      </c>
      <c r="CZ12" s="98">
        <v>-1.4116416869989551E-2</v>
      </c>
      <c r="DA12" s="98">
        <v>0.1589403973509935</v>
      </c>
      <c r="DB12" s="98">
        <v>8.3186619718309984E-2</v>
      </c>
      <c r="DC12" s="98">
        <v>-4.5169715462737403E-2</v>
      </c>
      <c r="DD12" s="98">
        <v>0.1023970009558213</v>
      </c>
      <c r="DE12" s="98"/>
      <c r="DF12" s="98">
        <v>0.18487394957983189</v>
      </c>
      <c r="DG12" s="98"/>
      <c r="DH12" s="98"/>
      <c r="DI12" s="98">
        <v>1.9020891799189199E-2</v>
      </c>
      <c r="DJ12" s="98">
        <v>-7.1469411092052626E-2</v>
      </c>
      <c r="DK12" s="98">
        <v>1.9061583577712611</v>
      </c>
      <c r="DL12" s="98"/>
      <c r="DM12" s="98">
        <v>0.1984877126654063</v>
      </c>
      <c r="DN12" s="98">
        <v>-2.352941176470591E-2</v>
      </c>
      <c r="DO12" s="98"/>
      <c r="DP12" s="98">
        <v>-0.11142019016791441</v>
      </c>
      <c r="DQ12" s="98">
        <v>3.1884057971014457E-2</v>
      </c>
      <c r="DR12" s="98">
        <v>0.1267217630853994</v>
      </c>
      <c r="DS12" s="98">
        <v>0.16812400635930061</v>
      </c>
      <c r="DT12" s="98"/>
      <c r="DU12" s="98">
        <v>-8.7829663682554959E-2</v>
      </c>
      <c r="DV12" s="98"/>
      <c r="DW12" s="98"/>
      <c r="DX12" s="98"/>
      <c r="DY12" s="98">
        <v>0.77419354838709675</v>
      </c>
      <c r="DZ12" s="98">
        <v>1.1912832929782089</v>
      </c>
      <c r="EA12" s="98">
        <v>0.3266331658291457</v>
      </c>
      <c r="EB12" s="98">
        <v>0.43838557320738508</v>
      </c>
      <c r="EC12" s="98">
        <v>0.2314049586776861</v>
      </c>
      <c r="ED12" s="98">
        <v>-3.9513677811550019E-2</v>
      </c>
      <c r="EE12" s="98">
        <v>0.36363636363636348</v>
      </c>
      <c r="EF12" s="98">
        <v>1.9653179190751491E-2</v>
      </c>
      <c r="EG12" s="98">
        <v>2.0851433536055671E-2</v>
      </c>
      <c r="EH12" s="98"/>
      <c r="EI12" s="98">
        <v>-9.3385923856973974E-2</v>
      </c>
      <c r="EJ12" s="98"/>
      <c r="EK12" s="98">
        <v>0.25316455696202528</v>
      </c>
      <c r="EL12" s="98">
        <v>3.2520325203251987E-2</v>
      </c>
      <c r="EM12" s="98">
        <v>0.18644067796610159</v>
      </c>
      <c r="EN12" s="98">
        <v>-6.6542346522904028E-2</v>
      </c>
      <c r="EO12" s="98">
        <v>-0.46160714285714283</v>
      </c>
    </row>
    <row r="13" spans="1:145" x14ac:dyDescent="0.25">
      <c r="A13">
        <v>2021</v>
      </c>
      <c r="B13">
        <v>2</v>
      </c>
      <c r="C13" s="98">
        <v>2.7805589938019629E-2</v>
      </c>
      <c r="D13" s="98">
        <v>-1.09592009880477E-4</v>
      </c>
      <c r="E13" s="98">
        <v>7.3734939759036111E-2</v>
      </c>
      <c r="F13" s="98">
        <v>0.16744186046511619</v>
      </c>
      <c r="G13" s="98"/>
      <c r="H13" s="98">
        <v>-6.1043285238623679E-2</v>
      </c>
      <c r="I13" s="98"/>
      <c r="J13" s="98">
        <v>-3.575357535753565E-2</v>
      </c>
      <c r="K13" s="98">
        <v>0.1205821205821207</v>
      </c>
      <c r="L13" s="98"/>
      <c r="M13" s="98">
        <v>1.9621583742116311E-2</v>
      </c>
      <c r="N13" s="98"/>
      <c r="O13" s="98"/>
      <c r="P13" s="98">
        <v>-0.13421550094517951</v>
      </c>
      <c r="Q13" s="98">
        <v>0.921470342522974</v>
      </c>
      <c r="R13" s="98">
        <v>3.7910922587486739E-2</v>
      </c>
      <c r="S13" s="98"/>
      <c r="T13" s="98">
        <v>0.35289452815226019</v>
      </c>
      <c r="U13" s="98">
        <v>3.4709193245778591E-2</v>
      </c>
      <c r="V13" s="98">
        <v>0.10136986301369851</v>
      </c>
      <c r="W13" s="98">
        <v>3.2328767123287687E-2</v>
      </c>
      <c r="X13" s="98">
        <v>-1.07211044206198E-2</v>
      </c>
      <c r="Y13" s="98">
        <v>7.4229691876750659E-2</v>
      </c>
      <c r="Z13" s="98"/>
      <c r="AA13" s="98"/>
      <c r="AB13" s="98">
        <v>-1.628735273833559E-3</v>
      </c>
      <c r="AC13" s="98"/>
      <c r="AD13" s="98">
        <v>-0.34486133768352373</v>
      </c>
      <c r="AE13" s="98">
        <v>-1.871657754010703E-2</v>
      </c>
      <c r="AF13" s="98"/>
      <c r="AG13" s="98"/>
      <c r="AH13" s="98">
        <v>5.7507987220447372E-2</v>
      </c>
      <c r="AI13" s="98">
        <v>0.52906976744186052</v>
      </c>
      <c r="AJ13" s="98"/>
      <c r="AK13" s="98">
        <v>-8.7209302325581439E-2</v>
      </c>
      <c r="AL13" s="98">
        <v>-2.278376139188076E-2</v>
      </c>
      <c r="AM13" s="98">
        <v>-0.1100495399858458</v>
      </c>
      <c r="AN13" s="98">
        <v>0.24883884588318089</v>
      </c>
      <c r="AO13" s="98">
        <v>7.2555205047318605E-2</v>
      </c>
      <c r="AP13" s="98">
        <v>0.71428571428571419</v>
      </c>
      <c r="AQ13" s="98"/>
      <c r="AR13" s="98">
        <v>0.66393442622950816</v>
      </c>
      <c r="AS13" s="98"/>
      <c r="AT13" s="98">
        <v>-0.17256637168141589</v>
      </c>
      <c r="AU13" s="98"/>
      <c r="AV13" s="98">
        <v>7.7669902912621325E-2</v>
      </c>
      <c r="AW13" s="98">
        <v>0.13193248363761609</v>
      </c>
      <c r="AX13" s="98">
        <v>-3.3026113671274948E-2</v>
      </c>
      <c r="AY13" s="98">
        <v>-7.567567567567568E-2</v>
      </c>
      <c r="AZ13" s="98">
        <v>0.79142011834319526</v>
      </c>
      <c r="BA13" s="98">
        <v>-0.13020006351222599</v>
      </c>
      <c r="BB13" s="98">
        <v>-0.1132286995515694</v>
      </c>
      <c r="BC13" s="98">
        <v>0.1434108527131783</v>
      </c>
      <c r="BD13" s="98"/>
      <c r="BE13" s="98">
        <v>-1.331114808652256E-2</v>
      </c>
      <c r="BF13" s="98">
        <v>-3.4821428571428448E-2</v>
      </c>
      <c r="BG13" s="98">
        <v>0.14014466546112109</v>
      </c>
      <c r="BH13" s="98"/>
      <c r="BI13" s="98"/>
      <c r="BJ13" s="98">
        <v>-8.737864077669899E-2</v>
      </c>
      <c r="BK13" s="98">
        <v>0.11374407582938401</v>
      </c>
      <c r="BL13" s="98">
        <v>-1.087562744004467E-2</v>
      </c>
      <c r="BM13" s="98">
        <v>-0.14777777777777781</v>
      </c>
      <c r="BN13" s="98"/>
      <c r="BO13" s="98">
        <v>0.1069182389937107</v>
      </c>
      <c r="BP13" s="98"/>
      <c r="BQ13" s="98">
        <v>-4.8293089092423018E-2</v>
      </c>
      <c r="BR13" s="98">
        <v>-9.0831191088260543E-2</v>
      </c>
      <c r="BS13" s="98">
        <v>0.1020217729393469</v>
      </c>
      <c r="BT13" s="98">
        <v>0.16312056737588659</v>
      </c>
      <c r="BU13" s="98"/>
      <c r="BV13" s="98">
        <v>-0.25531914893617019</v>
      </c>
      <c r="BW13" s="98">
        <v>8.0643086816720277E-2</v>
      </c>
      <c r="BX13" s="98">
        <v>-2.2566288212503841E-2</v>
      </c>
      <c r="BY13" s="98"/>
      <c r="BZ13" s="98">
        <v>-0.1220285261489699</v>
      </c>
      <c r="CA13" s="98">
        <v>0.29157667386609082</v>
      </c>
      <c r="CB13" s="98">
        <v>-0.20032371189641221</v>
      </c>
      <c r="CC13" s="98">
        <v>-1.0676378876950171E-2</v>
      </c>
      <c r="CD13" s="98">
        <v>-0.1016949152542372</v>
      </c>
      <c r="CE13" s="98">
        <v>2.1897810218977961E-2</v>
      </c>
      <c r="CF13" s="98">
        <v>0.41154210028382199</v>
      </c>
      <c r="CG13" s="98"/>
      <c r="CH13" s="98"/>
      <c r="CI13" s="98"/>
      <c r="CJ13" s="98">
        <v>-5.7739027030039969E-2</v>
      </c>
      <c r="CK13" s="98">
        <v>0.2696629213483146</v>
      </c>
      <c r="CL13" s="98">
        <v>0.15177664974619301</v>
      </c>
      <c r="CM13" s="98"/>
      <c r="CN13" s="98">
        <v>-0.34439904664623749</v>
      </c>
      <c r="CO13" s="98">
        <v>0.72222006296397057</v>
      </c>
      <c r="CP13" s="98">
        <v>-2.1463414634146361E-2</v>
      </c>
      <c r="CQ13" s="98">
        <v>1.046831955922878E-2</v>
      </c>
      <c r="CR13" s="98"/>
      <c r="CS13" s="98">
        <v>2.4665981500513912E-2</v>
      </c>
      <c r="CT13" s="98">
        <v>-2.5125628140703519E-2</v>
      </c>
      <c r="CU13" s="98">
        <v>0.22727272727272729</v>
      </c>
      <c r="CV13" s="98">
        <v>4.0018046714900057E-2</v>
      </c>
      <c r="CW13" s="98">
        <v>4.2750000000000073E-2</v>
      </c>
      <c r="CX13" s="98">
        <v>0.1122881355932204</v>
      </c>
      <c r="CY13" s="98">
        <v>0.8126984126984127</v>
      </c>
      <c r="CZ13" s="98">
        <v>-6.7130054265711836E-2</v>
      </c>
      <c r="DA13" s="98">
        <v>0.14415584415584409</v>
      </c>
      <c r="DB13" s="98">
        <v>0.3445753758634702</v>
      </c>
      <c r="DC13" s="98">
        <v>-5.4800643422450723E-2</v>
      </c>
      <c r="DD13" s="98">
        <v>-0.2430862084496892</v>
      </c>
      <c r="DE13" s="98">
        <v>-8.9285714285715079E-3</v>
      </c>
      <c r="DF13" s="98">
        <v>9.219858156028371E-2</v>
      </c>
      <c r="DG13" s="98"/>
      <c r="DH13" s="98"/>
      <c r="DI13" s="98">
        <v>2.019583843329276E-2</v>
      </c>
      <c r="DJ13" s="98">
        <v>0.13423645320197061</v>
      </c>
      <c r="DK13" s="98">
        <v>1.451059535822401</v>
      </c>
      <c r="DL13" s="98"/>
      <c r="DM13" s="98">
        <v>0.16403785488959</v>
      </c>
      <c r="DN13" s="98">
        <v>4.1499330655957227E-2</v>
      </c>
      <c r="DO13" s="98"/>
      <c r="DP13" s="98">
        <v>-2.166695125884599E-2</v>
      </c>
      <c r="DQ13" s="98">
        <v>5.6179775280897903E-3</v>
      </c>
      <c r="DR13" s="98">
        <v>-1.58924205378973E-2</v>
      </c>
      <c r="DS13" s="98">
        <v>-8.5743450153113243E-2</v>
      </c>
      <c r="DT13" s="98"/>
      <c r="DU13" s="98">
        <v>-3.8461538461538547E-2</v>
      </c>
      <c r="DV13" s="98"/>
      <c r="DW13" s="98"/>
      <c r="DX13" s="98"/>
      <c r="DY13" s="98">
        <v>-0.14545454545454539</v>
      </c>
      <c r="DZ13" s="98">
        <v>0.34585635359116013</v>
      </c>
      <c r="EA13" s="98">
        <v>0.26136363636363652</v>
      </c>
      <c r="EB13" s="98">
        <v>0.86567164179104483</v>
      </c>
      <c r="EC13" s="98">
        <v>-5.3691275167785268E-2</v>
      </c>
      <c r="ED13" s="98">
        <v>4.7468354430379778E-2</v>
      </c>
      <c r="EE13" s="98">
        <v>-7.878787878787874E-2</v>
      </c>
      <c r="EF13" s="98">
        <v>0.56689342403628107</v>
      </c>
      <c r="EG13" s="98">
        <v>0.16680851063829791</v>
      </c>
      <c r="EH13" s="98"/>
      <c r="EI13" s="98">
        <v>-0.12595840937003441</v>
      </c>
      <c r="EJ13" s="98"/>
      <c r="EK13" s="98">
        <v>-5.8080808080808073E-2</v>
      </c>
      <c r="EL13" s="98">
        <v>7.2834645669291431E-2</v>
      </c>
      <c r="EM13" s="98">
        <v>6.8571428571428727E-2</v>
      </c>
      <c r="EN13" s="98">
        <v>6.4180877891475419E-3</v>
      </c>
      <c r="EO13" s="98">
        <v>0.57213930348258701</v>
      </c>
    </row>
    <row r="14" spans="1:145" x14ac:dyDescent="0.25">
      <c r="A14">
        <v>2021</v>
      </c>
      <c r="B14">
        <v>3</v>
      </c>
      <c r="C14" s="98">
        <v>4.5404984815198952E-2</v>
      </c>
      <c r="D14" s="98">
        <v>-1.0837251574491451E-4</v>
      </c>
      <c r="E14" s="98">
        <v>0.1310592459605027</v>
      </c>
      <c r="F14" s="98">
        <v>-3.5856573705179251E-2</v>
      </c>
      <c r="G14" s="98"/>
      <c r="H14" s="98">
        <v>-4.7281323877069736E-3</v>
      </c>
      <c r="I14" s="98"/>
      <c r="J14" s="98">
        <v>4.5065601825442059E-2</v>
      </c>
      <c r="K14" s="98">
        <v>0.24860853432282021</v>
      </c>
      <c r="L14" s="98"/>
      <c r="M14" s="98">
        <v>0.24192439862542961</v>
      </c>
      <c r="N14" s="98"/>
      <c r="O14" s="98"/>
      <c r="P14" s="98">
        <v>0.13537117903930129</v>
      </c>
      <c r="Q14" s="98">
        <v>-0.1141304347826088</v>
      </c>
      <c r="R14" s="98">
        <v>-0.15581098339719041</v>
      </c>
      <c r="S14" s="98"/>
      <c r="T14" s="98">
        <v>-0.19988276670574451</v>
      </c>
      <c r="U14" s="98">
        <v>-0.16591115140525839</v>
      </c>
      <c r="V14" s="98">
        <v>0.12437810945273629</v>
      </c>
      <c r="W14" s="98">
        <v>-0.18059978768577489</v>
      </c>
      <c r="X14" s="98">
        <v>-0.15944180522565321</v>
      </c>
      <c r="Y14" s="98">
        <v>-9.126466753585416E-3</v>
      </c>
      <c r="Z14" s="98"/>
      <c r="AA14" s="98"/>
      <c r="AB14" s="98">
        <v>3.7340338353050839E-2</v>
      </c>
      <c r="AC14" s="98"/>
      <c r="AD14" s="98">
        <v>-0.72360557768924294</v>
      </c>
      <c r="AE14" s="98">
        <v>0.18310626702997279</v>
      </c>
      <c r="AF14" s="98"/>
      <c r="AG14" s="98"/>
      <c r="AH14" s="98">
        <v>-0.25377643504531722</v>
      </c>
      <c r="AI14" s="98">
        <v>-9.125475285171103E-2</v>
      </c>
      <c r="AJ14" s="98"/>
      <c r="AK14" s="98">
        <v>-0.11464968152866239</v>
      </c>
      <c r="AL14" s="98">
        <v>4.6629927935566418E-3</v>
      </c>
      <c r="AM14" s="98">
        <v>-5.4075546719681837E-2</v>
      </c>
      <c r="AN14" s="98">
        <v>-5.330778767046096E-2</v>
      </c>
      <c r="AO14" s="98">
        <v>-0.1088235294117648</v>
      </c>
      <c r="AP14" s="98">
        <v>-0.33400000000000002</v>
      </c>
      <c r="AQ14" s="98"/>
      <c r="AR14" s="98">
        <v>-0.1231527093596059</v>
      </c>
      <c r="AS14" s="98"/>
      <c r="AT14" s="98">
        <v>-9.6256684491978661E-2</v>
      </c>
      <c r="AU14" s="98"/>
      <c r="AV14" s="98">
        <v>-0.108108108108108</v>
      </c>
      <c r="AW14" s="98">
        <v>-0.1037735849056604</v>
      </c>
      <c r="AX14" s="98">
        <v>-0.32962668784749799</v>
      </c>
      <c r="AY14" s="98">
        <v>-0.1023391812865497</v>
      </c>
      <c r="AZ14" s="98">
        <v>7.2667217175887755E-2</v>
      </c>
      <c r="BA14" s="98">
        <v>2.4096385542168749E-2</v>
      </c>
      <c r="BB14" s="98">
        <v>-7.4589127686472745E-2</v>
      </c>
      <c r="BC14" s="98">
        <v>-0.37966101694915261</v>
      </c>
      <c r="BD14" s="98"/>
      <c r="BE14" s="98">
        <v>-0.1382799325463743</v>
      </c>
      <c r="BF14" s="98">
        <v>-6.0129509713228502E-2</v>
      </c>
      <c r="BG14" s="98">
        <v>-6.5820777160983335E-2</v>
      </c>
      <c r="BH14" s="98"/>
      <c r="BI14" s="98"/>
      <c r="BJ14" s="98">
        <v>-2.1276595744680878E-2</v>
      </c>
      <c r="BK14" s="98">
        <v>-0.16170212765957451</v>
      </c>
      <c r="BL14" s="98">
        <v>-6.8508598815900767E-2</v>
      </c>
      <c r="BM14" s="98">
        <v>-0.1199478487614081</v>
      </c>
      <c r="BN14" s="98"/>
      <c r="BO14" s="98">
        <v>1.7045454545454589E-2</v>
      </c>
      <c r="BP14" s="98"/>
      <c r="BQ14" s="98">
        <v>4.5494313210848507E-2</v>
      </c>
      <c r="BR14" s="98">
        <v>-0.45240339302544769</v>
      </c>
      <c r="BS14" s="98">
        <v>-4.2337002540220103E-2</v>
      </c>
      <c r="BT14" s="98">
        <v>-0.14024390243902449</v>
      </c>
      <c r="BU14" s="98"/>
      <c r="BV14" s="98">
        <v>-0.1428571428571429</v>
      </c>
      <c r="BW14" s="98">
        <v>-2.1840038086169859E-2</v>
      </c>
      <c r="BX14" s="98">
        <v>3.7170256160108162E-2</v>
      </c>
      <c r="BY14" s="98"/>
      <c r="BZ14" s="98">
        <v>-0.10108303249097481</v>
      </c>
      <c r="CA14" s="98">
        <v>-6.1872909698996607E-2</v>
      </c>
      <c r="CB14" s="98">
        <v>2.8538658750505871E-2</v>
      </c>
      <c r="CC14" s="98">
        <v>-8.8193810796278416E-2</v>
      </c>
      <c r="CD14" s="98">
        <v>-5.031446540880502E-2</v>
      </c>
      <c r="CE14" s="98">
        <v>-3.9285714285714257E-2</v>
      </c>
      <c r="CF14" s="98">
        <v>-0.22319034852546921</v>
      </c>
      <c r="CG14" s="98"/>
      <c r="CH14" s="98"/>
      <c r="CI14" s="98"/>
      <c r="CJ14" s="98">
        <v>7.0803076837121726E-2</v>
      </c>
      <c r="CK14" s="98">
        <v>-0.19469026548672561</v>
      </c>
      <c r="CL14" s="98">
        <v>-0.118554429263993</v>
      </c>
      <c r="CM14" s="98"/>
      <c r="CN14" s="98">
        <v>-8.0238898987276097E-2</v>
      </c>
      <c r="CO14" s="98">
        <v>-0.27258092422498548</v>
      </c>
      <c r="CP14" s="98">
        <v>4.1874376869391883E-2</v>
      </c>
      <c r="CQ14" s="98">
        <v>-0.10523446019629221</v>
      </c>
      <c r="CR14" s="98"/>
      <c r="CS14" s="98">
        <v>-0.10732196589769311</v>
      </c>
      <c r="CT14" s="98">
        <v>-4.8969072164948502E-2</v>
      </c>
      <c r="CU14" s="98">
        <v>0.14029180695847349</v>
      </c>
      <c r="CV14" s="98">
        <v>0.13732889420840541</v>
      </c>
      <c r="CW14" s="98">
        <v>5.6820906257492247E-2</v>
      </c>
      <c r="CX14" s="98">
        <v>-4.6394557823129179E-2</v>
      </c>
      <c r="CY14" s="98">
        <v>-4.5534150612959727E-2</v>
      </c>
      <c r="CZ14" s="98">
        <v>8.181441146395696E-2</v>
      </c>
      <c r="DA14" s="98">
        <v>-0.14733257661748</v>
      </c>
      <c r="DB14" s="98">
        <v>0.18857660924750649</v>
      </c>
      <c r="DC14" s="98">
        <v>8.5458952519028575E-3</v>
      </c>
      <c r="DD14" s="98">
        <v>-3.4587920261826999E-2</v>
      </c>
      <c r="DE14" s="98">
        <v>0.12012012012012011</v>
      </c>
      <c r="DF14" s="98">
        <v>-0.13636363636363641</v>
      </c>
      <c r="DG14" s="98"/>
      <c r="DH14" s="98"/>
      <c r="DI14" s="98">
        <v>5.6088782243551183E-2</v>
      </c>
      <c r="DJ14" s="98">
        <v>-0.37676438653637362</v>
      </c>
      <c r="DK14" s="98">
        <v>-7.4722107863318121E-2</v>
      </c>
      <c r="DL14" s="98"/>
      <c r="DM14" s="98">
        <v>-9.8915989159891526E-2</v>
      </c>
      <c r="DN14" s="98">
        <v>2.0565552699228769E-2</v>
      </c>
      <c r="DO14" s="98"/>
      <c r="DP14" s="98">
        <v>2.8488315718025788E-2</v>
      </c>
      <c r="DQ14" s="98">
        <v>-7.2625698324022325E-2</v>
      </c>
      <c r="DR14" s="98">
        <v>-7.701863354037275E-2</v>
      </c>
      <c r="DS14" s="98">
        <v>-2.5679196129512531E-2</v>
      </c>
      <c r="DT14" s="98"/>
      <c r="DU14" s="98">
        <v>-0.110896551724138</v>
      </c>
      <c r="DV14" s="98"/>
      <c r="DW14" s="98"/>
      <c r="DX14" s="98"/>
      <c r="DY14" s="98">
        <v>-9.5744680851063912E-2</v>
      </c>
      <c r="DZ14" s="98">
        <v>-6.6912972085385825E-2</v>
      </c>
      <c r="EA14" s="98">
        <v>-3.3033033033033177E-2</v>
      </c>
      <c r="EB14" s="98">
        <v>-0.20088000000000009</v>
      </c>
      <c r="EC14" s="98">
        <v>-3.9007092198581561E-2</v>
      </c>
      <c r="ED14" s="98">
        <v>-9.969788519637468E-2</v>
      </c>
      <c r="EE14" s="98">
        <v>-0.118421052631579</v>
      </c>
      <c r="EF14" s="98">
        <v>-0.22033285094066571</v>
      </c>
      <c r="EG14" s="98">
        <v>0.10503282275711159</v>
      </c>
      <c r="EH14" s="98"/>
      <c r="EI14" s="98">
        <v>-5.9254084435482753E-2</v>
      </c>
      <c r="EJ14" s="98"/>
      <c r="EK14" s="98">
        <v>-8.2439678284182305E-2</v>
      </c>
      <c r="EL14" s="98">
        <v>-0.17247706422018361</v>
      </c>
      <c r="EM14" s="98">
        <v>0.10695187165775399</v>
      </c>
      <c r="EN14" s="98">
        <v>1.442901224291937E-2</v>
      </c>
      <c r="EO14" s="98">
        <v>-2.953586497890304E-2</v>
      </c>
    </row>
    <row r="15" spans="1:145" x14ac:dyDescent="0.25">
      <c r="A15">
        <v>2021</v>
      </c>
      <c r="B15">
        <v>4</v>
      </c>
      <c r="C15" s="98">
        <v>5.2910546230172661E-2</v>
      </c>
      <c r="D15" s="98">
        <v>0</v>
      </c>
      <c r="E15" s="98">
        <v>-5.3571428571428492E-2</v>
      </c>
      <c r="F15" s="98">
        <v>-9.0909090909090939E-2</v>
      </c>
      <c r="G15" s="98"/>
      <c r="H15" s="98">
        <v>-0.17814726840855111</v>
      </c>
      <c r="I15" s="98"/>
      <c r="J15" s="98">
        <v>-5.0218340611353773E-2</v>
      </c>
      <c r="K15" s="98">
        <v>-0.18127786032689461</v>
      </c>
      <c r="L15" s="98"/>
      <c r="M15" s="98">
        <v>-7.9136690647481966E-2</v>
      </c>
      <c r="N15" s="98"/>
      <c r="O15" s="98"/>
      <c r="P15" s="98">
        <v>-0.21730769230769231</v>
      </c>
      <c r="Q15" s="98">
        <v>-0.1901840490797545</v>
      </c>
      <c r="R15" s="98">
        <v>4.2965204236006027E-2</v>
      </c>
      <c r="S15" s="98"/>
      <c r="T15" s="98">
        <v>-0.19399267399267389</v>
      </c>
      <c r="U15" s="98">
        <v>6.956521739130439E-2</v>
      </c>
      <c r="V15" s="98">
        <v>-0.1703539823008848</v>
      </c>
      <c r="W15" s="98">
        <v>-0.59983805668016199</v>
      </c>
      <c r="X15" s="98">
        <v>6.7820558106676199E-2</v>
      </c>
      <c r="Y15" s="98">
        <v>-0.12894736842105259</v>
      </c>
      <c r="Z15" s="98"/>
      <c r="AA15" s="98"/>
      <c r="AB15" s="98">
        <v>-1.124768067898407E-2</v>
      </c>
      <c r="AC15" s="98"/>
      <c r="AD15" s="98">
        <v>-0.14594594594594601</v>
      </c>
      <c r="AE15" s="98">
        <v>-0.40350069092584051</v>
      </c>
      <c r="AF15" s="98"/>
      <c r="AG15" s="98"/>
      <c r="AH15" s="98">
        <v>0.2429149797570849</v>
      </c>
      <c r="AI15" s="98">
        <v>-0.1631799163179917</v>
      </c>
      <c r="AJ15" s="98"/>
      <c r="AK15" s="98">
        <v>-0.1510791366906474</v>
      </c>
      <c r="AL15" s="98">
        <v>-5.9071729957805852E-2</v>
      </c>
      <c r="AM15" s="98">
        <v>-4.2034468263976499E-2</v>
      </c>
      <c r="AN15" s="98">
        <v>-8.333333333333337E-2</v>
      </c>
      <c r="AO15" s="98">
        <v>-0.11881188118811881</v>
      </c>
      <c r="AP15" s="98">
        <v>-0.13513513513513509</v>
      </c>
      <c r="AQ15" s="98"/>
      <c r="AR15" s="98">
        <v>0.23595505617977519</v>
      </c>
      <c r="AS15" s="98"/>
      <c r="AT15" s="98">
        <v>-0.106508875739645</v>
      </c>
      <c r="AU15" s="98"/>
      <c r="AV15" s="98">
        <v>-4.0404040404040442E-2</v>
      </c>
      <c r="AW15" s="98">
        <v>7.67402376910018E-2</v>
      </c>
      <c r="AX15" s="98">
        <v>-0.1232227488151658</v>
      </c>
      <c r="AY15" s="98">
        <v>-0.22475570032573289</v>
      </c>
      <c r="AZ15" s="98">
        <v>-0.2986913010007699</v>
      </c>
      <c r="BA15" s="98">
        <v>-3.9215686274509887E-2</v>
      </c>
      <c r="BB15" s="98">
        <v>0.18579234972677591</v>
      </c>
      <c r="BC15" s="98">
        <v>-0.1147540983606556</v>
      </c>
      <c r="BD15" s="98"/>
      <c r="BE15" s="98">
        <v>3.5225048923678948E-2</v>
      </c>
      <c r="BF15" s="98">
        <v>5.2165354330708569E-2</v>
      </c>
      <c r="BG15" s="98">
        <v>-4.4991511035653582E-2</v>
      </c>
      <c r="BH15" s="98"/>
      <c r="BI15" s="98"/>
      <c r="BJ15" s="98">
        <v>-5.9782608695652217E-2</v>
      </c>
      <c r="BK15" s="98">
        <v>-0.233502538071066</v>
      </c>
      <c r="BL15" s="98">
        <v>-0.11319612590799021</v>
      </c>
      <c r="BM15" s="98">
        <v>0.13629629629629639</v>
      </c>
      <c r="BN15" s="98"/>
      <c r="BO15" s="98">
        <v>-0.106145251396648</v>
      </c>
      <c r="BP15" s="98"/>
      <c r="BQ15" s="98">
        <v>-4.1841004184100417E-2</v>
      </c>
      <c r="BR15" s="98">
        <v>-0.1239242685025818</v>
      </c>
      <c r="BS15" s="98">
        <v>1.4736221632773329E-2</v>
      </c>
      <c r="BT15" s="98">
        <v>-0.1276595744680851</v>
      </c>
      <c r="BU15" s="98"/>
      <c r="BV15" s="98">
        <v>-0.16111111111111109</v>
      </c>
      <c r="BW15" s="98">
        <v>1.825150574923384E-4</v>
      </c>
      <c r="BX15" s="98">
        <v>-9.8573808348851877E-3</v>
      </c>
      <c r="BY15" s="98"/>
      <c r="BZ15" s="98">
        <v>-0.1506024096385542</v>
      </c>
      <c r="CA15" s="98">
        <v>-9.8039215686274606E-2</v>
      </c>
      <c r="CB15" s="98">
        <v>-4.3030501803870143E-2</v>
      </c>
      <c r="CC15" s="98">
        <v>-2.167832206883347E-2</v>
      </c>
      <c r="CD15" s="98">
        <v>-6.6225165562914023E-2</v>
      </c>
      <c r="CE15" s="98">
        <v>5.5762081784386693E-2</v>
      </c>
      <c r="CF15" s="98">
        <v>-0.13114754098360651</v>
      </c>
      <c r="CG15" s="98"/>
      <c r="CH15" s="98"/>
      <c r="CI15" s="98"/>
      <c r="CJ15" s="98">
        <v>-3.3597080569767623E-2</v>
      </c>
      <c r="CK15" s="98">
        <v>-0.1004395604395605</v>
      </c>
      <c r="CL15" s="98">
        <v>-1.9500000000000069E-2</v>
      </c>
      <c r="CM15" s="98"/>
      <c r="CN15" s="98">
        <v>9.2603049124788228E-2</v>
      </c>
      <c r="CO15" s="98">
        <v>-0.2017725289044241</v>
      </c>
      <c r="CP15" s="98">
        <v>7.0813397129186662E-2</v>
      </c>
      <c r="CQ15" s="98">
        <v>0.12004875076173049</v>
      </c>
      <c r="CR15" s="98"/>
      <c r="CS15" s="98">
        <v>-7.8651685393258397E-3</v>
      </c>
      <c r="CT15" s="98">
        <v>-3.2520325203252098E-2</v>
      </c>
      <c r="CU15" s="98">
        <v>4.9212598425196763E-2</v>
      </c>
      <c r="CV15" s="98">
        <v>4.9171890222605708E-3</v>
      </c>
      <c r="CW15" s="98">
        <v>-1.1796733212341089E-2</v>
      </c>
      <c r="CX15" s="98">
        <v>-9.8587530318162364E-2</v>
      </c>
      <c r="CY15" s="98">
        <v>-0.24954128440366971</v>
      </c>
      <c r="CZ15" s="98">
        <v>6.6796220466195377E-2</v>
      </c>
      <c r="DA15" s="98">
        <v>2.5559105431310011E-2</v>
      </c>
      <c r="DB15" s="98">
        <v>-0.148232901093313</v>
      </c>
      <c r="DC15" s="98">
        <v>2.866327877137342E-2</v>
      </c>
      <c r="DD15" s="98">
        <v>-0.2792510979274212</v>
      </c>
      <c r="DE15" s="98">
        <v>-0.13672922252010711</v>
      </c>
      <c r="DF15" s="98">
        <v>-0.2857142857142857</v>
      </c>
      <c r="DG15" s="98"/>
      <c r="DH15" s="98"/>
      <c r="DI15" s="98">
        <v>9.5143425163305873E-2</v>
      </c>
      <c r="DJ15" s="98">
        <v>5.2264808362367798E-3</v>
      </c>
      <c r="DK15" s="98">
        <v>4.1156840934371441E-2</v>
      </c>
      <c r="DL15" s="98"/>
      <c r="DM15" s="98">
        <v>-2.7067669172932459E-2</v>
      </c>
      <c r="DN15" s="98">
        <v>-4.7858942065491239E-2</v>
      </c>
      <c r="DO15" s="98"/>
      <c r="DP15" s="98">
        <v>0.10306595768752121</v>
      </c>
      <c r="DQ15" s="98">
        <v>-6.0240963855421659E-2</v>
      </c>
      <c r="DR15" s="98">
        <v>4.3068640646029673E-2</v>
      </c>
      <c r="DS15" s="98">
        <v>0.16310160427807491</v>
      </c>
      <c r="DT15" s="98"/>
      <c r="DU15" s="98">
        <v>-4.6850760161340273E-2</v>
      </c>
      <c r="DV15" s="98"/>
      <c r="DW15" s="98">
        <v>0</v>
      </c>
      <c r="DX15" s="98"/>
      <c r="DY15" s="98">
        <v>-0.2352941176470589</v>
      </c>
      <c r="DZ15" s="98">
        <v>-0.19313682358117021</v>
      </c>
      <c r="EA15" s="98">
        <v>-0.33229813664596258</v>
      </c>
      <c r="EB15" s="98">
        <v>-0.27970767844629091</v>
      </c>
      <c r="EC15" s="98">
        <v>-0.15498154981549819</v>
      </c>
      <c r="ED15" s="98">
        <v>-0.15436241610738249</v>
      </c>
      <c r="EE15" s="98">
        <v>-9.7014925373134275E-2</v>
      </c>
      <c r="EF15" s="98">
        <v>-0.17958236658932711</v>
      </c>
      <c r="EG15" s="98">
        <v>-0.1287128712871288</v>
      </c>
      <c r="EH15" s="98">
        <v>-0.1571125265392781</v>
      </c>
      <c r="EI15" s="98">
        <v>-4.7965435182528493E-2</v>
      </c>
      <c r="EJ15" s="98"/>
      <c r="EK15" s="98">
        <v>-0.27830533235938643</v>
      </c>
      <c r="EL15" s="98">
        <v>-0.15077605321507759</v>
      </c>
      <c r="EM15" s="98">
        <v>-7.004830917874405E-2</v>
      </c>
      <c r="EN15" s="98">
        <v>0.10037054419781601</v>
      </c>
      <c r="EO15" s="98">
        <v>5.7608695652173969E-2</v>
      </c>
    </row>
    <row r="16" spans="1:145" x14ac:dyDescent="0.25">
      <c r="A16">
        <v>2021</v>
      </c>
      <c r="B16">
        <v>5</v>
      </c>
      <c r="C16" s="98">
        <v>6.5660538214444841E-3</v>
      </c>
      <c r="D16" s="98">
        <v>-1.096159009564834E-4</v>
      </c>
      <c r="E16" s="98">
        <v>-6.7505241090146884E-2</v>
      </c>
      <c r="F16" s="98">
        <v>0.1227272727272728</v>
      </c>
      <c r="G16" s="98"/>
      <c r="H16" s="98">
        <v>-4.3352601156069204E-3</v>
      </c>
      <c r="I16" s="98"/>
      <c r="J16" s="98">
        <v>8.7356321839080708E-2</v>
      </c>
      <c r="K16" s="98">
        <v>2.722323049001818E-2</v>
      </c>
      <c r="L16" s="98"/>
      <c r="M16" s="98">
        <v>3.2151442307692291E-2</v>
      </c>
      <c r="N16" s="98"/>
      <c r="O16" s="98"/>
      <c r="P16" s="98">
        <v>-8.8452088452088518E-2</v>
      </c>
      <c r="Q16" s="98">
        <v>-6.0606060606060552E-2</v>
      </c>
      <c r="R16" s="98">
        <v>5.5120394545981943E-2</v>
      </c>
      <c r="S16" s="98"/>
      <c r="T16" s="98">
        <v>-0.1774222868569352</v>
      </c>
      <c r="U16" s="98">
        <v>1.3211382113821109E-2</v>
      </c>
      <c r="V16" s="98">
        <v>2.533333333333343E-2</v>
      </c>
      <c r="W16" s="98">
        <v>-0.1736139214892756</v>
      </c>
      <c r="X16" s="98">
        <v>4.1349652662918679E-3</v>
      </c>
      <c r="Y16" s="98">
        <v>-0.23262839879154079</v>
      </c>
      <c r="Z16" s="98"/>
      <c r="AA16" s="98"/>
      <c r="AB16" s="98">
        <v>5.2868540893222349E-2</v>
      </c>
      <c r="AC16" s="98"/>
      <c r="AD16" s="98">
        <v>-0.1603375527426161</v>
      </c>
      <c r="AE16" s="98">
        <v>4.9420849420849462E-2</v>
      </c>
      <c r="AF16" s="98"/>
      <c r="AG16" s="98"/>
      <c r="AH16" s="98">
        <v>-0.16449511400651459</v>
      </c>
      <c r="AI16" s="98">
        <v>-7.4999999999999956E-2</v>
      </c>
      <c r="AJ16" s="98"/>
      <c r="AK16" s="98">
        <v>-4.2372881355932202E-2</v>
      </c>
      <c r="AL16" s="98">
        <v>7.1300448430493324E-2</v>
      </c>
      <c r="AM16" s="98">
        <v>-5.2215884159719117E-2</v>
      </c>
      <c r="AN16" s="98">
        <v>-0.23376623376623371</v>
      </c>
      <c r="AO16" s="98">
        <v>0.1048689138576779</v>
      </c>
      <c r="AP16" s="98">
        <v>-0.16319444444444439</v>
      </c>
      <c r="AQ16" s="98"/>
      <c r="AR16" s="98">
        <v>3.6363636363636383E-2</v>
      </c>
      <c r="AS16" s="98"/>
      <c r="AT16" s="98">
        <v>-0.1523178807947021</v>
      </c>
      <c r="AU16" s="98"/>
      <c r="AV16" s="98">
        <v>-0.13157894736842099</v>
      </c>
      <c r="AW16" s="98">
        <v>0.13465783664459141</v>
      </c>
      <c r="AX16" s="98">
        <v>-1.7567567567567721E-2</v>
      </c>
      <c r="AY16" s="98">
        <v>-6.3025210084033612E-2</v>
      </c>
      <c r="AZ16" s="98">
        <v>0.18770581778265649</v>
      </c>
      <c r="BA16" s="98">
        <v>-0.26122448979591839</v>
      </c>
      <c r="BB16" s="98">
        <v>-0.18663594470046091</v>
      </c>
      <c r="BC16" s="98">
        <v>-0.2407407407407407</v>
      </c>
      <c r="BD16" s="98">
        <v>8.0307262569832005E-3</v>
      </c>
      <c r="BE16" s="98">
        <v>-9.6408317580340297E-2</v>
      </c>
      <c r="BF16" s="98">
        <v>-8.0449017773620124E-2</v>
      </c>
      <c r="BG16" s="98">
        <v>-0.2062222222222222</v>
      </c>
      <c r="BH16" s="98"/>
      <c r="BI16" s="98"/>
      <c r="BJ16" s="98">
        <v>-1.7341040462427789E-2</v>
      </c>
      <c r="BK16" s="98">
        <v>-3.9735099337748332E-2</v>
      </c>
      <c r="BL16" s="98">
        <v>9.0784982935153691E-2</v>
      </c>
      <c r="BM16" s="98">
        <v>0.19947848761408071</v>
      </c>
      <c r="BN16" s="98"/>
      <c r="BO16" s="98">
        <v>-0.1125</v>
      </c>
      <c r="BP16" s="98">
        <v>-0.2644053943604413</v>
      </c>
      <c r="BQ16" s="98">
        <v>0.1746724890829694</v>
      </c>
      <c r="BR16" s="98">
        <v>-0.1080550098231827</v>
      </c>
      <c r="BS16" s="98">
        <v>0.14464130119082191</v>
      </c>
      <c r="BT16" s="98">
        <v>0.17886178861788629</v>
      </c>
      <c r="BU16" s="98"/>
      <c r="BV16" s="98">
        <v>5.9602649006622599E-2</v>
      </c>
      <c r="BW16" s="98">
        <v>8.3515815085158041E-2</v>
      </c>
      <c r="BX16" s="98">
        <v>4.6531126993065053E-2</v>
      </c>
      <c r="BY16" s="98"/>
      <c r="BZ16" s="98">
        <v>3.7825059101654901E-2</v>
      </c>
      <c r="CA16" s="98">
        <v>0.20158102766798441</v>
      </c>
      <c r="CB16" s="98">
        <v>-0.19322777435053801</v>
      </c>
      <c r="CC16" s="98">
        <v>9.761408840299346E-2</v>
      </c>
      <c r="CD16" s="98">
        <v>-0.13475177304964539</v>
      </c>
      <c r="CE16" s="98">
        <v>5.9859154929577503E-2</v>
      </c>
      <c r="CF16" s="98">
        <v>-0.28699106256206558</v>
      </c>
      <c r="CG16" s="98"/>
      <c r="CH16" s="98"/>
      <c r="CI16" s="98"/>
      <c r="CJ16" s="98">
        <v>1.8656876398392312E-2</v>
      </c>
      <c r="CK16" s="98">
        <v>-0.13681895919863171</v>
      </c>
      <c r="CL16" s="98">
        <v>-7.8531361550229439E-2</v>
      </c>
      <c r="CM16" s="98"/>
      <c r="CN16" s="98">
        <v>-0.4315245478036176</v>
      </c>
      <c r="CO16" s="98">
        <v>0</v>
      </c>
      <c r="CP16" s="98">
        <v>0.27077747989276157</v>
      </c>
      <c r="CQ16" s="98">
        <v>-0.20783460282916211</v>
      </c>
      <c r="CR16" s="98"/>
      <c r="CS16" s="98">
        <v>-0.13986409966024921</v>
      </c>
      <c r="CT16" s="98">
        <v>-0.10644257703081229</v>
      </c>
      <c r="CU16" s="98">
        <v>8.0675422138836828E-2</v>
      </c>
      <c r="CV16" s="98">
        <v>0.14967485846511239</v>
      </c>
      <c r="CW16" s="98">
        <v>0.1448576675849402</v>
      </c>
      <c r="CX16" s="98">
        <v>-3.9727761949984168E-2</v>
      </c>
      <c r="CY16" s="98">
        <v>-0.24816625916870419</v>
      </c>
      <c r="CZ16" s="98">
        <v>1.20419594284793E-2</v>
      </c>
      <c r="DA16" s="98">
        <v>-8.2294911734164145E-2</v>
      </c>
      <c r="DB16" s="98">
        <v>-0.10268656716417909</v>
      </c>
      <c r="DC16" s="98">
        <v>0.10833590353158901</v>
      </c>
      <c r="DD16" s="98">
        <v>-5.4262074273619398E-2</v>
      </c>
      <c r="DE16" s="98">
        <v>-5.9006211180124279E-2</v>
      </c>
      <c r="DF16" s="98">
        <v>-2.0526315789473729E-2</v>
      </c>
      <c r="DG16" s="98"/>
      <c r="DH16" s="98"/>
      <c r="DI16" s="98">
        <v>-0.1029564315352697</v>
      </c>
      <c r="DJ16" s="98">
        <v>-0.13344887348353551</v>
      </c>
      <c r="DK16" s="98">
        <v>0.15213675213675229</v>
      </c>
      <c r="DL16" s="98">
        <v>-4.0241448692152071E-3</v>
      </c>
      <c r="DM16" s="98">
        <v>-0.1251931993817619</v>
      </c>
      <c r="DN16" s="98">
        <v>0.26719576719576721</v>
      </c>
      <c r="DO16" s="98"/>
      <c r="DP16" s="98">
        <v>-1.673504273504256E-2</v>
      </c>
      <c r="DQ16" s="98">
        <v>3.8461538461538547E-2</v>
      </c>
      <c r="DR16" s="98">
        <v>-1.419354838709674E-2</v>
      </c>
      <c r="DS16" s="98">
        <v>-1.9704433497536918E-2</v>
      </c>
      <c r="DT16" s="98"/>
      <c r="DU16" s="98">
        <v>8.4635416666666741E-2</v>
      </c>
      <c r="DV16" s="98"/>
      <c r="DW16" s="98">
        <v>-0.22227272727272729</v>
      </c>
      <c r="DX16" s="98"/>
      <c r="DY16" s="98">
        <v>6.9230769230769207E-2</v>
      </c>
      <c r="DZ16" s="98">
        <v>-9.1057797164667331E-2</v>
      </c>
      <c r="EA16" s="98">
        <v>1.627906976744176E-2</v>
      </c>
      <c r="EB16" s="98">
        <v>-0.38012508686587909</v>
      </c>
      <c r="EC16" s="98">
        <v>-6.9868995633187825E-2</v>
      </c>
      <c r="ED16" s="98">
        <v>-3.1746031746031737E-2</v>
      </c>
      <c r="EE16" s="98">
        <v>0</v>
      </c>
      <c r="EF16" s="98">
        <v>-1.13122171945701E-3</v>
      </c>
      <c r="EG16" s="98">
        <v>-0.146969696969697</v>
      </c>
      <c r="EH16" s="98">
        <v>8.5642317380352662E-2</v>
      </c>
      <c r="EI16" s="98">
        <v>0.15410661419277069</v>
      </c>
      <c r="EJ16" s="98"/>
      <c r="EK16" s="98">
        <v>-0.2004048582995952</v>
      </c>
      <c r="EL16" s="98">
        <v>-0.18537859007832899</v>
      </c>
      <c r="EM16" s="98">
        <v>-0.21298701298701311</v>
      </c>
      <c r="EN16" s="98">
        <v>2.1094728226860541E-2</v>
      </c>
      <c r="EO16" s="98">
        <v>5.2415210688592007E-2</v>
      </c>
    </row>
    <row r="17" spans="1:145" x14ac:dyDescent="0.25">
      <c r="A17">
        <v>2021</v>
      </c>
      <c r="B17">
        <v>6</v>
      </c>
      <c r="C17" s="98">
        <v>2.2472572873903029E-2</v>
      </c>
      <c r="D17" s="98">
        <v>-2.192558358390384E-4</v>
      </c>
      <c r="E17" s="98">
        <v>-0.21043165467625899</v>
      </c>
      <c r="F17" s="98">
        <v>3.238866396761142E-2</v>
      </c>
      <c r="G17" s="98"/>
      <c r="H17" s="98">
        <v>0.13207547169811321</v>
      </c>
      <c r="I17" s="98"/>
      <c r="J17" s="98">
        <v>6.5539112050739812E-2</v>
      </c>
      <c r="K17" s="98">
        <v>-9.540636042402828E-2</v>
      </c>
      <c r="L17" s="98"/>
      <c r="M17" s="98">
        <v>2.037845705967967E-2</v>
      </c>
      <c r="N17" s="98"/>
      <c r="O17" s="98"/>
      <c r="P17" s="98">
        <v>7.0080862533692834E-2</v>
      </c>
      <c r="Q17" s="98">
        <v>-4.0322580645161248E-2</v>
      </c>
      <c r="R17" s="98">
        <v>5.8564751168545648E-2</v>
      </c>
      <c r="S17" s="98"/>
      <c r="T17" s="98">
        <v>-0.13812154696132589</v>
      </c>
      <c r="U17" s="98">
        <v>-0.48645937813440321</v>
      </c>
      <c r="V17" s="98">
        <v>-0.1248374512353706</v>
      </c>
      <c r="W17" s="98">
        <v>5.1909892262487663E-2</v>
      </c>
      <c r="X17" s="98">
        <v>0.11118431889309829</v>
      </c>
      <c r="Y17" s="98">
        <v>-1.3779527559054979E-2</v>
      </c>
      <c r="Z17" s="98"/>
      <c r="AA17" s="98"/>
      <c r="AB17" s="98">
        <v>1.673676831405535E-2</v>
      </c>
      <c r="AC17" s="98">
        <v>-1.2755102040816309E-2</v>
      </c>
      <c r="AD17" s="98">
        <v>0.36432160804020097</v>
      </c>
      <c r="AE17" s="98">
        <v>5.0036791758645949E-2</v>
      </c>
      <c r="AF17" s="98"/>
      <c r="AG17" s="98"/>
      <c r="AH17" s="98">
        <v>0.89863547758284601</v>
      </c>
      <c r="AI17" s="98">
        <v>5.9459459459459518E-2</v>
      </c>
      <c r="AJ17" s="98"/>
      <c r="AK17" s="98">
        <v>0.1061946902654867</v>
      </c>
      <c r="AL17" s="98">
        <v>-1.04646295521138E-2</v>
      </c>
      <c r="AM17" s="98">
        <v>1.8518518518518379E-2</v>
      </c>
      <c r="AN17" s="98">
        <v>0.2257627118644068</v>
      </c>
      <c r="AO17" s="98">
        <v>-3.5593220338983038E-2</v>
      </c>
      <c r="AP17" s="98">
        <v>-5.1175656984785663E-2</v>
      </c>
      <c r="AQ17" s="98"/>
      <c r="AR17" s="98">
        <v>0.52631578947368429</v>
      </c>
      <c r="AS17" s="98"/>
      <c r="AT17" s="98">
        <v>0.4765625</v>
      </c>
      <c r="AU17" s="98"/>
      <c r="AV17" s="98">
        <v>-1.212121212121209E-2</v>
      </c>
      <c r="AW17" s="98">
        <v>-3.5853251806559183E-2</v>
      </c>
      <c r="AX17" s="98">
        <v>8.6657496561210579E-2</v>
      </c>
      <c r="AY17" s="98">
        <v>6.7264573991031362E-2</v>
      </c>
      <c r="AZ17" s="98">
        <v>0.16913123844731981</v>
      </c>
      <c r="BA17" s="98">
        <v>6.228026117528862E-2</v>
      </c>
      <c r="BB17" s="98">
        <v>-0.12747875354107641</v>
      </c>
      <c r="BC17" s="98">
        <v>0.11382113821138209</v>
      </c>
      <c r="BD17" s="98">
        <v>-0.26117076550051971</v>
      </c>
      <c r="BE17" s="98">
        <v>3.7656903765690419E-2</v>
      </c>
      <c r="BF17" s="98">
        <v>-8.5452695829094538E-2</v>
      </c>
      <c r="BG17" s="98">
        <v>0.17357222844344911</v>
      </c>
      <c r="BH17" s="98"/>
      <c r="BI17" s="98"/>
      <c r="BJ17" s="98">
        <v>0.16470588235294131</v>
      </c>
      <c r="BK17" s="98">
        <v>0.10344827586206901</v>
      </c>
      <c r="BL17" s="98">
        <v>-0.1167083854818524</v>
      </c>
      <c r="BM17" s="98">
        <v>9.7826086956520619E-3</v>
      </c>
      <c r="BN17" s="98"/>
      <c r="BO17" s="98">
        <v>0.15492957746478869</v>
      </c>
      <c r="BP17" s="98">
        <v>-0.22000000000000011</v>
      </c>
      <c r="BQ17" s="98">
        <v>-2.973977695167274E-3</v>
      </c>
      <c r="BR17" s="98">
        <v>0.16299559471365649</v>
      </c>
      <c r="BS17" s="98">
        <v>3.5777721390510157E-2</v>
      </c>
      <c r="BT17" s="98">
        <v>0.59310344827586192</v>
      </c>
      <c r="BU17" s="98"/>
      <c r="BV17" s="98">
        <v>-1.2499999999999961E-2</v>
      </c>
      <c r="BW17" s="98">
        <v>-2.7507999775445709E-3</v>
      </c>
      <c r="BX17" s="98">
        <v>-2.664748568662112E-2</v>
      </c>
      <c r="BY17" s="98"/>
      <c r="BZ17" s="98">
        <v>-0.17084282460136671</v>
      </c>
      <c r="CA17" s="98">
        <v>0.15131578947368429</v>
      </c>
      <c r="CB17" s="98">
        <v>0.11461342395921829</v>
      </c>
      <c r="CC17" s="98">
        <v>0.14909356603498841</v>
      </c>
      <c r="CD17" s="98">
        <v>0.14754098360655751</v>
      </c>
      <c r="CE17" s="98">
        <v>-4.9833887043189362E-2</v>
      </c>
      <c r="CF17" s="98">
        <v>0.1183844011142061</v>
      </c>
      <c r="CG17" s="98"/>
      <c r="CH17" s="98"/>
      <c r="CI17" s="98"/>
      <c r="CJ17" s="98">
        <v>8.3214079720650425E-2</v>
      </c>
      <c r="CK17" s="98">
        <v>-4.9816020379281123E-2</v>
      </c>
      <c r="CL17" s="98">
        <v>-5.0359712230215847E-2</v>
      </c>
      <c r="CM17" s="98"/>
      <c r="CN17" s="98">
        <v>-0.4718181818181818</v>
      </c>
      <c r="CO17" s="98">
        <v>-0.30277766981486531</v>
      </c>
      <c r="CP17" s="98">
        <v>-0.34528832630098449</v>
      </c>
      <c r="CQ17" s="98">
        <v>-2.6098901098901121E-2</v>
      </c>
      <c r="CR17" s="98"/>
      <c r="CS17" s="98">
        <v>-2.3041474654377891E-2</v>
      </c>
      <c r="CT17" s="98">
        <v>-2.5078369905956129E-2</v>
      </c>
      <c r="CU17" s="98">
        <v>0.16145833333333351</v>
      </c>
      <c r="CV17" s="98">
        <v>2.8842023197721559E-2</v>
      </c>
      <c r="CW17" s="98">
        <v>4.4716262281933039E-2</v>
      </c>
      <c r="CX17" s="98">
        <v>1.648261084554736E-4</v>
      </c>
      <c r="CY17" s="98">
        <v>0.3317073170731708</v>
      </c>
      <c r="CZ17" s="98">
        <v>1.1102777990357421E-2</v>
      </c>
      <c r="DA17" s="98">
        <v>-4.2432814710042448E-2</v>
      </c>
      <c r="DB17" s="98">
        <v>-3.1270791749833597E-2</v>
      </c>
      <c r="DC17" s="98">
        <v>-1.248550130396042E-3</v>
      </c>
      <c r="DD17" s="98">
        <v>0.29166949248332791</v>
      </c>
      <c r="DE17" s="98">
        <v>3.3003300330032959E-2</v>
      </c>
      <c r="DF17" s="98">
        <v>0.11767866738312741</v>
      </c>
      <c r="DG17" s="98"/>
      <c r="DH17" s="98"/>
      <c r="DI17" s="98">
        <v>-7.4588031222896922E-2</v>
      </c>
      <c r="DJ17" s="98">
        <v>-2.799999999999991E-2</v>
      </c>
      <c r="DK17" s="98">
        <v>0.58456973293768533</v>
      </c>
      <c r="DL17" s="98">
        <v>2.0202020202020332E-3</v>
      </c>
      <c r="DM17" s="98">
        <v>7.9505300353357011E-2</v>
      </c>
      <c r="DN17" s="98">
        <v>-0.23173277661795399</v>
      </c>
      <c r="DO17" s="98"/>
      <c r="DP17" s="98">
        <v>-0.10921228768623641</v>
      </c>
      <c r="DQ17" s="98">
        <v>-6.1728395061728669E-3</v>
      </c>
      <c r="DR17" s="98">
        <v>-3.9267015706806241E-2</v>
      </c>
      <c r="DS17" s="98">
        <v>3.1490787269681693E-2</v>
      </c>
      <c r="DT17" s="98"/>
      <c r="DU17" s="98">
        <v>-0.13025210084033609</v>
      </c>
      <c r="DV17" s="98"/>
      <c r="DW17" s="98">
        <v>-0.2834599649327878</v>
      </c>
      <c r="DX17" s="98"/>
      <c r="DY17" s="98">
        <v>-7.194244604316502E-3</v>
      </c>
      <c r="DZ17" s="98">
        <v>8.458308338332321E-2</v>
      </c>
      <c r="EA17" s="98">
        <v>0.4416475972540046</v>
      </c>
      <c r="EB17" s="98">
        <v>3.5874439461883512E-2</v>
      </c>
      <c r="EC17" s="98">
        <v>5.6338028169014231E-2</v>
      </c>
      <c r="ED17" s="98">
        <v>6.5573770491803351E-2</v>
      </c>
      <c r="EE17" s="98">
        <v>-1.6528925619834659E-2</v>
      </c>
      <c r="EF17" s="98">
        <v>-8.6070215175537923E-2</v>
      </c>
      <c r="EG17" s="98">
        <v>3.5523978685614299E-3</v>
      </c>
      <c r="EH17" s="98">
        <v>5.5684454756380619E-2</v>
      </c>
      <c r="EI17" s="98">
        <v>-6.2340634696322672E-2</v>
      </c>
      <c r="EJ17" s="98"/>
      <c r="EK17" s="98">
        <v>-0.11139240506329109</v>
      </c>
      <c r="EL17" s="98">
        <v>0.30448717948717952</v>
      </c>
      <c r="EM17" s="98">
        <v>-4.2904290429042868E-2</v>
      </c>
      <c r="EN17" s="98">
        <v>5.4788646408113539E-2</v>
      </c>
      <c r="EO17" s="98">
        <v>0.251953125</v>
      </c>
    </row>
    <row r="18" spans="1:145" x14ac:dyDescent="0.25">
      <c r="A18">
        <v>2021</v>
      </c>
      <c r="B18">
        <v>7</v>
      </c>
      <c r="C18" s="98">
        <v>2.441245616595622E-2</v>
      </c>
      <c r="D18" s="98">
        <v>-1.084199152598941E-4</v>
      </c>
      <c r="E18" s="98">
        <v>-0.14977220956719819</v>
      </c>
      <c r="F18" s="98">
        <v>-4.3137254901960742E-2</v>
      </c>
      <c r="G18" s="98"/>
      <c r="H18" s="98">
        <v>-6.5384615384615374E-2</v>
      </c>
      <c r="I18" s="98"/>
      <c r="J18" s="98">
        <v>3.9186507936507908E-2</v>
      </c>
      <c r="K18" s="98">
        <v>-3.7109375000000111E-2</v>
      </c>
      <c r="L18" s="98">
        <v>6.4281524926686151E-2</v>
      </c>
      <c r="M18" s="98">
        <v>-3.1954350927246737E-2</v>
      </c>
      <c r="N18" s="98"/>
      <c r="O18" s="98"/>
      <c r="P18" s="98">
        <v>-0.181360201511335</v>
      </c>
      <c r="Q18" s="98">
        <v>-0.16</v>
      </c>
      <c r="R18" s="98">
        <v>0.31298701298701292</v>
      </c>
      <c r="S18" s="98"/>
      <c r="T18" s="98">
        <v>-0.19230769230769229</v>
      </c>
      <c r="U18" s="98">
        <v>-6.1523437500000111E-2</v>
      </c>
      <c r="V18" s="98">
        <v>0.15453194650817231</v>
      </c>
      <c r="W18" s="98">
        <v>0.16573556797020481</v>
      </c>
      <c r="X18" s="98">
        <v>-0.27972131633560621</v>
      </c>
      <c r="Y18" s="98">
        <v>-0.20758483033932129</v>
      </c>
      <c r="Z18" s="98"/>
      <c r="AA18" s="98"/>
      <c r="AB18" s="98">
        <v>2.3192277859174441E-2</v>
      </c>
      <c r="AC18" s="98">
        <v>-1.550387596899294E-3</v>
      </c>
      <c r="AD18" s="98">
        <v>-0.2338858195211786</v>
      </c>
      <c r="AE18" s="98">
        <v>-0.16117729502452721</v>
      </c>
      <c r="AF18" s="98"/>
      <c r="AG18" s="98"/>
      <c r="AH18" s="98">
        <v>1.0266940451745249E-2</v>
      </c>
      <c r="AI18" s="98">
        <v>-0.1224489795918368</v>
      </c>
      <c r="AJ18" s="98"/>
      <c r="AK18" s="98">
        <v>-7.1999999999999953E-2</v>
      </c>
      <c r="AL18" s="98">
        <v>5.2876480541455217E-2</v>
      </c>
      <c r="AM18" s="98">
        <v>-5.5909090909090908E-2</v>
      </c>
      <c r="AN18" s="98">
        <v>0.1200221238938055</v>
      </c>
      <c r="AO18" s="98">
        <v>0.14235500878734619</v>
      </c>
      <c r="AP18" s="98">
        <v>-0.15306122448979601</v>
      </c>
      <c r="AQ18" s="98"/>
      <c r="AR18" s="98">
        <v>-0.4568965517241379</v>
      </c>
      <c r="AS18" s="98"/>
      <c r="AT18" s="98">
        <v>-0.18518518518518509</v>
      </c>
      <c r="AU18" s="98"/>
      <c r="AV18" s="98">
        <v>-0.13496932515337429</v>
      </c>
      <c r="AW18" s="98">
        <v>5.1311617180743729E-2</v>
      </c>
      <c r="AX18" s="98">
        <v>-0.3177215189873418</v>
      </c>
      <c r="AY18" s="98">
        <v>-0.19747899159663859</v>
      </c>
      <c r="AZ18" s="98">
        <v>-0.14466403162055341</v>
      </c>
      <c r="BA18" s="98">
        <v>-0.27234042553191479</v>
      </c>
      <c r="BB18" s="98">
        <v>-0.16558441558441561</v>
      </c>
      <c r="BC18" s="98">
        <v>-0.18248175182481749</v>
      </c>
      <c r="BD18" s="98">
        <v>-0.17909048288795121</v>
      </c>
      <c r="BE18" s="98">
        <v>-0.14717741935483869</v>
      </c>
      <c r="BF18" s="98">
        <v>-8.5650723025583964E-2</v>
      </c>
      <c r="BG18" s="98">
        <v>-0.3024809160305344</v>
      </c>
      <c r="BH18" s="98"/>
      <c r="BI18" s="98"/>
      <c r="BJ18" s="98">
        <v>-0.22222222222222221</v>
      </c>
      <c r="BK18" s="98">
        <v>-0.19375000000000001</v>
      </c>
      <c r="BL18" s="98">
        <v>-7.332624867162596E-2</v>
      </c>
      <c r="BM18" s="98">
        <v>-3.982777179763175E-2</v>
      </c>
      <c r="BN18" s="98"/>
      <c r="BO18" s="98">
        <v>7.92682926829269E-2</v>
      </c>
      <c r="BP18" s="98">
        <v>-0.29415954415954421</v>
      </c>
      <c r="BQ18" s="98">
        <v>5.7419835943325781E-2</v>
      </c>
      <c r="BR18" s="98">
        <v>-0.20454545454545461</v>
      </c>
      <c r="BS18" s="98">
        <v>-0.15899069083782469</v>
      </c>
      <c r="BT18" s="98">
        <v>-0.66281385281385274</v>
      </c>
      <c r="BU18" s="98"/>
      <c r="BV18" s="98">
        <v>-0.1139240506329114</v>
      </c>
      <c r="BW18" s="98">
        <v>-4.5710425579824188E-2</v>
      </c>
      <c r="BX18" s="98">
        <v>4.5283477896529423E-2</v>
      </c>
      <c r="BY18" s="98"/>
      <c r="BZ18" s="98">
        <v>-0.30769230769230771</v>
      </c>
      <c r="CA18" s="98">
        <v>-0.11</v>
      </c>
      <c r="CB18" s="98">
        <v>-0.13476636938791059</v>
      </c>
      <c r="CC18" s="98">
        <v>6.0909705989504959E-2</v>
      </c>
      <c r="CD18" s="98">
        <v>-5.7142857142857162E-2</v>
      </c>
      <c r="CE18" s="98">
        <v>-0.19580419580419581</v>
      </c>
      <c r="CF18" s="98">
        <v>-0.1980074719800746</v>
      </c>
      <c r="CG18" s="98"/>
      <c r="CH18" s="98"/>
      <c r="CI18" s="98"/>
      <c r="CJ18" s="98">
        <v>-1.1571932056453569E-2</v>
      </c>
      <c r="CK18" s="98">
        <v>2.100089365504898E-2</v>
      </c>
      <c r="CL18" s="98">
        <v>-7.9836829836829937E-2</v>
      </c>
      <c r="CM18" s="98"/>
      <c r="CN18" s="98">
        <v>0.30636833046471601</v>
      </c>
      <c r="CO18" s="98">
        <v>-0.28286863694220171</v>
      </c>
      <c r="CP18" s="98">
        <v>-7.1965628356605804E-2</v>
      </c>
      <c r="CQ18" s="98">
        <v>-0.22355430183356839</v>
      </c>
      <c r="CR18" s="98">
        <v>-4.1307606595749842E-2</v>
      </c>
      <c r="CS18" s="98">
        <v>-2.291105121293802E-2</v>
      </c>
      <c r="CT18" s="98">
        <v>-8.6816720257234636E-2</v>
      </c>
      <c r="CU18" s="98">
        <v>6.0538116591928093E-2</v>
      </c>
      <c r="CV18" s="98">
        <v>-0.18039860045233999</v>
      </c>
      <c r="CW18" s="98">
        <v>8.6372360844528817E-3</v>
      </c>
      <c r="CX18" s="98">
        <v>-2.8510217534607699E-2</v>
      </c>
      <c r="CY18" s="98">
        <v>-0.26984126984126988</v>
      </c>
      <c r="CZ18" s="98">
        <v>0.10317224842719711</v>
      </c>
      <c r="DA18" s="98">
        <v>-5.1698670605612951E-2</v>
      </c>
      <c r="DB18" s="98">
        <v>-0.30631868131868129</v>
      </c>
      <c r="DC18" s="98">
        <v>4.7546133285991887E-2</v>
      </c>
      <c r="DD18" s="98">
        <v>0.15485587272695439</v>
      </c>
      <c r="DE18" s="98">
        <v>-2.8753993610223679E-2</v>
      </c>
      <c r="DF18" s="98">
        <v>-0.18769230769230771</v>
      </c>
      <c r="DG18" s="98"/>
      <c r="DH18" s="98"/>
      <c r="DI18" s="98">
        <v>-0.1877538269290846</v>
      </c>
      <c r="DJ18" s="98">
        <v>-0.27983539094650212</v>
      </c>
      <c r="DK18" s="98">
        <v>-0.18621254681647939</v>
      </c>
      <c r="DL18" s="98">
        <v>4.0322580645162356E-3</v>
      </c>
      <c r="DM18" s="98">
        <v>-0.1031096563011457</v>
      </c>
      <c r="DN18" s="98">
        <v>-5.2989130434782712E-2</v>
      </c>
      <c r="DO18" s="98"/>
      <c r="DP18" s="98">
        <v>1.4325025859208919E-2</v>
      </c>
      <c r="DQ18" s="98">
        <v>-5.5900621118012417E-2</v>
      </c>
      <c r="DR18" s="98">
        <v>-8.5831062670299829E-2</v>
      </c>
      <c r="DS18" s="98">
        <v>-0.14485222474829501</v>
      </c>
      <c r="DT18" s="98"/>
      <c r="DU18" s="98">
        <v>-0.22118702553485159</v>
      </c>
      <c r="DV18" s="98"/>
      <c r="DW18" s="98">
        <v>-0.38825448613376828</v>
      </c>
      <c r="DX18" s="98"/>
      <c r="DY18" s="98">
        <v>-0.14492753623188401</v>
      </c>
      <c r="DZ18" s="98">
        <v>-0.19192477876106201</v>
      </c>
      <c r="EA18" s="98">
        <v>-0.2142857142857143</v>
      </c>
      <c r="EB18" s="98">
        <v>-0.28282828282828287</v>
      </c>
      <c r="EC18" s="98">
        <v>-0.15555555555555561</v>
      </c>
      <c r="ED18" s="98">
        <v>-0.1384615384615385</v>
      </c>
      <c r="EE18" s="98">
        <v>-0.1596638655462185</v>
      </c>
      <c r="EF18" s="98">
        <v>-0.14869888475836429</v>
      </c>
      <c r="EG18" s="98">
        <v>-5.3097345132743452E-2</v>
      </c>
      <c r="EH18" s="98">
        <v>-2.1978021978022011E-2</v>
      </c>
      <c r="EI18" s="98">
        <v>-1.5390664034663829E-2</v>
      </c>
      <c r="EJ18" s="98"/>
      <c r="EK18" s="98">
        <v>-0.2307692307692307</v>
      </c>
      <c r="EL18" s="98">
        <v>-0.24570024570024579</v>
      </c>
      <c r="EM18" s="98">
        <v>-0.1103448275862069</v>
      </c>
      <c r="EN18" s="98">
        <v>8.9038580726419125E-2</v>
      </c>
      <c r="EO18" s="98">
        <v>-0.2129485179407177</v>
      </c>
    </row>
    <row r="19" spans="1:145" x14ac:dyDescent="0.25">
      <c r="A19">
        <v>2021</v>
      </c>
      <c r="B19">
        <v>8</v>
      </c>
      <c r="C19" s="98">
        <v>2.9760085482632759E-2</v>
      </c>
      <c r="D19" s="98">
        <v>-1.096638494968438E-4</v>
      </c>
      <c r="E19" s="98">
        <v>8.5733422638982093E-2</v>
      </c>
      <c r="F19" s="98">
        <v>0.68032786885245899</v>
      </c>
      <c r="G19" s="98"/>
      <c r="H19" s="98">
        <v>-0.10425240054869681</v>
      </c>
      <c r="I19" s="98"/>
      <c r="J19" s="98">
        <v>-6.1575178997613333E-2</v>
      </c>
      <c r="K19" s="98">
        <v>0.1440162271805274</v>
      </c>
      <c r="L19" s="98">
        <v>-7.0042984679819287E-2</v>
      </c>
      <c r="M19" s="98">
        <v>-0.1061007957559682</v>
      </c>
      <c r="N19" s="98"/>
      <c r="O19" s="98"/>
      <c r="P19" s="98">
        <v>0.40923076923076929</v>
      </c>
      <c r="Q19" s="98">
        <v>-8.873549419767901E-2</v>
      </c>
      <c r="R19" s="98">
        <v>-0.1472799208704253</v>
      </c>
      <c r="S19" s="98"/>
      <c r="T19" s="98">
        <v>-0.1507936507936507</v>
      </c>
      <c r="U19" s="98">
        <v>0.1019771071800208</v>
      </c>
      <c r="V19" s="98">
        <v>6.6924066924066938E-2</v>
      </c>
      <c r="W19" s="98">
        <v>0.1869009584664536</v>
      </c>
      <c r="X19" s="98">
        <v>-0.47149619263222892</v>
      </c>
      <c r="Y19" s="98">
        <v>-4.2821158690176442E-2</v>
      </c>
      <c r="Z19" s="98"/>
      <c r="AA19" s="98"/>
      <c r="AB19" s="98">
        <v>-1.48819501183447E-2</v>
      </c>
      <c r="AC19" s="98">
        <v>0</v>
      </c>
      <c r="AD19" s="98">
        <v>5.2884615384615419E-2</v>
      </c>
      <c r="AE19" s="98">
        <v>0.31829573934837119</v>
      </c>
      <c r="AF19" s="98"/>
      <c r="AG19" s="98"/>
      <c r="AH19" s="98">
        <v>0.40040650406504058</v>
      </c>
      <c r="AI19" s="98">
        <v>-1.162790697674421E-2</v>
      </c>
      <c r="AJ19" s="98"/>
      <c r="AK19" s="98">
        <v>8.6206896551723755E-3</v>
      </c>
      <c r="AL19" s="98">
        <v>-0.17517075130574519</v>
      </c>
      <c r="AM19" s="98">
        <v>2.4554646124217649E-2</v>
      </c>
      <c r="AN19" s="98">
        <v>-0.15333333333333329</v>
      </c>
      <c r="AO19" s="98">
        <v>-0.1138461538461539</v>
      </c>
      <c r="AP19" s="98">
        <v>0.1118760757314974</v>
      </c>
      <c r="AQ19" s="98"/>
      <c r="AR19" s="98">
        <v>0.19047619047619049</v>
      </c>
      <c r="AS19" s="98"/>
      <c r="AT19" s="98">
        <v>0.13636363636363619</v>
      </c>
      <c r="AU19" s="98"/>
      <c r="AV19" s="98">
        <v>-1.418439716312048E-2</v>
      </c>
      <c r="AW19" s="98">
        <v>-8.4727173018919522E-2</v>
      </c>
      <c r="AX19" s="98">
        <v>-0.111317254174397</v>
      </c>
      <c r="AY19" s="98">
        <v>4.1884816753926753E-2</v>
      </c>
      <c r="AZ19" s="98">
        <v>-2.0332717190388209E-2</v>
      </c>
      <c r="BA19" s="98">
        <v>-0.15399610136452249</v>
      </c>
      <c r="BB19" s="98">
        <v>2.5291828793774229E-2</v>
      </c>
      <c r="BC19" s="98">
        <v>4.4642857142856977E-2</v>
      </c>
      <c r="BD19" s="98">
        <v>-9.5374071958880702E-2</v>
      </c>
      <c r="BE19" s="98">
        <v>0.30023640661938539</v>
      </c>
      <c r="BF19" s="98">
        <v>0.33090024330900231</v>
      </c>
      <c r="BG19" s="98">
        <v>3.0629274965800271</v>
      </c>
      <c r="BH19" s="98">
        <v>0.1101522842639595</v>
      </c>
      <c r="BI19" s="98"/>
      <c r="BJ19" s="98">
        <v>4.5454545454545407E-2</v>
      </c>
      <c r="BK19" s="98">
        <v>5.4263565891472958E-2</v>
      </c>
      <c r="BL19" s="98">
        <v>0.29548929663608559</v>
      </c>
      <c r="BM19" s="98">
        <v>0.1883408071748878</v>
      </c>
      <c r="BN19" s="98"/>
      <c r="BO19" s="98">
        <v>-7.9096045197740161E-2</v>
      </c>
      <c r="BP19" s="98">
        <v>0.29868819374369321</v>
      </c>
      <c r="BQ19" s="98">
        <v>7.6163610719323094E-2</v>
      </c>
      <c r="BR19" s="98">
        <v>5.9523809523809527E-2</v>
      </c>
      <c r="BS19" s="98">
        <v>-3.2915817069618318E-2</v>
      </c>
      <c r="BT19" s="98">
        <v>-0.13981255616895619</v>
      </c>
      <c r="BU19" s="98"/>
      <c r="BV19" s="98">
        <v>-0.1428571428571429</v>
      </c>
      <c r="BW19" s="98">
        <v>-0.2230415290231241</v>
      </c>
      <c r="BX19" s="98">
        <v>1.140130324621969E-2</v>
      </c>
      <c r="BY19" s="98"/>
      <c r="BZ19" s="98">
        <v>-0.26984126984126988</v>
      </c>
      <c r="CA19" s="98">
        <v>-1.6051364365972101E-3</v>
      </c>
      <c r="CB19" s="98">
        <v>0.16553607611664181</v>
      </c>
      <c r="CC19" s="98">
        <v>6.4161706201086854E-2</v>
      </c>
      <c r="CD19" s="98">
        <v>-7.5757575757576801E-3</v>
      </c>
      <c r="CE19" s="98">
        <v>0.16086956521739129</v>
      </c>
      <c r="CF19" s="98">
        <v>0.1086956521739129</v>
      </c>
      <c r="CG19" s="98"/>
      <c r="CH19" s="98"/>
      <c r="CI19" s="98"/>
      <c r="CJ19" s="98">
        <v>-7.5448073031173513E-3</v>
      </c>
      <c r="CK19" s="98">
        <v>-1.794310722100656E-2</v>
      </c>
      <c r="CL19" s="98">
        <v>-1.9632678910702861E-2</v>
      </c>
      <c r="CM19" s="98"/>
      <c r="CN19" s="98">
        <v>3.4255599472990728E-2</v>
      </c>
      <c r="CO19" s="98">
        <v>0.1111067925946079</v>
      </c>
      <c r="CP19" s="98">
        <v>6.8287037037036979E-2</v>
      </c>
      <c r="CQ19" s="98">
        <v>-4.087193460490457E-2</v>
      </c>
      <c r="CR19" s="98">
        <v>0.17806495309129211</v>
      </c>
      <c r="CS19" s="98">
        <v>0.1241379310344828</v>
      </c>
      <c r="CT19" s="98">
        <v>2.4647887323943522E-2</v>
      </c>
      <c r="CU19" s="98">
        <v>0.38689217758985189</v>
      </c>
      <c r="CV19" s="98">
        <v>3.1260318688264732E-2</v>
      </c>
      <c r="CW19" s="98">
        <v>9.2102759276879276E-2</v>
      </c>
      <c r="CX19" s="98">
        <v>5.7675996607293722E-3</v>
      </c>
      <c r="CY19" s="98">
        <v>9.0301003344481767E-2</v>
      </c>
      <c r="CZ19" s="98">
        <v>7.6148526263790428E-2</v>
      </c>
      <c r="DA19" s="98">
        <v>0.10872274143302189</v>
      </c>
      <c r="DB19" s="98">
        <v>-9.7029702970297116E-2</v>
      </c>
      <c r="DC19" s="98">
        <v>-0.14740836112765299</v>
      </c>
      <c r="DD19" s="98">
        <v>-0.25140562248995968</v>
      </c>
      <c r="DE19" s="98">
        <v>-0.25986842105263153</v>
      </c>
      <c r="DF19" s="98">
        <v>-2.9474431818181879E-2</v>
      </c>
      <c r="DG19" s="98"/>
      <c r="DH19" s="98"/>
      <c r="DI19" s="98">
        <v>-8.0384615384615388E-2</v>
      </c>
      <c r="DJ19" s="98">
        <v>0.25714285714285728</v>
      </c>
      <c r="DK19" s="98">
        <v>-0.1823673234575004</v>
      </c>
      <c r="DL19" s="98">
        <v>2.0080321285140812E-3</v>
      </c>
      <c r="DM19" s="98">
        <v>0.14416058394160561</v>
      </c>
      <c r="DN19" s="98">
        <v>-6.4562410329985664E-2</v>
      </c>
      <c r="DO19" s="98"/>
      <c r="DP19" s="98">
        <v>2.5109191310872969E-2</v>
      </c>
      <c r="DQ19" s="98">
        <v>0.13815789473684201</v>
      </c>
      <c r="DR19" s="98">
        <v>-5.5141579731743613E-2</v>
      </c>
      <c r="DS19" s="98">
        <v>4.5575389289783663E-2</v>
      </c>
      <c r="DT19" s="98"/>
      <c r="DU19" s="98">
        <v>0.17412494461674791</v>
      </c>
      <c r="DV19" s="98"/>
      <c r="DW19" s="98">
        <v>0.79466666666666685</v>
      </c>
      <c r="DX19" s="98"/>
      <c r="DY19" s="98">
        <v>-5.0847457627118731E-2</v>
      </c>
      <c r="DZ19" s="98">
        <v>-6.2970568104038338E-2</v>
      </c>
      <c r="EA19" s="98">
        <v>0.31313131313131309</v>
      </c>
      <c r="EB19" s="98">
        <v>7.2434607645875282E-2</v>
      </c>
      <c r="EC19" s="98">
        <v>-0.12631578947368419</v>
      </c>
      <c r="ED19" s="98">
        <v>0</v>
      </c>
      <c r="EE19" s="98">
        <v>-0.20499999999999999</v>
      </c>
      <c r="EF19" s="98">
        <v>0.29839883551673951</v>
      </c>
      <c r="EG19" s="98">
        <v>4.6728971962616717E-2</v>
      </c>
      <c r="EH19" s="98">
        <v>3.292134831460674</v>
      </c>
      <c r="EI19" s="98">
        <v>4.7542592839078912E-2</v>
      </c>
      <c r="EJ19" s="98"/>
      <c r="EK19" s="98">
        <v>-0.37037037037037029</v>
      </c>
      <c r="EL19" s="98">
        <v>-0.10097719869706839</v>
      </c>
      <c r="EM19" s="98">
        <v>-0.1666666666666666</v>
      </c>
      <c r="EN19" s="98">
        <v>9.1758656728941901E-3</v>
      </c>
      <c r="EO19" s="98">
        <v>-7.8295341922695605E-2</v>
      </c>
    </row>
    <row r="20" spans="1:145" x14ac:dyDescent="0.25">
      <c r="A20">
        <v>2021</v>
      </c>
      <c r="B20">
        <v>9</v>
      </c>
      <c r="C20" s="98">
        <v>-4.657539689031498E-2</v>
      </c>
      <c r="D20" s="98">
        <v>1.096758769756345E-4</v>
      </c>
      <c r="E20" s="98">
        <v>0.1104256631708822</v>
      </c>
      <c r="F20" s="98">
        <v>4.6341463414634188E-2</v>
      </c>
      <c r="G20" s="98"/>
      <c r="H20" s="98">
        <v>4.7473200612557331E-2</v>
      </c>
      <c r="I20" s="98"/>
      <c r="J20" s="98">
        <v>-3.3062054933875817E-2</v>
      </c>
      <c r="K20" s="98">
        <v>-5.3191489361702149E-2</v>
      </c>
      <c r="L20" s="98">
        <v>-2.9629629629629669E-2</v>
      </c>
      <c r="M20" s="98">
        <v>8.2096933728981192E-2</v>
      </c>
      <c r="N20" s="98"/>
      <c r="O20" s="98"/>
      <c r="P20" s="98">
        <v>-4.8034934497816477E-2</v>
      </c>
      <c r="Q20" s="98">
        <v>-0.13217696783401031</v>
      </c>
      <c r="R20" s="98">
        <v>-4.6746317132583037E-2</v>
      </c>
      <c r="S20" s="98"/>
      <c r="T20" s="98">
        <v>-0.15327102803738321</v>
      </c>
      <c r="U20" s="98">
        <v>-0.11425873465533511</v>
      </c>
      <c r="V20" s="98">
        <v>0.1821471652593489</v>
      </c>
      <c r="W20" s="98">
        <v>0.17967698519515499</v>
      </c>
      <c r="X20" s="98">
        <v>0.28348909657320892</v>
      </c>
      <c r="Y20" s="98">
        <v>-0.24210526315789471</v>
      </c>
      <c r="Z20" s="98"/>
      <c r="AA20" s="98"/>
      <c r="AB20" s="98">
        <v>-0.10768659868563921</v>
      </c>
      <c r="AC20" s="98">
        <v>7.763975155279379E-3</v>
      </c>
      <c r="AD20" s="98">
        <v>-0.24200913242009139</v>
      </c>
      <c r="AE20" s="98">
        <v>-2.0912547528517119E-2</v>
      </c>
      <c r="AF20" s="98"/>
      <c r="AG20" s="98"/>
      <c r="AH20" s="98">
        <v>-0.12917271407837441</v>
      </c>
      <c r="AI20" s="98">
        <v>-0.1235294117647059</v>
      </c>
      <c r="AJ20" s="98"/>
      <c r="AK20" s="98">
        <v>-0.10256410256410251</v>
      </c>
      <c r="AL20" s="98">
        <v>-3.8480272771553969E-2</v>
      </c>
      <c r="AM20" s="98">
        <v>-7.5187969924812137E-2</v>
      </c>
      <c r="AN20" s="98">
        <v>-0.18562263050452019</v>
      </c>
      <c r="AO20" s="98">
        <v>-6.9444444444444309E-2</v>
      </c>
      <c r="AP20" s="98">
        <v>-0.28018575851393179</v>
      </c>
      <c r="AQ20" s="98"/>
      <c r="AR20" s="98">
        <v>-9.7777777777777741E-2</v>
      </c>
      <c r="AS20" s="98"/>
      <c r="AT20" s="98">
        <v>-4.5714285714285707E-2</v>
      </c>
      <c r="AU20" s="98"/>
      <c r="AV20" s="98">
        <v>-7.9136690647481966E-2</v>
      </c>
      <c r="AW20" s="98">
        <v>-4.4637507489514783E-2</v>
      </c>
      <c r="AX20" s="98">
        <v>-0.14822546972860129</v>
      </c>
      <c r="AY20" s="98">
        <v>4.020100502512558E-2</v>
      </c>
      <c r="AZ20" s="98">
        <v>-0.28113207547169811</v>
      </c>
      <c r="BA20" s="98">
        <v>-7.4500768049155064E-2</v>
      </c>
      <c r="BB20" s="98">
        <v>-4.3643263757115691E-2</v>
      </c>
      <c r="BC20" s="98">
        <v>0.1111111111111112</v>
      </c>
      <c r="BD20" s="98">
        <v>4.7979797979798011E-2</v>
      </c>
      <c r="BE20" s="98">
        <v>-0.1090909090909091</v>
      </c>
      <c r="BF20" s="98">
        <v>-4.7531992687385727E-2</v>
      </c>
      <c r="BG20" s="98">
        <v>-5.0168350168350077E-2</v>
      </c>
      <c r="BH20" s="98">
        <v>8.6877000457246112E-3</v>
      </c>
      <c r="BI20" s="98"/>
      <c r="BJ20" s="98">
        <v>-4.9689440993788803E-2</v>
      </c>
      <c r="BK20" s="98">
        <v>-0.125</v>
      </c>
      <c r="BL20" s="98">
        <v>0.13101209796400101</v>
      </c>
      <c r="BM20" s="98">
        <v>-0.1424528301886793</v>
      </c>
      <c r="BN20" s="98"/>
      <c r="BO20" s="98">
        <v>-9.2024539877300526E-2</v>
      </c>
      <c r="BP20" s="98">
        <v>-1.94250194250194E-2</v>
      </c>
      <c r="BQ20" s="98">
        <v>9.5019659239842902E-2</v>
      </c>
      <c r="BR20" s="98">
        <v>0.15730337078651679</v>
      </c>
      <c r="BS20" s="98">
        <v>0.1228915662650603</v>
      </c>
      <c r="BT20" s="98">
        <v>-0.16656716417910461</v>
      </c>
      <c r="BU20" s="98"/>
      <c r="BV20" s="98">
        <v>-0.36944444444444452</v>
      </c>
      <c r="BW20" s="98">
        <v>-1.138865689772983E-2</v>
      </c>
      <c r="BX20" s="98">
        <v>-6.7175150921638282E-2</v>
      </c>
      <c r="BY20" s="98"/>
      <c r="BZ20" s="98">
        <v>0.2228260869565217</v>
      </c>
      <c r="CA20" s="98">
        <v>6.4308681672025081E-3</v>
      </c>
      <c r="CB20" s="98">
        <v>5.3061224489795673E-2</v>
      </c>
      <c r="CC20" s="98">
        <v>-0.10546297818095821</v>
      </c>
      <c r="CD20" s="98">
        <v>-0.1679389312977099</v>
      </c>
      <c r="CE20" s="98">
        <v>3.3707865168539193E-2</v>
      </c>
      <c r="CF20" s="98">
        <v>0.27787114845938388</v>
      </c>
      <c r="CG20" s="98"/>
      <c r="CH20" s="98"/>
      <c r="CI20" s="98"/>
      <c r="CJ20" s="98">
        <v>-6.5928455742553238E-3</v>
      </c>
      <c r="CK20" s="98">
        <v>-4.5603089720736678E-2</v>
      </c>
      <c r="CL20" s="98">
        <v>0.16020671834625319</v>
      </c>
      <c r="CM20" s="98"/>
      <c r="CN20" s="98">
        <v>-0.40955414012738861</v>
      </c>
      <c r="CO20" s="98">
        <v>-0.124995627485046</v>
      </c>
      <c r="CP20" s="98">
        <v>7.6923076923076872E-2</v>
      </c>
      <c r="CQ20" s="98">
        <v>-5.3030303030303087E-2</v>
      </c>
      <c r="CR20" s="98">
        <v>-3.2458061104624569E-2</v>
      </c>
      <c r="CS20" s="98">
        <v>-0.1539877300613498</v>
      </c>
      <c r="CT20" s="98">
        <v>3.09278350515465E-2</v>
      </c>
      <c r="CU20" s="98">
        <v>0.1168699186991871</v>
      </c>
      <c r="CV20" s="98">
        <v>-0.1132141925981494</v>
      </c>
      <c r="CW20" s="98">
        <v>-2.2303537201603049E-2</v>
      </c>
      <c r="CX20" s="98">
        <v>-5.548996458087363E-2</v>
      </c>
      <c r="CY20" s="98">
        <v>0.3144171779141105</v>
      </c>
      <c r="CZ20" s="98">
        <v>-6.6419807868369207E-2</v>
      </c>
      <c r="DA20" s="98">
        <v>-9.8061253161000339E-2</v>
      </c>
      <c r="DB20" s="98">
        <v>-7.456140350877194E-2</v>
      </c>
      <c r="DC20" s="98">
        <v>0.16250024156523241</v>
      </c>
      <c r="DD20" s="98">
        <v>-2.9840472912786461E-2</v>
      </c>
      <c r="DE20" s="98">
        <v>-0.1111111111111112</v>
      </c>
      <c r="DF20" s="98">
        <v>-2.4393218685205501E-2</v>
      </c>
      <c r="DG20" s="98">
        <v>-3.3622559652928492E-2</v>
      </c>
      <c r="DH20" s="98"/>
      <c r="DI20" s="98">
        <v>9.6194061062317093E-2</v>
      </c>
      <c r="DJ20" s="98">
        <v>-7.4999999999999956E-2</v>
      </c>
      <c r="DK20" s="98">
        <v>9.1996481970096688E-2</v>
      </c>
      <c r="DL20" s="98">
        <v>2.0040080160319551E-3</v>
      </c>
      <c r="DM20" s="98">
        <v>6.0606060606060767E-2</v>
      </c>
      <c r="DN20" s="98">
        <v>-0.18711656441717781</v>
      </c>
      <c r="DO20" s="98"/>
      <c r="DP20" s="98">
        <v>0.13170539434663461</v>
      </c>
      <c r="DQ20" s="98">
        <v>-0.12716763005780349</v>
      </c>
      <c r="DR20" s="98">
        <v>-0.11987381703470031</v>
      </c>
      <c r="DS20" s="98">
        <v>-3.1238648746821581E-2</v>
      </c>
      <c r="DT20" s="98"/>
      <c r="DU20" s="98">
        <v>-0.18679245283018861</v>
      </c>
      <c r="DV20" s="98"/>
      <c r="DW20" s="98">
        <v>-0.22585438335809821</v>
      </c>
      <c r="DX20" s="98"/>
      <c r="DY20" s="98">
        <v>-8.9285714285714302E-2</v>
      </c>
      <c r="DZ20" s="98">
        <v>-0.17531044558071579</v>
      </c>
      <c r="EA20" s="98">
        <v>0.1076923076923078</v>
      </c>
      <c r="EB20" s="98">
        <v>-0.2814258911819888</v>
      </c>
      <c r="EC20" s="98">
        <v>-0.15662650602409639</v>
      </c>
      <c r="ED20" s="98">
        <v>-0.1651785714285714</v>
      </c>
      <c r="EE20" s="98">
        <v>-6.7421383647798705E-2</v>
      </c>
      <c r="EF20" s="98">
        <v>-4.3721973094170467E-2</v>
      </c>
      <c r="EG20" s="98">
        <v>0.1160714285714286</v>
      </c>
      <c r="EH20" s="98">
        <v>-0.74869109947643975</v>
      </c>
      <c r="EI20" s="98">
        <v>-7.3814950406200563E-2</v>
      </c>
      <c r="EJ20" s="98"/>
      <c r="EK20" s="98">
        <v>-0.18235294117647061</v>
      </c>
      <c r="EL20" s="98">
        <v>-0.11231884057971001</v>
      </c>
      <c r="EM20" s="98">
        <v>-3.2558139534883727E-2</v>
      </c>
      <c r="EN20" s="98">
        <v>-5.0938699895730737E-2</v>
      </c>
      <c r="EO20" s="98">
        <v>3.225806451612856E-3</v>
      </c>
    </row>
    <row r="21" spans="1:145" x14ac:dyDescent="0.25">
      <c r="A21">
        <v>2021</v>
      </c>
      <c r="B21">
        <v>10</v>
      </c>
      <c r="C21" s="98">
        <v>7.0163513619843521E-2</v>
      </c>
      <c r="D21" s="98">
        <v>-1.096638494968438E-4</v>
      </c>
      <c r="E21" s="98">
        <v>-3.6111111111110983E-2</v>
      </c>
      <c r="F21" s="98">
        <v>-0.25174825174825177</v>
      </c>
      <c r="G21" s="98"/>
      <c r="H21" s="98">
        <v>-0.1038011695906432</v>
      </c>
      <c r="I21" s="98"/>
      <c r="J21" s="98">
        <v>-1.735928458705949E-2</v>
      </c>
      <c r="K21" s="98">
        <v>2.8089887640449399E-2</v>
      </c>
      <c r="L21" s="98">
        <v>1.5267175572519109E-2</v>
      </c>
      <c r="M21" s="98">
        <v>0.13893967093235851</v>
      </c>
      <c r="N21" s="98"/>
      <c r="O21" s="98"/>
      <c r="P21" s="98">
        <v>0.17889908256880729</v>
      </c>
      <c r="Q21" s="98">
        <v>-9.4750158127767214E-2</v>
      </c>
      <c r="R21" s="98">
        <v>5.3541007544414487E-2</v>
      </c>
      <c r="S21" s="98"/>
      <c r="T21" s="98">
        <v>0.13686534216335541</v>
      </c>
      <c r="U21" s="98">
        <v>0.39339019189765462</v>
      </c>
      <c r="V21" s="98">
        <v>-9.1836734693877542E-3</v>
      </c>
      <c r="W21" s="98">
        <v>-0.66799771819737597</v>
      </c>
      <c r="X21" s="98">
        <v>0.1680825242718447</v>
      </c>
      <c r="Y21" s="98">
        <v>-0.13541666666666671</v>
      </c>
      <c r="Z21" s="98"/>
      <c r="AA21" s="98"/>
      <c r="AB21" s="98">
        <v>-1.3014589909141391E-2</v>
      </c>
      <c r="AC21" s="98">
        <v>1.5408320493066621E-3</v>
      </c>
      <c r="AD21" s="98">
        <v>-8.43373493975903E-2</v>
      </c>
      <c r="AE21" s="98">
        <v>8.9320388349514612E-2</v>
      </c>
      <c r="AF21" s="98"/>
      <c r="AG21" s="98"/>
      <c r="AH21" s="98">
        <v>-8.9999999999999969E-2</v>
      </c>
      <c r="AI21" s="98">
        <v>-7.3825503355704702E-2</v>
      </c>
      <c r="AJ21" s="98"/>
      <c r="AK21" s="98">
        <v>-0.15028571428571419</v>
      </c>
      <c r="AL21" s="98">
        <v>-5.572441742654477E-3</v>
      </c>
      <c r="AM21" s="98">
        <v>-8.536585365853655E-2</v>
      </c>
      <c r="AN21" s="98">
        <v>0.15971351835273051</v>
      </c>
      <c r="AO21" s="98">
        <v>3.7313432835819338E-3</v>
      </c>
      <c r="AP21" s="98">
        <v>4.5161290322580649E-2</v>
      </c>
      <c r="AQ21" s="98"/>
      <c r="AR21" s="98">
        <v>-7.8817733990147798E-2</v>
      </c>
      <c r="AS21" s="98"/>
      <c r="AT21" s="98">
        <v>-0.125748502994012</v>
      </c>
      <c r="AU21" s="98"/>
      <c r="AV21" s="98">
        <v>0</v>
      </c>
      <c r="AW21" s="98">
        <v>3.1044214487300211E-2</v>
      </c>
      <c r="AX21" s="98">
        <v>-0.1176470588235294</v>
      </c>
      <c r="AY21" s="98">
        <v>-0.14975845410628019</v>
      </c>
      <c r="AZ21" s="98">
        <v>2.6246719160105011E-2</v>
      </c>
      <c r="BA21" s="98">
        <v>-0.25809128630705402</v>
      </c>
      <c r="BB21" s="98">
        <v>0.14285714285714279</v>
      </c>
      <c r="BC21" s="98">
        <v>-5.3846153846153773E-2</v>
      </c>
      <c r="BD21" s="98">
        <v>-6.0240963855422436E-3</v>
      </c>
      <c r="BE21" s="98">
        <v>-0.2204081632653061</v>
      </c>
      <c r="BF21" s="98">
        <v>0.10076775431861811</v>
      </c>
      <c r="BG21" s="98">
        <v>-0.21517192484934419</v>
      </c>
      <c r="BH21" s="98">
        <v>0.14732547597461479</v>
      </c>
      <c r="BI21" s="98"/>
      <c r="BJ21" s="98">
        <v>-6.5359477124182996E-2</v>
      </c>
      <c r="BK21" s="98">
        <v>-0.1008403361344538</v>
      </c>
      <c r="BL21" s="98">
        <v>8.1920166971040986E-2</v>
      </c>
      <c r="BM21" s="98">
        <v>0.1100110011001101</v>
      </c>
      <c r="BN21" s="98"/>
      <c r="BO21" s="98">
        <v>-5.4054054054054057E-2</v>
      </c>
      <c r="BP21" s="98">
        <v>-0.14817749603803479</v>
      </c>
      <c r="BQ21" s="98">
        <v>4.4284859365649298E-2</v>
      </c>
      <c r="BR21" s="98">
        <v>-0.23495145631067971</v>
      </c>
      <c r="BS21" s="98">
        <v>0.15531115879828319</v>
      </c>
      <c r="BT21" s="98">
        <v>-4.3696275071633213E-2</v>
      </c>
      <c r="BU21" s="98"/>
      <c r="BV21" s="98">
        <v>-6.1674008810572722E-2</v>
      </c>
      <c r="BW21" s="98">
        <v>2.173412180324075E-2</v>
      </c>
      <c r="BX21" s="98">
        <v>8.545192900705656E-3</v>
      </c>
      <c r="BY21" s="98"/>
      <c r="BZ21" s="98">
        <v>-0.15555555555555561</v>
      </c>
      <c r="CA21" s="98">
        <v>-1.1182108626197951E-2</v>
      </c>
      <c r="CB21" s="98">
        <v>4.7516508756818787E-2</v>
      </c>
      <c r="CC21" s="98">
        <v>0.1026183486509875</v>
      </c>
      <c r="CD21" s="98">
        <v>-4.5871559633027581E-2</v>
      </c>
      <c r="CE21" s="98">
        <v>0.35869565217391308</v>
      </c>
      <c r="CF21" s="98">
        <v>-0.19991231915826399</v>
      </c>
      <c r="CG21" s="98"/>
      <c r="CH21" s="98"/>
      <c r="CI21" s="98"/>
      <c r="CJ21" s="98">
        <v>0.1722798654368134</v>
      </c>
      <c r="CK21" s="98">
        <v>-0.17509727626459151</v>
      </c>
      <c r="CL21" s="98">
        <v>-0.15590200445434299</v>
      </c>
      <c r="CM21" s="98"/>
      <c r="CN21" s="98">
        <v>9.2772384034519817E-2</v>
      </c>
      <c r="CO21" s="98">
        <v>-0.2845701797636021</v>
      </c>
      <c r="CP21" s="98">
        <v>-7.7464788732394374E-2</v>
      </c>
      <c r="CQ21" s="98">
        <v>-0.33600000000000008</v>
      </c>
      <c r="CR21" s="98">
        <v>0.12076674503820151</v>
      </c>
      <c r="CS21" s="98">
        <v>-0.54532269760696161</v>
      </c>
      <c r="CT21" s="98">
        <v>-0.1166666666666667</v>
      </c>
      <c r="CU21" s="98">
        <v>6.5059144676979042E-2</v>
      </c>
      <c r="CV21" s="98">
        <v>1.8569144271934679E-2</v>
      </c>
      <c r="CW21" s="98">
        <v>6.9149884156121999E-2</v>
      </c>
      <c r="CX21" s="98">
        <v>-6.6428571428571392E-2</v>
      </c>
      <c r="CY21" s="98">
        <v>-0.19253208868144689</v>
      </c>
      <c r="CZ21" s="98">
        <v>1.697160745406778E-2</v>
      </c>
      <c r="DA21" s="98">
        <v>-0.26697819314641752</v>
      </c>
      <c r="DB21" s="98">
        <v>-5.6279620853080581E-2</v>
      </c>
      <c r="DC21" s="98">
        <v>-4.6059912321115497E-2</v>
      </c>
      <c r="DD21" s="98">
        <v>0.13269479570969489</v>
      </c>
      <c r="DE21" s="98">
        <v>-0.13000000000000009</v>
      </c>
      <c r="DF21" s="98">
        <v>8.7635954494311719E-2</v>
      </c>
      <c r="DG21" s="98">
        <v>0.29068462401795719</v>
      </c>
      <c r="DH21" s="98"/>
      <c r="DI21" s="98">
        <v>-0.10454025181228541</v>
      </c>
      <c r="DJ21" s="98">
        <v>-0.14004914004914021</v>
      </c>
      <c r="DK21" s="98">
        <v>-0.30525128865979378</v>
      </c>
      <c r="DL21" s="98">
        <v>2.0500000000001069E-3</v>
      </c>
      <c r="DM21" s="98">
        <v>-0.11578947368421059</v>
      </c>
      <c r="DN21" s="98">
        <v>-5.471698113207546E-2</v>
      </c>
      <c r="DO21" s="98"/>
      <c r="DP21" s="98">
        <v>-2.4346960776183701E-2</v>
      </c>
      <c r="DQ21" s="98">
        <v>-2.6490066225165591E-2</v>
      </c>
      <c r="DR21" s="98">
        <v>3.9426523297491078E-2</v>
      </c>
      <c r="DS21" s="98">
        <v>0.11923509561304831</v>
      </c>
      <c r="DT21" s="98"/>
      <c r="DU21" s="98">
        <v>0.28816705336426912</v>
      </c>
      <c r="DV21" s="98"/>
      <c r="DW21" s="98">
        <v>-8.8291746641074864E-2</v>
      </c>
      <c r="DX21" s="98"/>
      <c r="DY21" s="98">
        <v>-0.13725490196078419</v>
      </c>
      <c r="DZ21" s="98">
        <v>-8.7688219663418776E-2</v>
      </c>
      <c r="EA21" s="98">
        <v>0.33055555555555549</v>
      </c>
      <c r="EB21" s="98">
        <v>-9.6605744125326409E-2</v>
      </c>
      <c r="EC21" s="98">
        <v>-0.16071428571428559</v>
      </c>
      <c r="ED21" s="98">
        <v>-8.0213903743315496E-2</v>
      </c>
      <c r="EE21" s="98">
        <v>-1.807391421634752E-2</v>
      </c>
      <c r="EF21" s="98">
        <v>-4.2203985932004577E-2</v>
      </c>
      <c r="EG21" s="98">
        <v>7.2000000000000952E-3</v>
      </c>
      <c r="EH21" s="98">
        <v>-0.12916666666666671</v>
      </c>
      <c r="EI21" s="98">
        <v>-1.476489350756249E-2</v>
      </c>
      <c r="EJ21" s="98"/>
      <c r="EK21" s="98">
        <v>-3.5971223021582732E-2</v>
      </c>
      <c r="EL21" s="98">
        <v>-0.24081632653061219</v>
      </c>
      <c r="EM21" s="98">
        <v>-0.14903846153846151</v>
      </c>
      <c r="EN21" s="98">
        <v>0.1149388544028547</v>
      </c>
      <c r="EO21" s="98">
        <v>1.8220793140407251E-2</v>
      </c>
    </row>
    <row r="22" spans="1:145" x14ac:dyDescent="0.25">
      <c r="A22">
        <v>2021</v>
      </c>
      <c r="B22">
        <v>11</v>
      </c>
      <c r="C22" s="98">
        <v>-8.0348835664538765E-3</v>
      </c>
      <c r="D22" s="98">
        <v>-2.1935175395149109E-4</v>
      </c>
      <c r="E22" s="98">
        <v>-0.26224783861671469</v>
      </c>
      <c r="F22" s="98">
        <v>-0.13395638629283491</v>
      </c>
      <c r="G22" s="98"/>
      <c r="H22" s="98">
        <v>-0.2039151712887439</v>
      </c>
      <c r="I22" s="98"/>
      <c r="J22" s="98">
        <v>4.7109207708779348E-2</v>
      </c>
      <c r="K22" s="98">
        <v>-0.23861566484517319</v>
      </c>
      <c r="L22" s="98">
        <v>-9.7744360902255689E-2</v>
      </c>
      <c r="M22" s="98">
        <v>0.10058855002675229</v>
      </c>
      <c r="N22" s="98"/>
      <c r="O22" s="98"/>
      <c r="P22" s="98">
        <v>0.1478599221789885</v>
      </c>
      <c r="Q22" s="98">
        <v>-0.1196198993851314</v>
      </c>
      <c r="R22" s="98">
        <v>-0.1267036267036267</v>
      </c>
      <c r="S22" s="98"/>
      <c r="T22" s="98">
        <v>0.37864077669902901</v>
      </c>
      <c r="U22" s="98">
        <v>3.136954858454466E-2</v>
      </c>
      <c r="V22" s="98">
        <v>-7.723995880535528E-2</v>
      </c>
      <c r="W22" s="98">
        <v>-0.30498281786941578</v>
      </c>
      <c r="X22" s="98">
        <v>-0.1028571428571429</v>
      </c>
      <c r="Y22" s="98">
        <v>-0.2128514056224898</v>
      </c>
      <c r="Z22" s="98"/>
      <c r="AA22" s="98"/>
      <c r="AB22" s="98">
        <v>-8.167834286069342E-2</v>
      </c>
      <c r="AC22" s="98">
        <v>-2.0512820512820218E-3</v>
      </c>
      <c r="AD22" s="98">
        <v>-0.1578947368421052</v>
      </c>
      <c r="AE22" s="98">
        <v>-0.2168746286393346</v>
      </c>
      <c r="AF22" s="98"/>
      <c r="AG22" s="98"/>
      <c r="AH22" s="98">
        <v>-0.3278388278388279</v>
      </c>
      <c r="AI22" s="98">
        <v>-0.1884057971014492</v>
      </c>
      <c r="AJ22" s="98"/>
      <c r="AK22" s="98">
        <v>6.0524546065905396E-3</v>
      </c>
      <c r="AL22" s="98">
        <v>-0.1044319918492105</v>
      </c>
      <c r="AM22" s="98">
        <v>0.16666666666666671</v>
      </c>
      <c r="AN22" s="98">
        <v>-4.2766712984406263E-2</v>
      </c>
      <c r="AO22" s="98">
        <v>0.86988847583643136</v>
      </c>
      <c r="AP22" s="98">
        <v>2.4691358024691471E-2</v>
      </c>
      <c r="AQ22" s="98"/>
      <c r="AR22" s="98">
        <v>-9.6256684491978661E-2</v>
      </c>
      <c r="AS22" s="98"/>
      <c r="AT22" s="98">
        <v>0.23287671232876719</v>
      </c>
      <c r="AU22" s="98"/>
      <c r="AV22" s="98">
        <v>-0.22671875000000011</v>
      </c>
      <c r="AW22" s="98">
        <v>-0.12591240875912421</v>
      </c>
      <c r="AX22" s="98">
        <v>-6.1111111111111123E-2</v>
      </c>
      <c r="AY22" s="98">
        <v>-0.26136363636363641</v>
      </c>
      <c r="AZ22" s="98">
        <v>-0.2915601023017903</v>
      </c>
      <c r="BA22" s="98">
        <v>-2.3489932885905951E-2</v>
      </c>
      <c r="BB22" s="98">
        <v>-0.32291666666666657</v>
      </c>
      <c r="BC22" s="98">
        <v>-0.38219512195121952</v>
      </c>
      <c r="BD22" s="98">
        <v>5.5757575757575888E-2</v>
      </c>
      <c r="BE22" s="98">
        <v>-4.450261780104714E-2</v>
      </c>
      <c r="BF22" s="98">
        <v>0.37750653879686152</v>
      </c>
      <c r="BG22" s="98">
        <v>-0.34507678410117443</v>
      </c>
      <c r="BH22" s="98">
        <v>4.5831687080205352E-2</v>
      </c>
      <c r="BI22" s="98"/>
      <c r="BJ22" s="98">
        <v>-0.13286713286713289</v>
      </c>
      <c r="BK22" s="98">
        <v>-0.2345794392523364</v>
      </c>
      <c r="BL22" s="98">
        <v>-0.17795997106341921</v>
      </c>
      <c r="BM22" s="98">
        <v>-8.9197224975222644E-3</v>
      </c>
      <c r="BN22" s="98"/>
      <c r="BO22" s="98">
        <v>-6.4285714285714168E-2</v>
      </c>
      <c r="BP22" s="98">
        <v>0.33069767441860448</v>
      </c>
      <c r="BQ22" s="98">
        <v>-4.1833810888252221E-2</v>
      </c>
      <c r="BR22" s="98">
        <v>-7.6142131979695096E-3</v>
      </c>
      <c r="BS22" s="98">
        <v>-6.0134664499651769E-2</v>
      </c>
      <c r="BT22" s="98">
        <v>-8.0524344569288364E-2</v>
      </c>
      <c r="BU22" s="98"/>
      <c r="BV22" s="98">
        <v>-0.38497652582159619</v>
      </c>
      <c r="BW22" s="98">
        <v>-9.8992784125075062E-2</v>
      </c>
      <c r="BX22" s="98">
        <v>-3.6315456898836078E-2</v>
      </c>
      <c r="BY22" s="98"/>
      <c r="BZ22" s="98">
        <v>-0.20526315789473679</v>
      </c>
      <c r="CA22" s="98">
        <v>-0.14378029079159951</v>
      </c>
      <c r="CB22" s="98">
        <v>0.10949705358366429</v>
      </c>
      <c r="CC22" s="98">
        <v>-2.3190257653272761E-2</v>
      </c>
      <c r="CD22" s="98">
        <v>5.7692307692307709E-2</v>
      </c>
      <c r="CE22" s="98">
        <v>0.1066666666666667</v>
      </c>
      <c r="CF22" s="98">
        <v>-0.23287671232876719</v>
      </c>
      <c r="CG22" s="98"/>
      <c r="CH22" s="98"/>
      <c r="CI22" s="98"/>
      <c r="CJ22" s="98">
        <v>-0.14923269178926049</v>
      </c>
      <c r="CK22" s="98">
        <v>-5.6603773584905648E-2</v>
      </c>
      <c r="CL22" s="98">
        <v>-0.25725593667546182</v>
      </c>
      <c r="CM22" s="98"/>
      <c r="CN22" s="98">
        <v>-0.34057255676209269</v>
      </c>
      <c r="CO22" s="98">
        <v>2.555505885859044E-2</v>
      </c>
      <c r="CP22" s="98">
        <v>-2.181025081788435E-2</v>
      </c>
      <c r="CQ22" s="98">
        <v>3.012048192771077E-2</v>
      </c>
      <c r="CR22" s="98">
        <v>-0.19749769274573081</v>
      </c>
      <c r="CS22" s="98">
        <v>0.14832535885167461</v>
      </c>
      <c r="CT22" s="98">
        <v>-0.39999999999999991</v>
      </c>
      <c r="CU22" s="98">
        <v>-0.17898334045279801</v>
      </c>
      <c r="CV22" s="98">
        <v>-0.1021978021978022</v>
      </c>
      <c r="CW22" s="98">
        <v>-6.7344557426237683E-2</v>
      </c>
      <c r="CX22" s="98">
        <v>6.5034429992347764E-3</v>
      </c>
      <c r="CY22" s="98">
        <v>-0.21098265895953761</v>
      </c>
      <c r="CZ22" s="98">
        <v>0.23932096858673901</v>
      </c>
      <c r="DA22" s="98">
        <v>-0.23756906077348061</v>
      </c>
      <c r="DB22" s="98">
        <v>-0.1098556183301946</v>
      </c>
      <c r="DC22" s="98">
        <v>-0.18693410541043171</v>
      </c>
      <c r="DD22" s="98">
        <v>6.6211013061660662E-2</v>
      </c>
      <c r="DE22" s="98">
        <v>0.64367816091954055</v>
      </c>
      <c r="DF22" s="98">
        <v>-0.23333333333333331</v>
      </c>
      <c r="DG22" s="98">
        <v>0.28869565217391302</v>
      </c>
      <c r="DH22" s="98"/>
      <c r="DI22" s="98">
        <v>-0.23902854708138041</v>
      </c>
      <c r="DJ22" s="98">
        <v>3.7142857142857137E-2</v>
      </c>
      <c r="DK22" s="98">
        <v>0.2402040343148619</v>
      </c>
      <c r="DL22" s="98">
        <v>3.0437602914026311E-3</v>
      </c>
      <c r="DM22" s="98">
        <v>-0.26190476190476192</v>
      </c>
      <c r="DN22" s="98">
        <v>0.47305389221556893</v>
      </c>
      <c r="DO22" s="98"/>
      <c r="DP22" s="98">
        <v>0.13175922620565389</v>
      </c>
      <c r="DQ22" s="98">
        <v>-0.15646258503401361</v>
      </c>
      <c r="DR22" s="98">
        <v>-8.6206896551724088E-2</v>
      </c>
      <c r="DS22" s="98">
        <v>4.020100502512447E-3</v>
      </c>
      <c r="DT22" s="98"/>
      <c r="DU22" s="98">
        <v>-4.17867435158501E-2</v>
      </c>
      <c r="DV22" s="98"/>
      <c r="DW22" s="98">
        <v>-0.20526315789473679</v>
      </c>
      <c r="DX22" s="98"/>
      <c r="DY22" s="98">
        <v>-0.25931818181818189</v>
      </c>
      <c r="DZ22" s="98">
        <v>-1.7475728155339931E-2</v>
      </c>
      <c r="EA22" s="98">
        <v>-0.20041753653444669</v>
      </c>
      <c r="EB22" s="98">
        <v>-0.13294797687861271</v>
      </c>
      <c r="EC22" s="98">
        <v>-0.15353191489361709</v>
      </c>
      <c r="ED22" s="98">
        <v>-0.16284883720930229</v>
      </c>
      <c r="EE22" s="98">
        <v>-0.32005494505494497</v>
      </c>
      <c r="EF22" s="98">
        <v>-8.2007343941248423E-2</v>
      </c>
      <c r="EG22" s="98">
        <v>-0.1779189833200954</v>
      </c>
      <c r="EH22" s="98">
        <v>0.1196172248803828</v>
      </c>
      <c r="EI22" s="98">
        <v>-7.0170400153168666E-2</v>
      </c>
      <c r="EJ22" s="98"/>
      <c r="EK22" s="98">
        <v>-0.23134328358208969</v>
      </c>
      <c r="EL22" s="98">
        <v>0.1236559139784945</v>
      </c>
      <c r="EM22" s="98">
        <v>-5.0847457627118731E-2</v>
      </c>
      <c r="EN22" s="98">
        <v>2.701194095817239E-2</v>
      </c>
      <c r="EO22" s="98">
        <v>-0.1757894736842105</v>
      </c>
    </row>
    <row r="23" spans="1:145" x14ac:dyDescent="0.25">
      <c r="A23">
        <v>2021</v>
      </c>
      <c r="B23">
        <v>12</v>
      </c>
      <c r="C23" s="98">
        <v>4.628842196021532E-2</v>
      </c>
      <c r="D23" s="98">
        <v>0</v>
      </c>
      <c r="E23" s="98">
        <v>0.13593749999999979</v>
      </c>
      <c r="F23" s="98">
        <v>-2.877697841726623E-2</v>
      </c>
      <c r="G23" s="98"/>
      <c r="H23" s="98">
        <v>-0.1618852459016393</v>
      </c>
      <c r="I23" s="98"/>
      <c r="J23" s="98">
        <v>0.19069529652351741</v>
      </c>
      <c r="K23" s="98">
        <v>0.14593301435406711</v>
      </c>
      <c r="L23" s="98">
        <v>2.500000000000013E-2</v>
      </c>
      <c r="M23" s="98">
        <v>0.1200777831793873</v>
      </c>
      <c r="N23" s="98"/>
      <c r="O23" s="98"/>
      <c r="P23" s="98">
        <v>-0.34067796610169498</v>
      </c>
      <c r="Q23" s="98">
        <v>-0.17619047619047609</v>
      </c>
      <c r="R23" s="98">
        <v>8.6364237534717558E-2</v>
      </c>
      <c r="S23" s="98"/>
      <c r="T23" s="98">
        <v>0.53521126760563398</v>
      </c>
      <c r="U23" s="98">
        <v>-3.3382789317507489E-2</v>
      </c>
      <c r="V23" s="98">
        <v>-9.8214285714285809E-2</v>
      </c>
      <c r="W23" s="98">
        <v>0.1050679851668725</v>
      </c>
      <c r="X23" s="98">
        <v>9.3804284887087475E-2</v>
      </c>
      <c r="Y23" s="98">
        <v>-0.31122448979591838</v>
      </c>
      <c r="Z23" s="98">
        <v>0.25542570951585991</v>
      </c>
      <c r="AA23" s="98"/>
      <c r="AB23" s="98">
        <v>0.16259676113189131</v>
      </c>
      <c r="AC23" s="98">
        <v>7.194244604316502E-3</v>
      </c>
      <c r="AD23" s="98">
        <v>-0.28515625</v>
      </c>
      <c r="AE23" s="98">
        <v>-7.5872534142640391E-2</v>
      </c>
      <c r="AF23" s="98">
        <v>-0.27188940092165892</v>
      </c>
      <c r="AG23" s="98"/>
      <c r="AH23" s="98">
        <v>-0.25068119891008178</v>
      </c>
      <c r="AI23" s="98">
        <v>-0.37285714285714289</v>
      </c>
      <c r="AJ23" s="98">
        <v>-0.61337209302325579</v>
      </c>
      <c r="AK23" s="98">
        <v>-0.27584670231729058</v>
      </c>
      <c r="AL23" s="98">
        <v>6.2571103526735117E-2</v>
      </c>
      <c r="AM23" s="98">
        <v>-5.7142857142857162E-2</v>
      </c>
      <c r="AN23" s="98">
        <v>-0.22161290322580651</v>
      </c>
      <c r="AO23" s="98">
        <v>-7.1570576540755493E-2</v>
      </c>
      <c r="AP23" s="98">
        <v>-8.6345381526104492E-2</v>
      </c>
      <c r="AQ23" s="98"/>
      <c r="AR23" s="98">
        <v>-8.8757396449704151E-2</v>
      </c>
      <c r="AS23" s="98"/>
      <c r="AT23" s="98">
        <v>0.1111111111111109</v>
      </c>
      <c r="AU23" s="98"/>
      <c r="AV23" s="98">
        <v>-3.940189937361005E-3</v>
      </c>
      <c r="AW23" s="98">
        <v>-1.252609603340293E-2</v>
      </c>
      <c r="AX23" s="98">
        <v>-0.33431952662721892</v>
      </c>
      <c r="AY23" s="98">
        <v>-0.2846153846153846</v>
      </c>
      <c r="AZ23" s="98">
        <v>0.1750902527075813</v>
      </c>
      <c r="BA23" s="98">
        <v>-0.42726231386025199</v>
      </c>
      <c r="BB23" s="98">
        <v>0.1000000000000001</v>
      </c>
      <c r="BC23" s="98">
        <v>-0.27622055533622852</v>
      </c>
      <c r="BD23" s="98">
        <v>-0.1228473019517797</v>
      </c>
      <c r="BE23" s="98">
        <v>9.5890410958904049E-2</v>
      </c>
      <c r="BF23" s="98">
        <v>-0.22531645569620251</v>
      </c>
      <c r="BG23" s="98">
        <v>0.2200000000000002</v>
      </c>
      <c r="BH23" s="98">
        <v>-0.1186248583301851</v>
      </c>
      <c r="BI23" s="98"/>
      <c r="BJ23" s="98">
        <v>-8.064516129032262E-2</v>
      </c>
      <c r="BK23" s="98">
        <v>-0.19426129426129429</v>
      </c>
      <c r="BL23" s="98">
        <v>0.25080668817835128</v>
      </c>
      <c r="BM23" s="98">
        <v>-0.1359999999999999</v>
      </c>
      <c r="BN23" s="98"/>
      <c r="BO23" s="98">
        <v>-0.25458015267175571</v>
      </c>
      <c r="BP23" s="98">
        <v>-0.1233834323663056</v>
      </c>
      <c r="BQ23" s="98">
        <v>3.1698564593301448E-2</v>
      </c>
      <c r="BR23" s="98">
        <v>-4.6035805626598481E-2</v>
      </c>
      <c r="BS23" s="98">
        <v>0.2929841897233203</v>
      </c>
      <c r="BT23" s="98">
        <v>-0.20203665987780051</v>
      </c>
      <c r="BU23" s="98"/>
      <c r="BV23" s="98">
        <v>-0.20610687022900759</v>
      </c>
      <c r="BW23" s="98">
        <v>6.2818052890631471E-2</v>
      </c>
      <c r="BX23" s="98">
        <v>9.7095017915536763E-2</v>
      </c>
      <c r="BY23" s="98"/>
      <c r="BZ23" s="98">
        <v>0</v>
      </c>
      <c r="CA23" s="98">
        <v>-0.23962264150943391</v>
      </c>
      <c r="CB23" s="98">
        <v>-4.6072134387351693E-2</v>
      </c>
      <c r="CC23" s="98">
        <v>0.1136105674495396</v>
      </c>
      <c r="CD23" s="98">
        <v>-9.8999999999999866E-2</v>
      </c>
      <c r="CE23" s="98">
        <v>0.17349397590361451</v>
      </c>
      <c r="CF23" s="98">
        <v>-0.22142857142857131</v>
      </c>
      <c r="CG23" s="98"/>
      <c r="CH23" s="98"/>
      <c r="CI23" s="98"/>
      <c r="CJ23" s="98">
        <v>3.266893807812532E-2</v>
      </c>
      <c r="CK23" s="98">
        <v>-0.24679999999999999</v>
      </c>
      <c r="CL23" s="98">
        <v>0.19982238010657191</v>
      </c>
      <c r="CM23" s="98"/>
      <c r="CN23" s="98">
        <v>-0.28443113772455092</v>
      </c>
      <c r="CO23" s="98">
        <v>0.57008717762440964</v>
      </c>
      <c r="CP23" s="98">
        <v>-5.2396878483835119E-2</v>
      </c>
      <c r="CQ23" s="98">
        <v>1.9005847953216248E-2</v>
      </c>
      <c r="CR23" s="98">
        <v>4.1735484949696262E-2</v>
      </c>
      <c r="CS23" s="98">
        <v>-0.10694444444444449</v>
      </c>
      <c r="CT23" s="98">
        <v>1.8867924528301879E-2</v>
      </c>
      <c r="CU23" s="98">
        <v>-0.25702393340270552</v>
      </c>
      <c r="CV23" s="98">
        <v>4.2371495129421399E-2</v>
      </c>
      <c r="CW23" s="98">
        <v>8.4003574620196586E-2</v>
      </c>
      <c r="CX23" s="98">
        <v>0.14348156594450789</v>
      </c>
      <c r="CY23" s="98">
        <v>-0.10256410256410251</v>
      </c>
      <c r="CZ23" s="98">
        <v>9.9013205661984571E-2</v>
      </c>
      <c r="DA23" s="98">
        <v>9.6432552954292206E-2</v>
      </c>
      <c r="DB23" s="98">
        <v>-4.7954866008462549E-2</v>
      </c>
      <c r="DC23" s="98">
        <v>6.6754848468147499E-2</v>
      </c>
      <c r="DD23" s="98">
        <v>0.14171922246220331</v>
      </c>
      <c r="DE23" s="98">
        <v>0.16433566433566421</v>
      </c>
      <c r="DF23" s="98">
        <v>-0.34392803598200888</v>
      </c>
      <c r="DG23" s="98">
        <v>-0.44838056680161942</v>
      </c>
      <c r="DH23" s="98"/>
      <c r="DI23" s="98">
        <v>0.26147816349384101</v>
      </c>
      <c r="DJ23" s="98">
        <v>-0.20385674931129469</v>
      </c>
      <c r="DK23" s="98">
        <v>-0.18302486446064681</v>
      </c>
      <c r="DL23" s="98">
        <v>-1.094418465824365E-3</v>
      </c>
      <c r="DM23" s="98">
        <v>0.1566820276497696</v>
      </c>
      <c r="DN23" s="98">
        <v>-0.1734417344173442</v>
      </c>
      <c r="DO23" s="98"/>
      <c r="DP23" s="98">
        <v>-7.8434317642464446E-2</v>
      </c>
      <c r="DQ23" s="98">
        <v>-0.2106451612903226</v>
      </c>
      <c r="DR23" s="98">
        <v>-0.1396226415094339</v>
      </c>
      <c r="DS23" s="98">
        <v>-2.702702702702697E-2</v>
      </c>
      <c r="DT23" s="98"/>
      <c r="DU23" s="98">
        <v>-0.15413533834586471</v>
      </c>
      <c r="DV23" s="98"/>
      <c r="DW23" s="98">
        <v>-6.3576158940397254E-2</v>
      </c>
      <c r="DX23" s="98"/>
      <c r="DY23" s="98">
        <v>-0.14053390610616739</v>
      </c>
      <c r="DZ23" s="98">
        <v>-0.30533596837944649</v>
      </c>
      <c r="EA23" s="98">
        <v>-0.20887728459530031</v>
      </c>
      <c r="EB23" s="98">
        <v>-0.15</v>
      </c>
      <c r="EC23" s="98">
        <v>-0.2135531872109391</v>
      </c>
      <c r="ED23" s="98">
        <v>-0.29161747343565531</v>
      </c>
      <c r="EE23" s="98">
        <v>-0.28181818181818191</v>
      </c>
      <c r="EF23" s="98">
        <v>-0.2146666666666667</v>
      </c>
      <c r="EG23" s="98">
        <v>-0.114975845410628</v>
      </c>
      <c r="EH23" s="98">
        <v>-0.26709401709401709</v>
      </c>
      <c r="EI23" s="98">
        <v>9.9108037026290896E-2</v>
      </c>
      <c r="EJ23" s="98">
        <v>1.0687022900763401E-2</v>
      </c>
      <c r="EK23" s="98">
        <v>-9.7087378640776656E-3</v>
      </c>
      <c r="EL23" s="98">
        <v>0.40191387559808622</v>
      </c>
      <c r="EM23" s="98">
        <v>-0.3571428571428571</v>
      </c>
      <c r="EN23" s="98">
        <v>9.9035884213357628E-2</v>
      </c>
      <c r="EO23" s="98">
        <v>0.112388250319285</v>
      </c>
    </row>
    <row r="24" spans="1:145" x14ac:dyDescent="0.25">
      <c r="A24">
        <v>2022</v>
      </c>
      <c r="B24">
        <v>1</v>
      </c>
      <c r="C24" s="98">
        <v>-5.2741390128007382E-2</v>
      </c>
      <c r="D24" s="98">
        <v>0</v>
      </c>
      <c r="E24" s="98">
        <v>-0.24896836313617601</v>
      </c>
      <c r="F24" s="98">
        <v>-0.2296296296296296</v>
      </c>
      <c r="G24" s="98"/>
      <c r="H24" s="98">
        <v>-0.25672371638141811</v>
      </c>
      <c r="I24" s="98"/>
      <c r="J24" s="98">
        <v>-8.587376556462023E-3</v>
      </c>
      <c r="K24" s="98">
        <v>-7.5156576200417602E-2</v>
      </c>
      <c r="L24" s="98">
        <v>7.4796747967479593E-2</v>
      </c>
      <c r="M24" s="98">
        <v>-0.12282986111111099</v>
      </c>
      <c r="N24" s="98"/>
      <c r="O24" s="98"/>
      <c r="P24" s="98">
        <v>-0.30077120822622111</v>
      </c>
      <c r="Q24" s="98">
        <v>-0.1907514450867053</v>
      </c>
      <c r="R24" s="98">
        <v>-0.1296566837107378</v>
      </c>
      <c r="S24" s="98"/>
      <c r="T24" s="98">
        <v>0.18807339449541269</v>
      </c>
      <c r="U24" s="98">
        <v>-0.20951650038372971</v>
      </c>
      <c r="V24" s="98">
        <v>-0.25495049504950501</v>
      </c>
      <c r="W24" s="98">
        <v>-0.2013422818791947</v>
      </c>
      <c r="X24" s="98">
        <v>-0.27368978295394392</v>
      </c>
      <c r="Y24" s="98">
        <v>-2.9629629629629669E-2</v>
      </c>
      <c r="Z24" s="98">
        <v>-0.54920212765957444</v>
      </c>
      <c r="AA24" s="98"/>
      <c r="AB24" s="98">
        <v>4.9877964942656172E-2</v>
      </c>
      <c r="AC24" s="98">
        <v>4.0816326530610514E-3</v>
      </c>
      <c r="AD24" s="98">
        <v>-0.26229508196721318</v>
      </c>
      <c r="AE24" s="98">
        <v>-4.9261083743842297E-2</v>
      </c>
      <c r="AF24" s="98">
        <v>-0.30379746835443028</v>
      </c>
      <c r="AG24" s="98"/>
      <c r="AH24" s="98">
        <v>-0.29090909090909089</v>
      </c>
      <c r="AI24" s="98">
        <v>-0.14436218678815491</v>
      </c>
      <c r="AJ24" s="98">
        <v>-0.23308270676691731</v>
      </c>
      <c r="AK24" s="98">
        <v>-0.13076923076923069</v>
      </c>
      <c r="AL24" s="98">
        <v>-4.4432548179871412E-2</v>
      </c>
      <c r="AM24" s="98">
        <v>-5.2020202020202078E-2</v>
      </c>
      <c r="AN24" s="98">
        <v>-0.15043514297554911</v>
      </c>
      <c r="AO24" s="98">
        <v>-0.28051391862955027</v>
      </c>
      <c r="AP24" s="98">
        <v>-7.0329670329670191E-2</v>
      </c>
      <c r="AQ24" s="98"/>
      <c r="AR24" s="98">
        <v>-1.9480519480519431E-2</v>
      </c>
      <c r="AS24" s="98"/>
      <c r="AT24" s="98">
        <v>-0.215</v>
      </c>
      <c r="AU24" s="98">
        <v>-7.4349442379182404E-3</v>
      </c>
      <c r="AV24" s="98">
        <v>-0.23227507860837809</v>
      </c>
      <c r="AW24" s="98">
        <v>-8.2452431289640638E-2</v>
      </c>
      <c r="AX24" s="98">
        <v>-0.38222222222222219</v>
      </c>
      <c r="AY24" s="98">
        <v>-0.31580645161290322</v>
      </c>
      <c r="AZ24" s="98">
        <v>0.13978494623655921</v>
      </c>
      <c r="BA24" s="98">
        <v>-0.14199999999999999</v>
      </c>
      <c r="BB24" s="98">
        <v>-0.13752913752913751</v>
      </c>
      <c r="BC24" s="98">
        <v>-8.7272727272728057E-3</v>
      </c>
      <c r="BD24" s="98">
        <v>-0.1099476439790575</v>
      </c>
      <c r="BE24" s="98">
        <v>-0.23</v>
      </c>
      <c r="BF24" s="98">
        <v>-0.23447712418300659</v>
      </c>
      <c r="BG24" s="98">
        <v>-0.31260599208592432</v>
      </c>
      <c r="BH24" s="98">
        <v>-0.27218174024860692</v>
      </c>
      <c r="BI24" s="98"/>
      <c r="BJ24" s="98">
        <v>-0.1402631578947369</v>
      </c>
      <c r="BK24" s="98">
        <v>-0.14108198211850281</v>
      </c>
      <c r="BL24" s="98">
        <v>-0.1590056285178236</v>
      </c>
      <c r="BM24" s="98">
        <v>-0.1319444444444445</v>
      </c>
      <c r="BN24" s="98"/>
      <c r="BO24" s="98">
        <v>-1.8945212493599709E-2</v>
      </c>
      <c r="BP24" s="98">
        <v>-0.2240829346092503</v>
      </c>
      <c r="BQ24" s="98">
        <v>-7.072463768115933E-2</v>
      </c>
      <c r="BR24" s="98">
        <v>-0.15013404825737259</v>
      </c>
      <c r="BS24" s="98">
        <v>-9.2663354986625923E-2</v>
      </c>
      <c r="BT24" s="98">
        <v>-0.12557427258805509</v>
      </c>
      <c r="BU24" s="98"/>
      <c r="BV24" s="98">
        <v>-0.21769230769230771</v>
      </c>
      <c r="BW24" s="98">
        <v>9.0345368916797453E-2</v>
      </c>
      <c r="BX24" s="98">
        <v>7.1315922402723766E-3</v>
      </c>
      <c r="BY24" s="98"/>
      <c r="BZ24" s="98">
        <v>-0.49006622516556297</v>
      </c>
      <c r="CA24" s="98">
        <v>-7.4441687344913854E-3</v>
      </c>
      <c r="CB24" s="98">
        <v>-0.19312443351029401</v>
      </c>
      <c r="CC24" s="98">
        <v>-0.1116138379997266</v>
      </c>
      <c r="CD24" s="98">
        <v>2.9159519725557411E-2</v>
      </c>
      <c r="CE24" s="98">
        <v>0.16221765913757699</v>
      </c>
      <c r="CF24" s="98">
        <v>-6.1926605504587277E-2</v>
      </c>
      <c r="CG24" s="98"/>
      <c r="CH24" s="98"/>
      <c r="CI24" s="98"/>
      <c r="CJ24" s="98">
        <v>6.3153306357486283E-2</v>
      </c>
      <c r="CK24" s="98">
        <v>-0.20313329792883689</v>
      </c>
      <c r="CL24" s="98">
        <v>-0.17690599555884531</v>
      </c>
      <c r="CM24" s="98"/>
      <c r="CN24" s="98">
        <v>-0.37866108786610869</v>
      </c>
      <c r="CO24" s="98">
        <v>-0.56646115050492196</v>
      </c>
      <c r="CP24" s="98">
        <v>-0.28235294117647058</v>
      </c>
      <c r="CQ24" s="98">
        <v>-0.18794835007173591</v>
      </c>
      <c r="CR24" s="98">
        <v>4.7947699113312092E-2</v>
      </c>
      <c r="CS24" s="98">
        <v>-6.6874027993779173E-2</v>
      </c>
      <c r="CT24" s="98">
        <v>0.41975308641975301</v>
      </c>
      <c r="CU24" s="98">
        <v>-0.37254901960784298</v>
      </c>
      <c r="CV24" s="98">
        <v>-5.4848188050930502E-2</v>
      </c>
      <c r="CW24" s="98">
        <v>-6.9249793899422873E-2</v>
      </c>
      <c r="CX24" s="98">
        <v>4.3210902443078007E-2</v>
      </c>
      <c r="CY24" s="98">
        <v>-0.24489795918367349</v>
      </c>
      <c r="CZ24" s="98">
        <v>-0.1010162164720546</v>
      </c>
      <c r="DA24" s="98">
        <v>-0.1459074733096086</v>
      </c>
      <c r="DB24" s="98">
        <v>-0.13111111111111109</v>
      </c>
      <c r="DC24" s="98">
        <v>-2.1334672789896762E-2</v>
      </c>
      <c r="DD24" s="98">
        <v>9.0651815306383998E-3</v>
      </c>
      <c r="DE24" s="98">
        <v>-0.48048048048048042</v>
      </c>
      <c r="DF24" s="98">
        <v>-9.7577696526508384E-2</v>
      </c>
      <c r="DG24" s="98">
        <v>0.26788990825688058</v>
      </c>
      <c r="DH24" s="98"/>
      <c r="DI24" s="98">
        <v>-0.18375499334221029</v>
      </c>
      <c r="DJ24" s="98">
        <v>-0.41522491349480972</v>
      </c>
      <c r="DK24" s="98">
        <v>1.2585812356979311E-2</v>
      </c>
      <c r="DL24" s="98">
        <v>4.980079681274896E-3</v>
      </c>
      <c r="DM24" s="98">
        <v>-0.14143426294820721</v>
      </c>
      <c r="DN24" s="98">
        <v>-0.19672131147540969</v>
      </c>
      <c r="DO24" s="98"/>
      <c r="DP24" s="98">
        <v>-0.1343144924701741</v>
      </c>
      <c r="DQ24" s="98">
        <v>-2.9423784225582339E-2</v>
      </c>
      <c r="DR24" s="98">
        <v>-0.16885964912280699</v>
      </c>
      <c r="DS24" s="98">
        <v>5.7956104252400609E-2</v>
      </c>
      <c r="DT24" s="98"/>
      <c r="DU24" s="98">
        <v>-0.108</v>
      </c>
      <c r="DV24" s="98"/>
      <c r="DW24" s="98">
        <v>-0.1131541725601133</v>
      </c>
      <c r="DX24" s="98"/>
      <c r="DY24" s="98">
        <v>-0.1420921099607283</v>
      </c>
      <c r="DZ24" s="98">
        <v>-0.15220483641536281</v>
      </c>
      <c r="EA24" s="98">
        <v>-0.27722772277227731</v>
      </c>
      <c r="EB24" s="98">
        <v>-0.2352941176470589</v>
      </c>
      <c r="EC24" s="98">
        <v>-0.1847353618000511</v>
      </c>
      <c r="ED24" s="98">
        <v>2.5588235294117689E-2</v>
      </c>
      <c r="EE24" s="98">
        <v>-0.14627285513361449</v>
      </c>
      <c r="EF24" s="98">
        <v>-0.1171477079796264</v>
      </c>
      <c r="EG24" s="98">
        <v>-0.1058951965065503</v>
      </c>
      <c r="EH24" s="98">
        <v>-0.37900874635568521</v>
      </c>
      <c r="EI24" s="98">
        <v>0.1064275495605969</v>
      </c>
      <c r="EJ24" s="98">
        <v>-0.18126888217522649</v>
      </c>
      <c r="EK24" s="98">
        <v>-0.39088235294117651</v>
      </c>
      <c r="EL24" s="98">
        <v>-0.279863481228669</v>
      </c>
      <c r="EM24" s="98">
        <v>-3.703703703703709E-2</v>
      </c>
      <c r="EN24" s="98">
        <v>-0.17996243785177601</v>
      </c>
      <c r="EO24" s="98">
        <v>-0.172215843857635</v>
      </c>
    </row>
    <row r="25" spans="1:145" x14ac:dyDescent="0.25">
      <c r="A25">
        <v>2022</v>
      </c>
      <c r="B25">
        <v>2</v>
      </c>
      <c r="C25" s="98">
        <v>-2.9516988798389598E-2</v>
      </c>
      <c r="D25" s="98">
        <v>-2.181672961059089E-4</v>
      </c>
      <c r="E25" s="98">
        <v>0.36446886446886451</v>
      </c>
      <c r="F25" s="98">
        <v>-9.6153846153845812E-3</v>
      </c>
      <c r="G25" s="98"/>
      <c r="H25" s="98">
        <v>-0.1792763157894737</v>
      </c>
      <c r="I25" s="98"/>
      <c r="J25" s="98">
        <v>0.20008661758336951</v>
      </c>
      <c r="K25" s="98">
        <v>2.257336343115135E-2</v>
      </c>
      <c r="L25" s="98">
        <v>0.1028744326777609</v>
      </c>
      <c r="M25" s="98">
        <v>-7.3478476001979209E-2</v>
      </c>
      <c r="N25" s="98"/>
      <c r="O25" s="98"/>
      <c r="P25" s="98">
        <v>2.5735294117646971E-2</v>
      </c>
      <c r="Q25" s="98">
        <v>-5.4047619047619011E-2</v>
      </c>
      <c r="R25" s="98">
        <v>-9.3439641907959059E-2</v>
      </c>
      <c r="S25" s="98"/>
      <c r="T25" s="98">
        <v>-0.111969111969112</v>
      </c>
      <c r="U25" s="98">
        <v>-0.1106796116504855</v>
      </c>
      <c r="V25" s="98">
        <v>0.33887043189368787</v>
      </c>
      <c r="W25" s="98">
        <v>-0.1120448179271708</v>
      </c>
      <c r="X25" s="98">
        <v>2.441690962099119E-2</v>
      </c>
      <c r="Y25" s="98">
        <v>-3.8167938931297662E-2</v>
      </c>
      <c r="Z25" s="98">
        <v>-0.12979351032448369</v>
      </c>
      <c r="AA25" s="98"/>
      <c r="AB25" s="98">
        <v>5.8253806297605681E-2</v>
      </c>
      <c r="AC25" s="98">
        <v>0</v>
      </c>
      <c r="AD25" s="98">
        <v>-1.481481481481473E-2</v>
      </c>
      <c r="AE25" s="98">
        <v>-0.10449050086355791</v>
      </c>
      <c r="AF25" s="98">
        <v>-0.30227272727272742</v>
      </c>
      <c r="AG25" s="98">
        <v>-0.22702702702702701</v>
      </c>
      <c r="AH25" s="98">
        <v>-0.1820512820512821</v>
      </c>
      <c r="AI25" s="98">
        <v>-0.35108153078203003</v>
      </c>
      <c r="AJ25" s="98">
        <v>-7.8431372549019662E-2</v>
      </c>
      <c r="AK25" s="98">
        <v>-4.4247787610619427E-2</v>
      </c>
      <c r="AL25" s="98">
        <v>9.0756302521008303E-2</v>
      </c>
      <c r="AM25" s="98">
        <v>0.18753329781566319</v>
      </c>
      <c r="AN25" s="98">
        <v>6.8292682926829107E-2</v>
      </c>
      <c r="AO25" s="98">
        <v>-6.5476190476190355E-2</v>
      </c>
      <c r="AP25" s="98">
        <v>0.1536643026004727</v>
      </c>
      <c r="AQ25" s="98"/>
      <c r="AR25" s="98">
        <v>1.986754966887427E-2</v>
      </c>
      <c r="AS25" s="98"/>
      <c r="AT25" s="98">
        <v>-5.0955414012738953E-2</v>
      </c>
      <c r="AU25" s="98">
        <v>-4.49438202247191E-2</v>
      </c>
      <c r="AV25" s="98">
        <v>-0.12379442462676719</v>
      </c>
      <c r="AW25" s="98">
        <v>9.1013824884792704E-2</v>
      </c>
      <c r="AX25" s="98">
        <v>9.3525179856115193E-2</v>
      </c>
      <c r="AY25" s="98">
        <v>-0.56859971711456869</v>
      </c>
      <c r="AZ25" s="98">
        <v>0.2331536388140163</v>
      </c>
      <c r="BA25" s="98">
        <v>-4.6620046620046707E-2</v>
      </c>
      <c r="BB25" s="98">
        <v>1.6216216216216051E-2</v>
      </c>
      <c r="BC25" s="98">
        <v>0.16929567131327961</v>
      </c>
      <c r="BD25" s="98">
        <v>-0.1330882352941177</v>
      </c>
      <c r="BE25" s="98">
        <v>-9.0909090909090939E-2</v>
      </c>
      <c r="BF25" s="98">
        <v>6.1899679829242382E-2</v>
      </c>
      <c r="BG25" s="98">
        <v>-9.539473684210531E-2</v>
      </c>
      <c r="BH25" s="98">
        <v>-2.8268551236749099E-2</v>
      </c>
      <c r="BI25" s="98"/>
      <c r="BJ25" s="98">
        <v>0.122334455667789</v>
      </c>
      <c r="BK25" s="98">
        <v>5.6457304163726194E-3</v>
      </c>
      <c r="BL25" s="98">
        <v>0.11433351924149469</v>
      </c>
      <c r="BM25" s="98">
        <v>2.8000000000000021E-2</v>
      </c>
      <c r="BN25" s="98"/>
      <c r="BO25" s="98">
        <v>0.10647181628392489</v>
      </c>
      <c r="BP25" s="98">
        <v>-0.37204522096608428</v>
      </c>
      <c r="BQ25" s="98">
        <v>0.19837804117280089</v>
      </c>
      <c r="BR25" s="98">
        <v>7.8864353312302793E-2</v>
      </c>
      <c r="BS25" s="98">
        <v>0.16824594651505559</v>
      </c>
      <c r="BT25" s="98">
        <v>0.1646234676007006</v>
      </c>
      <c r="BU25" s="98"/>
      <c r="BV25" s="98">
        <v>-0.44014257620452307</v>
      </c>
      <c r="BW25" s="98">
        <v>-1.072636959182216E-2</v>
      </c>
      <c r="BX25" s="98">
        <v>-3.8610046001259613E-2</v>
      </c>
      <c r="BY25" s="98"/>
      <c r="BZ25" s="98">
        <v>-0.18831168831168829</v>
      </c>
      <c r="CA25" s="98">
        <v>-0.1125</v>
      </c>
      <c r="CB25" s="98">
        <v>-0.1878359945438498</v>
      </c>
      <c r="CC25" s="98">
        <v>2.283602590317502E-2</v>
      </c>
      <c r="CD25" s="98">
        <v>0.20588235294117641</v>
      </c>
      <c r="CE25" s="98">
        <v>0.14310954063604231</v>
      </c>
      <c r="CF25" s="98">
        <v>0.1907090464547678</v>
      </c>
      <c r="CG25" s="98"/>
      <c r="CH25" s="98"/>
      <c r="CI25" s="98"/>
      <c r="CJ25" s="98">
        <v>-6.0138268114984128E-2</v>
      </c>
      <c r="CK25" s="98">
        <v>5.2649116961013043E-2</v>
      </c>
      <c r="CL25" s="98">
        <v>-7.9136690647481966E-2</v>
      </c>
      <c r="CM25" s="98"/>
      <c r="CN25" s="98">
        <v>6.7340067340067034E-3</v>
      </c>
      <c r="CO25" s="98">
        <v>-0.1098481816483898</v>
      </c>
      <c r="CP25" s="98">
        <v>-0.17049180327868849</v>
      </c>
      <c r="CQ25" s="98">
        <v>-1.4134275618374549E-2</v>
      </c>
      <c r="CR25" s="98">
        <v>0.1785739634581405</v>
      </c>
      <c r="CS25" s="98">
        <v>0.2</v>
      </c>
      <c r="CT25" s="98">
        <v>0.27391304347826079</v>
      </c>
      <c r="CU25" s="98">
        <v>0.1495535714285714</v>
      </c>
      <c r="CV25" s="98">
        <v>0.1036269430051813</v>
      </c>
      <c r="CW25" s="98">
        <v>5.4561558901682787E-2</v>
      </c>
      <c r="CX25" s="98">
        <v>6.2450215070893662E-2</v>
      </c>
      <c r="CY25" s="98">
        <v>3.5135135135134998E-2</v>
      </c>
      <c r="CZ25" s="98">
        <v>-0.1091292387474937</v>
      </c>
      <c r="DA25" s="98">
        <v>7.9166666666666607E-2</v>
      </c>
      <c r="DB25" s="98">
        <v>-0.23529411764705879</v>
      </c>
      <c r="DC25" s="98">
        <v>-6.0184709957268427E-2</v>
      </c>
      <c r="DD25" s="98">
        <v>-8.5008098866158788E-2</v>
      </c>
      <c r="DE25" s="98">
        <v>-0.20231213872832371</v>
      </c>
      <c r="DF25" s="98">
        <v>-0.21828310964801209</v>
      </c>
      <c r="DG25" s="98">
        <v>-0.19488663772310649</v>
      </c>
      <c r="DH25" s="98"/>
      <c r="DI25" s="98">
        <v>0.1152800435019032</v>
      </c>
      <c r="DJ25" s="98">
        <v>0.14201183431952669</v>
      </c>
      <c r="DK25" s="98">
        <v>-3.9322033898305131E-2</v>
      </c>
      <c r="DL25" s="98">
        <v>3.964321110009994E-3</v>
      </c>
      <c r="DM25" s="98">
        <v>0.21809744779582371</v>
      </c>
      <c r="DN25" s="98">
        <v>-0.14693877551020421</v>
      </c>
      <c r="DO25" s="98"/>
      <c r="DP25" s="98">
        <v>-7.8339452132165865E-2</v>
      </c>
      <c r="DQ25" s="98">
        <v>-0.19473684210526321</v>
      </c>
      <c r="DR25" s="98">
        <v>-0.16094986807387859</v>
      </c>
      <c r="DS25" s="98">
        <v>3.5656401944894611E-2</v>
      </c>
      <c r="DT25" s="98"/>
      <c r="DU25" s="98">
        <v>-0.1215744892874938</v>
      </c>
      <c r="DV25" s="98"/>
      <c r="DW25" s="98">
        <v>-0.47049441786283891</v>
      </c>
      <c r="DX25" s="98"/>
      <c r="DY25" s="98">
        <v>-6.0549313358302159E-2</v>
      </c>
      <c r="DZ25" s="98">
        <v>2.3489932885905951E-2</v>
      </c>
      <c r="EA25" s="98">
        <v>-8.9041095890410982E-2</v>
      </c>
      <c r="EB25" s="98">
        <v>-0.16923076923076921</v>
      </c>
      <c r="EC25" s="98">
        <v>3.6067116198839071E-3</v>
      </c>
      <c r="ED25" s="98">
        <v>-2.49498135933468E-2</v>
      </c>
      <c r="EE25" s="98">
        <v>-0.2118616144975288</v>
      </c>
      <c r="EF25" s="98">
        <v>7.4999999999999956E-2</v>
      </c>
      <c r="EG25" s="98">
        <v>2.3199023199023339E-2</v>
      </c>
      <c r="EH25" s="98">
        <v>1.877934272300474E-2</v>
      </c>
      <c r="EI25" s="98">
        <v>-0.25836219502809199</v>
      </c>
      <c r="EJ25" s="98">
        <v>-0.28105781057810592</v>
      </c>
      <c r="EK25" s="98">
        <v>-0.12747464992757129</v>
      </c>
      <c r="EL25" s="98">
        <v>0.127962085308057</v>
      </c>
      <c r="EM25" s="98">
        <v>-0.17307692307692299</v>
      </c>
      <c r="EN25" s="98">
        <v>-3.0732119711501141E-2</v>
      </c>
      <c r="EO25" s="98">
        <v>-0.17753120665742031</v>
      </c>
    </row>
    <row r="26" spans="1:145" x14ac:dyDescent="0.25">
      <c r="A26">
        <v>2022</v>
      </c>
      <c r="B26">
        <v>3</v>
      </c>
      <c r="C26" s="98">
        <v>3.7555700981335871E-2</v>
      </c>
      <c r="D26" s="98">
        <v>4.5368974279003099E-4</v>
      </c>
      <c r="E26" s="98">
        <v>0.15704697986577171</v>
      </c>
      <c r="F26" s="98">
        <v>-2.4271844660194161E-2</v>
      </c>
      <c r="G26" s="98"/>
      <c r="H26" s="98">
        <v>0.39879759519038083</v>
      </c>
      <c r="I26" s="98">
        <v>-0.60942249240121582</v>
      </c>
      <c r="J26" s="98">
        <v>0.29556116925297721</v>
      </c>
      <c r="K26" s="98">
        <v>-7.9470198675496762E-2</v>
      </c>
      <c r="L26" s="98">
        <v>-2.8806584362139901E-2</v>
      </c>
      <c r="M26" s="98">
        <v>-0.24939919893190929</v>
      </c>
      <c r="N26" s="98"/>
      <c r="O26" s="98"/>
      <c r="P26" s="98">
        <v>-6.4516129032258118E-2</v>
      </c>
      <c r="Q26" s="98">
        <v>0.13264535615403969</v>
      </c>
      <c r="R26" s="98">
        <v>3.8419996914056398E-2</v>
      </c>
      <c r="S26" s="98"/>
      <c r="T26" s="98">
        <v>0.24782608695652189</v>
      </c>
      <c r="U26" s="98">
        <v>0.47379912663755452</v>
      </c>
      <c r="V26" s="98">
        <v>-0.15260545905707201</v>
      </c>
      <c r="W26" s="98">
        <v>0.13880126182965299</v>
      </c>
      <c r="X26" s="98">
        <v>0.47242974030594098</v>
      </c>
      <c r="Y26" s="98">
        <v>-0.14285714285714279</v>
      </c>
      <c r="Z26" s="98">
        <v>0.12881355932203389</v>
      </c>
      <c r="AA26" s="98"/>
      <c r="AB26" s="98">
        <v>7.1354324392898905E-2</v>
      </c>
      <c r="AC26" s="98">
        <v>4.0650406504065817E-3</v>
      </c>
      <c r="AD26" s="98">
        <v>-7.5187969924812137E-2</v>
      </c>
      <c r="AE26" s="98">
        <v>0.17164898746383811</v>
      </c>
      <c r="AF26" s="98">
        <v>-0.10423452768729639</v>
      </c>
      <c r="AG26" s="98">
        <v>0.37762237762237771</v>
      </c>
      <c r="AH26" s="98">
        <v>0.4357366771159874</v>
      </c>
      <c r="AI26" s="98">
        <v>-0.12564102564102561</v>
      </c>
      <c r="AJ26" s="98">
        <v>0.1542553191489362</v>
      </c>
      <c r="AK26" s="98">
        <v>1.8518518518518379E-2</v>
      </c>
      <c r="AL26" s="98">
        <v>4.5711350796096673E-2</v>
      </c>
      <c r="AM26" s="98">
        <v>1.0318528488111319E-2</v>
      </c>
      <c r="AN26" s="98">
        <v>-0.1095890410958904</v>
      </c>
      <c r="AO26" s="98">
        <v>-0.1019108280254778</v>
      </c>
      <c r="AP26" s="98">
        <v>0.1229508196721312</v>
      </c>
      <c r="AQ26" s="98"/>
      <c r="AR26" s="98">
        <v>0.16233766233766239</v>
      </c>
      <c r="AS26" s="98"/>
      <c r="AT26" s="98">
        <v>0</v>
      </c>
      <c r="AU26" s="98">
        <v>-5.2941176470588158E-2</v>
      </c>
      <c r="AV26" s="98">
        <v>1.01025331724971E-2</v>
      </c>
      <c r="AW26" s="98">
        <v>-8.1661386835621297E-2</v>
      </c>
      <c r="AX26" s="98">
        <v>0.23684210526315769</v>
      </c>
      <c r="AY26" s="98">
        <v>0.20218579234972681</v>
      </c>
      <c r="AZ26" s="98">
        <v>0.22622950819672141</v>
      </c>
      <c r="BA26" s="98">
        <v>0.13447432762836181</v>
      </c>
      <c r="BB26" s="98">
        <v>0.15957446808510661</v>
      </c>
      <c r="BC26" s="98">
        <v>-0.22352941176470589</v>
      </c>
      <c r="BD26" s="98">
        <v>-0.17726887192536039</v>
      </c>
      <c r="BE26" s="98">
        <v>8.9285714285714191E-2</v>
      </c>
      <c r="BF26" s="98">
        <v>0.221105527638191</v>
      </c>
      <c r="BG26" s="98">
        <v>1.1499999999999999</v>
      </c>
      <c r="BH26" s="98">
        <v>0.10848484848484841</v>
      </c>
      <c r="BI26" s="98"/>
      <c r="BJ26" s="98">
        <v>0.17272727272727259</v>
      </c>
      <c r="BK26" s="98">
        <v>0.21403508771929819</v>
      </c>
      <c r="BL26" s="98">
        <v>0.21746746746746751</v>
      </c>
      <c r="BM26" s="98">
        <v>-0.1154345006485084</v>
      </c>
      <c r="BN26" s="98"/>
      <c r="BO26" s="98">
        <v>-0.10481132075471709</v>
      </c>
      <c r="BP26" s="98">
        <v>-1.636661211129375E-3</v>
      </c>
      <c r="BQ26" s="98">
        <v>7.2878709005725906E-3</v>
      </c>
      <c r="BR26" s="98">
        <v>-5.2631578947368363E-2</v>
      </c>
      <c r="BS26" s="98">
        <v>0.10291997116077869</v>
      </c>
      <c r="BT26" s="98">
        <v>-0.1102756892230576</v>
      </c>
      <c r="BU26" s="98"/>
      <c r="BV26" s="98">
        <v>0.55543358946212962</v>
      </c>
      <c r="BW26" s="98">
        <v>0.1328045408237519</v>
      </c>
      <c r="BX26" s="98">
        <v>7.6927620959177601E-2</v>
      </c>
      <c r="BY26" s="98"/>
      <c r="BZ26" s="98">
        <v>-4.1600000000000534E-3</v>
      </c>
      <c r="CA26" s="98">
        <v>-7.0422535211267623E-2</v>
      </c>
      <c r="CB26" s="98">
        <v>0.1113416320885201</v>
      </c>
      <c r="CC26" s="98">
        <v>0.1457087912923809</v>
      </c>
      <c r="CD26" s="98">
        <v>0.11382113821138209</v>
      </c>
      <c r="CE26" s="98">
        <v>0.1097372488408037</v>
      </c>
      <c r="CF26" s="98">
        <v>-0.17453798767967149</v>
      </c>
      <c r="CG26" s="98"/>
      <c r="CH26" s="98"/>
      <c r="CI26" s="98"/>
      <c r="CJ26" s="98">
        <v>8.0933548390800025E-2</v>
      </c>
      <c r="CK26" s="98">
        <v>-6.2044950933839993E-2</v>
      </c>
      <c r="CL26" s="98">
        <v>-0.4736328125</v>
      </c>
      <c r="CM26" s="98"/>
      <c r="CN26" s="98">
        <v>-0.1806020066889632</v>
      </c>
      <c r="CO26" s="98">
        <v>8.2249265631556767E-2</v>
      </c>
      <c r="CP26" s="98">
        <v>3.9525691699604737E-2</v>
      </c>
      <c r="CQ26" s="98">
        <v>-0.1129032258064516</v>
      </c>
      <c r="CR26" s="98">
        <v>-6.4292415751705301E-2</v>
      </c>
      <c r="CS26" s="98">
        <v>-0.16527777777777791</v>
      </c>
      <c r="CT26" s="98">
        <v>-0.15699658703071681</v>
      </c>
      <c r="CU26" s="98">
        <v>-0.16019417475728159</v>
      </c>
      <c r="CV26" s="98">
        <v>-5.7982517573210823E-2</v>
      </c>
      <c r="CW26" s="98">
        <v>-0.1107004871493366</v>
      </c>
      <c r="CX26" s="98">
        <v>0.14439946018893379</v>
      </c>
      <c r="CY26" s="98">
        <v>-0.2140992167101827</v>
      </c>
      <c r="CZ26" s="98">
        <v>0.1028965272699067</v>
      </c>
      <c r="DA26" s="98">
        <v>-0.2493105350248207</v>
      </c>
      <c r="DB26" s="98">
        <v>-0.21850613154960979</v>
      </c>
      <c r="DC26" s="98">
        <v>8.1926440024216118E-2</v>
      </c>
      <c r="DD26" s="98">
        <v>0.1075924468922109</v>
      </c>
      <c r="DE26" s="98">
        <v>0.13043478260869559</v>
      </c>
      <c r="DF26" s="98">
        <v>0.1062520246193714</v>
      </c>
      <c r="DG26" s="98">
        <v>-0.1911324146195327</v>
      </c>
      <c r="DH26" s="98"/>
      <c r="DI26" s="98">
        <v>0.31594344222330562</v>
      </c>
      <c r="DJ26" s="98">
        <v>0.27461139896373071</v>
      </c>
      <c r="DK26" s="98">
        <v>-0.12632321806633731</v>
      </c>
      <c r="DL26" s="98">
        <v>4.9358341559722074E-3</v>
      </c>
      <c r="DM26" s="98">
        <v>8.1904761904761925E-2</v>
      </c>
      <c r="DN26" s="98">
        <v>-6.4593301435406647E-2</v>
      </c>
      <c r="DO26" s="98"/>
      <c r="DP26" s="98">
        <v>0.1816603341912815</v>
      </c>
      <c r="DQ26" s="98">
        <v>-4.5751633986928053E-2</v>
      </c>
      <c r="DR26" s="98">
        <v>0.26100628930817621</v>
      </c>
      <c r="DS26" s="98">
        <v>1.1580594679186261E-2</v>
      </c>
      <c r="DT26" s="98"/>
      <c r="DU26" s="98">
        <v>-4.5944412932501399E-2</v>
      </c>
      <c r="DV26" s="98"/>
      <c r="DW26" s="98">
        <v>-0.10542168674698781</v>
      </c>
      <c r="DX26" s="98"/>
      <c r="DY26" s="98">
        <v>-0.36766334440753051</v>
      </c>
      <c r="DZ26" s="98">
        <v>0.27377049180327861</v>
      </c>
      <c r="EA26" s="98">
        <v>0.16791979949874691</v>
      </c>
      <c r="EB26" s="98">
        <v>0.13580246913580241</v>
      </c>
      <c r="EC26" s="98">
        <v>2.4375</v>
      </c>
      <c r="ED26" s="98">
        <v>-6.2254901960784308E-2</v>
      </c>
      <c r="EE26" s="98">
        <v>0.58862876254180585</v>
      </c>
      <c r="EF26" s="98">
        <v>-0.1359570661896243</v>
      </c>
      <c r="EG26" s="98">
        <v>-3.2219570405728093E-2</v>
      </c>
      <c r="EH26" s="98">
        <v>2.3041474654377891E-2</v>
      </c>
      <c r="EI26" s="98">
        <v>-1.180975705939136E-2</v>
      </c>
      <c r="EJ26" s="98">
        <v>0.16082121471343019</v>
      </c>
      <c r="EK26" s="98">
        <v>0.19922523519645829</v>
      </c>
      <c r="EL26" s="98">
        <v>7.5630252100840512E-2</v>
      </c>
      <c r="EM26" s="98">
        <v>0.2093023255813953</v>
      </c>
      <c r="EN26" s="98">
        <v>-2.6129776669800538E-2</v>
      </c>
      <c r="EO26" s="98">
        <v>-0.15177065767284981</v>
      </c>
    </row>
    <row r="27" spans="1:145" x14ac:dyDescent="0.25">
      <c r="A27">
        <v>2022</v>
      </c>
      <c r="B27">
        <v>4</v>
      </c>
      <c r="C27" s="98">
        <v>-8.7769141316052401E-2</v>
      </c>
      <c r="D27" s="98">
        <v>-1.0844182650548979E-4</v>
      </c>
      <c r="E27" s="98">
        <v>-0.28538283062644998</v>
      </c>
      <c r="F27" s="98">
        <v>-0.29850746268656708</v>
      </c>
      <c r="G27" s="98"/>
      <c r="H27" s="98">
        <v>-0.29226361031518622</v>
      </c>
      <c r="I27" s="98">
        <v>-0.29961089494163418</v>
      </c>
      <c r="J27" s="98">
        <v>-1.197771587743734E-2</v>
      </c>
      <c r="K27" s="98">
        <v>-7.4340527577937632E-2</v>
      </c>
      <c r="L27" s="98">
        <v>-0.47598870056497178</v>
      </c>
      <c r="M27" s="98">
        <v>4.9804340092493897E-2</v>
      </c>
      <c r="N27" s="98"/>
      <c r="O27" s="98"/>
      <c r="P27" s="98">
        <v>-0.46360153256704978</v>
      </c>
      <c r="Q27" s="98">
        <v>-0.152</v>
      </c>
      <c r="R27" s="98">
        <v>-0.1832095096582467</v>
      </c>
      <c r="S27" s="98"/>
      <c r="T27" s="98">
        <v>-0.26480836236933802</v>
      </c>
      <c r="U27" s="98">
        <v>-0.23777777777777789</v>
      </c>
      <c r="V27" s="98">
        <v>-0.2679355783308931</v>
      </c>
      <c r="W27" s="98">
        <v>-0.18698060941828251</v>
      </c>
      <c r="X27" s="98">
        <v>-0.2329064991543851</v>
      </c>
      <c r="Y27" s="98">
        <v>-0.40287037037037038</v>
      </c>
      <c r="Z27" s="98">
        <v>0.1111111111111112</v>
      </c>
      <c r="AA27" s="98"/>
      <c r="AB27" s="98">
        <v>3.0672971878652699E-2</v>
      </c>
      <c r="AC27" s="98">
        <v>4.0485829959513442E-3</v>
      </c>
      <c r="AD27" s="98">
        <v>-0.13008130081300809</v>
      </c>
      <c r="AE27" s="98">
        <v>-0.28230452674897122</v>
      </c>
      <c r="AF27" s="98">
        <v>7.2727272727273204E-3</v>
      </c>
      <c r="AG27" s="98">
        <v>-0.17766497461928929</v>
      </c>
      <c r="AH27" s="98">
        <v>-0.33187772925764192</v>
      </c>
      <c r="AI27" s="98">
        <v>-8.2111436950146333E-3</v>
      </c>
      <c r="AJ27" s="98">
        <v>-0.33179723502304148</v>
      </c>
      <c r="AK27" s="98">
        <v>-0.1454545454545455</v>
      </c>
      <c r="AL27" s="98">
        <v>-0.20923379174852641</v>
      </c>
      <c r="AM27" s="98">
        <v>-4.4849023090586027E-2</v>
      </c>
      <c r="AN27" s="98">
        <v>-0.2846153846153846</v>
      </c>
      <c r="AO27" s="98">
        <v>-0.1666666666666666</v>
      </c>
      <c r="AP27" s="98">
        <v>-0.37226277372262778</v>
      </c>
      <c r="AQ27" s="98"/>
      <c r="AR27" s="98">
        <v>-0.43575418994413412</v>
      </c>
      <c r="AS27" s="98"/>
      <c r="AT27" s="98">
        <v>-0.24161073825503351</v>
      </c>
      <c r="AU27" s="98">
        <v>-0.20289855072463769</v>
      </c>
      <c r="AV27" s="98">
        <v>-0.32825794894760407</v>
      </c>
      <c r="AW27" s="98">
        <v>-2.9896512073591449E-2</v>
      </c>
      <c r="AX27" s="98">
        <v>-0.2872340425531914</v>
      </c>
      <c r="AY27" s="98">
        <v>-0.18151515151515149</v>
      </c>
      <c r="AZ27" s="98">
        <v>-2.673796791443972E-3</v>
      </c>
      <c r="BA27" s="98">
        <v>0.2241379310344829</v>
      </c>
      <c r="BB27" s="98">
        <v>-0.19036697247706441</v>
      </c>
      <c r="BC27" s="98">
        <v>-5.0505050505050393E-2</v>
      </c>
      <c r="BD27" s="98">
        <v>-0.1773195876288659</v>
      </c>
      <c r="BE27" s="98">
        <v>-0.20655737704918031</v>
      </c>
      <c r="BF27" s="98">
        <v>-6.9958847736625529E-2</v>
      </c>
      <c r="BG27" s="98">
        <v>-0.59323467230443971</v>
      </c>
      <c r="BH27" s="98">
        <v>-0.2039365773646801</v>
      </c>
      <c r="BI27" s="98"/>
      <c r="BJ27" s="98">
        <v>-0.28124031007751937</v>
      </c>
      <c r="BK27" s="98">
        <v>-0.24364161849710991</v>
      </c>
      <c r="BL27" s="98">
        <v>-7.4203494347379273E-2</v>
      </c>
      <c r="BM27" s="98">
        <v>-7.3313782991203391E-3</v>
      </c>
      <c r="BN27" s="98"/>
      <c r="BO27" s="98">
        <v>-0.22004426177679409</v>
      </c>
      <c r="BP27" s="98">
        <v>-0.36393442622950822</v>
      </c>
      <c r="BQ27" s="98">
        <v>-0.1183462532299743</v>
      </c>
      <c r="BR27" s="98">
        <v>-0.2777777777777779</v>
      </c>
      <c r="BS27" s="98">
        <v>-0.17290406929236801</v>
      </c>
      <c r="BT27" s="98">
        <v>-0.28507042253521131</v>
      </c>
      <c r="BU27" s="98"/>
      <c r="BV27" s="98">
        <v>-0.36810162314749473</v>
      </c>
      <c r="BW27" s="98">
        <v>2.9228496177812199E-2</v>
      </c>
      <c r="BX27" s="98">
        <v>1.822468066747818E-2</v>
      </c>
      <c r="BY27" s="98"/>
      <c r="BZ27" s="98">
        <v>-0.14845758354755781</v>
      </c>
      <c r="CA27" s="98">
        <v>-0.15757575757575759</v>
      </c>
      <c r="CB27" s="98">
        <v>-0.1745044003911459</v>
      </c>
      <c r="CC27" s="98">
        <v>2.0114109268704491E-2</v>
      </c>
      <c r="CD27" s="98">
        <v>-0.35627737226277367</v>
      </c>
      <c r="CE27" s="98">
        <v>-0.2423398328690807</v>
      </c>
      <c r="CF27" s="98">
        <v>0.40547263681592072</v>
      </c>
      <c r="CG27" s="98"/>
      <c r="CH27" s="98"/>
      <c r="CI27" s="98"/>
      <c r="CJ27" s="98">
        <v>8.0927372462390457E-2</v>
      </c>
      <c r="CK27" s="98">
        <v>-0.19136010799865</v>
      </c>
      <c r="CL27" s="98">
        <v>-0.23376623376623371</v>
      </c>
      <c r="CM27" s="98"/>
      <c r="CN27" s="98">
        <v>-0.36326530612244901</v>
      </c>
      <c r="CO27" s="98">
        <v>-6.1734891707749262E-2</v>
      </c>
      <c r="CP27" s="98">
        <v>-0.1140684410646388</v>
      </c>
      <c r="CQ27" s="98">
        <v>-0.27878787878787881</v>
      </c>
      <c r="CR27" s="98">
        <v>-7.443464357817442E-2</v>
      </c>
      <c r="CS27" s="98">
        <v>-0.42262895174708809</v>
      </c>
      <c r="CT27" s="98">
        <v>-2.0242914979757051E-2</v>
      </c>
      <c r="CU27" s="98">
        <v>-0.40578034682080932</v>
      </c>
      <c r="CV27" s="98">
        <v>-9.824437738176528E-2</v>
      </c>
      <c r="CW27" s="98">
        <v>3.2489610880241708E-2</v>
      </c>
      <c r="CX27" s="98">
        <v>-2.2929769392033509E-2</v>
      </c>
      <c r="CY27" s="98">
        <v>-7.9734219269103068E-2</v>
      </c>
      <c r="CZ27" s="98">
        <v>-5.2152964763984337E-2</v>
      </c>
      <c r="DA27" s="98">
        <v>-4.9228508449669313E-2</v>
      </c>
      <c r="DB27" s="98">
        <v>-0.1640513552068473</v>
      </c>
      <c r="DC27" s="98">
        <v>-0.1074678611706408</v>
      </c>
      <c r="DD27" s="98">
        <v>6.0010063339844821E-2</v>
      </c>
      <c r="DE27" s="98">
        <v>-0.27564102564102549</v>
      </c>
      <c r="DF27" s="98">
        <v>-0.25183016105417277</v>
      </c>
      <c r="DG27" s="98">
        <v>-9.4074074074074088E-2</v>
      </c>
      <c r="DH27" s="98"/>
      <c r="DI27" s="98">
        <v>-6.9655427936272662E-2</v>
      </c>
      <c r="DJ27" s="98">
        <v>-0.15040650406504069</v>
      </c>
      <c r="DK27" s="98">
        <v>-0.43807215939687671</v>
      </c>
      <c r="DL27" s="98">
        <v>0</v>
      </c>
      <c r="DM27" s="98">
        <v>-0.125</v>
      </c>
      <c r="DN27" s="98">
        <v>-0.31713554987212278</v>
      </c>
      <c r="DO27" s="98"/>
      <c r="DP27" s="98">
        <v>-3.1030131208187098E-2</v>
      </c>
      <c r="DQ27" s="98">
        <v>-6.4246575342465695E-2</v>
      </c>
      <c r="DR27" s="98">
        <v>-0.33665835411471318</v>
      </c>
      <c r="DS27" s="98">
        <v>-0.1367574257425743</v>
      </c>
      <c r="DT27" s="98"/>
      <c r="DU27" s="98">
        <v>8.8585017835909552E-2</v>
      </c>
      <c r="DV27" s="98"/>
      <c r="DW27" s="98">
        <v>-0.46127946127946129</v>
      </c>
      <c r="DX27" s="98"/>
      <c r="DY27" s="98">
        <v>-0.12539404553415071</v>
      </c>
      <c r="DZ27" s="98">
        <v>-0.35907335907335902</v>
      </c>
      <c r="EA27" s="98">
        <v>-0.19742489270386271</v>
      </c>
      <c r="EB27" s="98">
        <v>-0.2445652173913043</v>
      </c>
      <c r="EC27" s="98">
        <v>0.22727272727272729</v>
      </c>
      <c r="ED27" s="98">
        <v>-0.27130162049137468</v>
      </c>
      <c r="EE27" s="98">
        <v>-0.46921052631578941</v>
      </c>
      <c r="EF27" s="98">
        <v>1.4265010351966869</v>
      </c>
      <c r="EG27" s="98">
        <v>-0.18988902589395801</v>
      </c>
      <c r="EH27" s="98">
        <v>-0.20270270270270269</v>
      </c>
      <c r="EI27" s="98">
        <v>-5.0555012969555557E-2</v>
      </c>
      <c r="EJ27" s="98">
        <v>7.0744288872512717E-2</v>
      </c>
      <c r="EK27" s="98">
        <v>-0.35394554683894802</v>
      </c>
      <c r="EL27" s="98">
        <v>-4.6875E-2</v>
      </c>
      <c r="EM27" s="98">
        <v>-0.38461538461538458</v>
      </c>
      <c r="EN27" s="98">
        <v>-5.8503934604239187E-2</v>
      </c>
      <c r="EO27" s="98">
        <v>-0.1113320079522864</v>
      </c>
    </row>
    <row r="28" spans="1:145" x14ac:dyDescent="0.25">
      <c r="A28">
        <v>2022</v>
      </c>
      <c r="B28">
        <v>5</v>
      </c>
      <c r="C28" s="98">
        <v>2.2573655428113071E-3</v>
      </c>
      <c r="D28" s="98">
        <v>3.2782561649091768E-4</v>
      </c>
      <c r="E28" s="98">
        <v>3.8149350649350662E-2</v>
      </c>
      <c r="F28" s="98">
        <v>-0.1063829787234043</v>
      </c>
      <c r="G28" s="98"/>
      <c r="H28" s="98">
        <v>0.51012145748987847</v>
      </c>
      <c r="I28" s="98">
        <v>-1.2222222222222129E-2</v>
      </c>
      <c r="J28" s="98">
        <v>4.7082041161544907E-2</v>
      </c>
      <c r="K28" s="98">
        <v>-5.9585492227979257E-2</v>
      </c>
      <c r="L28" s="98">
        <v>-0.27223719676549862</v>
      </c>
      <c r="M28" s="98">
        <v>2.5076245340562409E-2</v>
      </c>
      <c r="N28" s="98"/>
      <c r="O28" s="98">
        <v>-4.0307101727447232E-2</v>
      </c>
      <c r="P28" s="98">
        <v>-0.28999999999999992</v>
      </c>
      <c r="Q28" s="98">
        <v>-0.1325995807127883</v>
      </c>
      <c r="R28" s="98">
        <v>-0.24158631981080589</v>
      </c>
      <c r="S28" s="98"/>
      <c r="T28" s="98">
        <v>0.42654028436018948</v>
      </c>
      <c r="U28" s="98">
        <v>-0.1175898931000972</v>
      </c>
      <c r="V28" s="98">
        <v>-0.55800000000000005</v>
      </c>
      <c r="W28" s="98">
        <v>0.34241908006814298</v>
      </c>
      <c r="X28" s="98">
        <v>-0.21259842519685029</v>
      </c>
      <c r="Y28" s="98">
        <v>-0.15382229803070249</v>
      </c>
      <c r="Z28" s="98">
        <v>-0.22432432432432439</v>
      </c>
      <c r="AA28" s="98"/>
      <c r="AB28" s="98">
        <v>2.3911883301708241E-3</v>
      </c>
      <c r="AC28" s="98">
        <v>-0.344758064516129</v>
      </c>
      <c r="AD28" s="98">
        <v>-8.8317757009345854E-2</v>
      </c>
      <c r="AE28" s="98">
        <v>-4.587155963302747E-2</v>
      </c>
      <c r="AF28" s="98">
        <v>-5.4151624548736448E-2</v>
      </c>
      <c r="AG28" s="98">
        <v>-0.3271604938271605</v>
      </c>
      <c r="AH28" s="98">
        <v>-0.15032679738562091</v>
      </c>
      <c r="AI28" s="98">
        <v>-0.10348905972797159</v>
      </c>
      <c r="AJ28" s="98">
        <v>0.54482758620689675</v>
      </c>
      <c r="AK28" s="98">
        <v>-0.1446808510638298</v>
      </c>
      <c r="AL28" s="98">
        <v>-2.981366459627344E-2</v>
      </c>
      <c r="AM28" s="98">
        <v>-3.1148303114830411E-2</v>
      </c>
      <c r="AN28" s="98">
        <v>-0.16810035842293899</v>
      </c>
      <c r="AO28" s="98">
        <v>-0.1106382978723405</v>
      </c>
      <c r="AP28" s="98">
        <v>-5.8139534883720811E-2</v>
      </c>
      <c r="AQ28" s="98"/>
      <c r="AR28" s="98">
        <v>-6.9603960396039666E-2</v>
      </c>
      <c r="AS28" s="98"/>
      <c r="AT28" s="98">
        <v>8.8495575221238854E-2</v>
      </c>
      <c r="AU28" s="98">
        <v>5.1948051948051974E-3</v>
      </c>
      <c r="AV28" s="98">
        <v>0.22222222222222229</v>
      </c>
      <c r="AW28" s="98">
        <v>-6.3611220861319651E-2</v>
      </c>
      <c r="AX28" s="98">
        <v>-9.7014925373134386E-2</v>
      </c>
      <c r="AY28" s="98">
        <v>-0.26804887078859668</v>
      </c>
      <c r="AZ28" s="98">
        <v>0.15281501340482581</v>
      </c>
      <c r="BA28" s="98">
        <v>3.521126760563487E-3</v>
      </c>
      <c r="BB28" s="98">
        <v>-0.13881019830028321</v>
      </c>
      <c r="BC28" s="98">
        <v>-0.52304964539007093</v>
      </c>
      <c r="BD28" s="98">
        <v>-0.21679197994987481</v>
      </c>
      <c r="BE28" s="98">
        <v>-3.7190082644628093E-2</v>
      </c>
      <c r="BF28" s="98">
        <v>-0.14601769911504431</v>
      </c>
      <c r="BG28" s="98">
        <v>-0.25987525987525978</v>
      </c>
      <c r="BH28" s="98">
        <v>-0.31181318681318682</v>
      </c>
      <c r="BI28" s="98"/>
      <c r="BJ28" s="98">
        <v>-0.15864969801553061</v>
      </c>
      <c r="BK28" s="98">
        <v>-0.1643102789453573</v>
      </c>
      <c r="BL28" s="98">
        <v>-3.1971580817051433E-2</v>
      </c>
      <c r="BM28" s="98">
        <v>6.794682422452003E-2</v>
      </c>
      <c r="BN28" s="98"/>
      <c r="BO28" s="98">
        <v>-0.41305229023104978</v>
      </c>
      <c r="BP28" s="98">
        <v>5.1546391752577136E-3</v>
      </c>
      <c r="BQ28" s="98">
        <v>-0.1107854630715123</v>
      </c>
      <c r="BR28" s="98">
        <v>-9.4017094017093905E-2</v>
      </c>
      <c r="BS28" s="98">
        <v>0.1341632088520055</v>
      </c>
      <c r="BT28" s="98">
        <v>-9.377462568951922E-2</v>
      </c>
      <c r="BU28" s="98"/>
      <c r="BV28" s="98">
        <v>-0.18650882287245929</v>
      </c>
      <c r="BW28" s="98">
        <v>-6.5784546248907727E-2</v>
      </c>
      <c r="BX28" s="98">
        <v>1.1113162378677539E-3</v>
      </c>
      <c r="BY28" s="98"/>
      <c r="BZ28" s="98">
        <v>-0.16981132075471711</v>
      </c>
      <c r="CA28" s="98">
        <v>-0.26258992805755399</v>
      </c>
      <c r="CB28" s="98">
        <v>-4.2537152702993741E-2</v>
      </c>
      <c r="CC28" s="98">
        <v>7.6552357626159306E-2</v>
      </c>
      <c r="CD28" s="98">
        <v>-8.0394602562648743E-2</v>
      </c>
      <c r="CE28" s="98">
        <v>-0.25367647058823539</v>
      </c>
      <c r="CF28" s="98">
        <v>-5.3097345132743452E-2</v>
      </c>
      <c r="CG28" s="98"/>
      <c r="CH28" s="98"/>
      <c r="CI28" s="98"/>
      <c r="CJ28" s="98">
        <v>3.7658984952617658E-2</v>
      </c>
      <c r="CK28" s="98">
        <v>-0.15609348914858101</v>
      </c>
      <c r="CL28" s="98">
        <v>-0.15738498789346239</v>
      </c>
      <c r="CM28" s="98"/>
      <c r="CN28" s="98">
        <v>-0.6414102564102564</v>
      </c>
      <c r="CO28" s="98">
        <v>0.18732473359506449</v>
      </c>
      <c r="CP28" s="98">
        <v>-0.24248927038626611</v>
      </c>
      <c r="CQ28" s="98">
        <v>-0.123249299719888</v>
      </c>
      <c r="CR28" s="98">
        <v>0.18355060423513581</v>
      </c>
      <c r="CS28" s="98">
        <v>-0.28530259365994243</v>
      </c>
      <c r="CT28" s="98">
        <v>-0.15082644628099171</v>
      </c>
      <c r="CU28" s="98">
        <v>-9.9221789883268463E-2</v>
      </c>
      <c r="CV28" s="98">
        <v>7.4486405940835887E-2</v>
      </c>
      <c r="CW28" s="98">
        <v>2.122210025612881E-2</v>
      </c>
      <c r="CX28" s="98">
        <v>-0.15180367439989259</v>
      </c>
      <c r="CY28" s="98">
        <v>-7.9422382671480163E-2</v>
      </c>
      <c r="CZ28" s="98">
        <v>8.9483788144675946E-2</v>
      </c>
      <c r="DA28" s="98">
        <v>-0.4459041731066461</v>
      </c>
      <c r="DB28" s="98">
        <v>-3.924914675767921E-2</v>
      </c>
      <c r="DC28" s="98">
        <v>0.1620992761116857</v>
      </c>
      <c r="DD28" s="98">
        <v>0.26349002471135191</v>
      </c>
      <c r="DE28" s="98">
        <v>-0.13734513274336291</v>
      </c>
      <c r="DF28" s="98">
        <v>5.7279843444226992E-2</v>
      </c>
      <c r="DG28" s="98">
        <v>-6.7865903515944348E-2</v>
      </c>
      <c r="DH28" s="98"/>
      <c r="DI28" s="98">
        <v>-0.25169255276782171</v>
      </c>
      <c r="DJ28" s="98">
        <v>-0.1483253588516745</v>
      </c>
      <c r="DK28" s="98">
        <v>0.46621945376138002</v>
      </c>
      <c r="DL28" s="98">
        <v>2.946954813359604E-3</v>
      </c>
      <c r="DM28" s="98">
        <v>-3.4205231388329982E-2</v>
      </c>
      <c r="DN28" s="98">
        <v>-0.2097378277153559</v>
      </c>
      <c r="DO28" s="98"/>
      <c r="DP28" s="98">
        <v>0.68980589452651109</v>
      </c>
      <c r="DQ28" s="98">
        <v>-0.27404479578392621</v>
      </c>
      <c r="DR28" s="98">
        <v>0.29699248120300742</v>
      </c>
      <c r="DS28" s="98">
        <v>-1.0752688172042111E-3</v>
      </c>
      <c r="DT28" s="98"/>
      <c r="DU28" s="98">
        <v>-0.24904423812124521</v>
      </c>
      <c r="DV28" s="98"/>
      <c r="DW28" s="98">
        <v>8.1249999999999822E-2</v>
      </c>
      <c r="DX28" s="98"/>
      <c r="DY28" s="98">
        <v>-9.0508610332398876E-2</v>
      </c>
      <c r="DZ28" s="98">
        <v>-9.8393574297188757E-2</v>
      </c>
      <c r="EA28" s="98">
        <v>-0.1951871657754011</v>
      </c>
      <c r="EB28" s="98">
        <v>-0.1510791366906474</v>
      </c>
      <c r="EC28" s="98">
        <v>-0.1037037037037037</v>
      </c>
      <c r="ED28" s="98">
        <v>-0.40286944045911038</v>
      </c>
      <c r="EE28" s="98">
        <v>-1.536936043629167E-2</v>
      </c>
      <c r="EF28" s="98">
        <v>0.1040955631399316</v>
      </c>
      <c r="EG28" s="98">
        <v>-0.70624048706240483</v>
      </c>
      <c r="EH28" s="98">
        <v>-0.19774011299435021</v>
      </c>
      <c r="EI28" s="98">
        <v>0.20005751639770389</v>
      </c>
      <c r="EJ28" s="98">
        <v>0.20509291121816939</v>
      </c>
      <c r="EK28" s="98">
        <v>-3.000000000000003E-2</v>
      </c>
      <c r="EL28" s="98">
        <v>-9.4262295081967262E-2</v>
      </c>
      <c r="EM28" s="98">
        <v>7.828125000000008E-2</v>
      </c>
      <c r="EN28" s="98">
        <v>-3.5655498281289548E-2</v>
      </c>
      <c r="EO28" s="98">
        <v>3.5794183445190253E-2</v>
      </c>
    </row>
    <row r="29" spans="1:145" x14ac:dyDescent="0.25">
      <c r="A29">
        <v>2022</v>
      </c>
      <c r="B29">
        <v>6</v>
      </c>
      <c r="C29" s="98">
        <v>-8.2469431607706145E-2</v>
      </c>
      <c r="D29" s="98">
        <v>7.7987071148100107E-4</v>
      </c>
      <c r="E29" s="98">
        <v>9.1477716966380074E-2</v>
      </c>
      <c r="F29" s="98">
        <v>6.3492063492063489E-2</v>
      </c>
      <c r="G29" s="98"/>
      <c r="H29" s="98">
        <v>-0.30831099195710449</v>
      </c>
      <c r="I29" s="98">
        <v>1.166479190101237</v>
      </c>
      <c r="J29" s="98">
        <v>-6.3274098007539026E-2</v>
      </c>
      <c r="K29" s="98">
        <v>-0.12396694214876031</v>
      </c>
      <c r="L29" s="98">
        <v>0.92592592592592582</v>
      </c>
      <c r="M29" s="98">
        <v>-1.91735537190082E-2</v>
      </c>
      <c r="N29" s="98"/>
      <c r="O29" s="98">
        <v>-0.48333333333333328</v>
      </c>
      <c r="P29" s="98">
        <v>-0.35633802816901411</v>
      </c>
      <c r="Q29" s="98">
        <v>-4.2900302114803668E-2</v>
      </c>
      <c r="R29" s="98">
        <v>9.5946270088751451E-3</v>
      </c>
      <c r="S29" s="98">
        <v>3.0150753768845022E-3</v>
      </c>
      <c r="T29" s="98">
        <v>-1.993355481727566E-2</v>
      </c>
      <c r="U29" s="98">
        <v>-0.66409691629955947</v>
      </c>
      <c r="V29" s="98">
        <v>0.1040723981900453</v>
      </c>
      <c r="W29" s="98">
        <v>-9.898477157360408E-2</v>
      </c>
      <c r="X29" s="98">
        <v>0.53199999999999981</v>
      </c>
      <c r="Y29" s="98">
        <v>0.26443100604727882</v>
      </c>
      <c r="Z29" s="98">
        <v>-0.35191637630662009</v>
      </c>
      <c r="AA29" s="98"/>
      <c r="AB29" s="98">
        <v>2.7700011683400531E-2</v>
      </c>
      <c r="AC29" s="98">
        <v>-0.42</v>
      </c>
      <c r="AD29" s="98">
        <v>0.1173757047667863</v>
      </c>
      <c r="AE29" s="98">
        <v>9.7355769230769162E-2</v>
      </c>
      <c r="AF29" s="98">
        <v>-0.19465648854961839</v>
      </c>
      <c r="AG29" s="98">
        <v>0.33944954128440341</v>
      </c>
      <c r="AH29" s="98">
        <v>0.13076923076923069</v>
      </c>
      <c r="AI29" s="98">
        <v>-7.6517150395778333E-2</v>
      </c>
      <c r="AJ29" s="98">
        <v>-5.3571428571428603E-2</v>
      </c>
      <c r="AK29" s="98">
        <v>1.990049751243772E-2</v>
      </c>
      <c r="AL29" s="98">
        <v>0.1344430217669654</v>
      </c>
      <c r="AM29" s="98">
        <v>0.14107485604606529</v>
      </c>
      <c r="AN29" s="98">
        <v>-7.5398535114174936E-2</v>
      </c>
      <c r="AO29" s="98">
        <v>-7.1770334928228374E-3</v>
      </c>
      <c r="AP29" s="98">
        <v>0.24074074074074051</v>
      </c>
      <c r="AQ29" s="98"/>
      <c r="AR29" s="98">
        <v>-2.096413749068848E-2</v>
      </c>
      <c r="AS29" s="98"/>
      <c r="AT29" s="98">
        <v>0</v>
      </c>
      <c r="AU29" s="98">
        <v>-3.3591731266149893E-2</v>
      </c>
      <c r="AV29" s="98">
        <v>-0.13090909090909089</v>
      </c>
      <c r="AW29" s="98">
        <v>-0.17172995780590719</v>
      </c>
      <c r="AX29" s="98">
        <v>8.2644628099173278E-3</v>
      </c>
      <c r="AY29" s="98">
        <v>8.3965604451188502E-2</v>
      </c>
      <c r="AZ29" s="98">
        <v>-0.10077519379844969</v>
      </c>
      <c r="BA29" s="98">
        <v>0.1157894736842104</v>
      </c>
      <c r="BB29" s="98">
        <v>-0.13815789473684201</v>
      </c>
      <c r="BC29" s="98">
        <v>0.204460966542751</v>
      </c>
      <c r="BD29" s="98">
        <v>0.27360000000000012</v>
      </c>
      <c r="BE29" s="98">
        <v>-0.16309012875536491</v>
      </c>
      <c r="BF29" s="98">
        <v>-0.18445595854922281</v>
      </c>
      <c r="BG29" s="98">
        <v>-0.31179775280898869</v>
      </c>
      <c r="BH29" s="98">
        <v>-3.9920159680637557E-3</v>
      </c>
      <c r="BI29" s="98"/>
      <c r="BJ29" s="98">
        <v>-0.26611972823996921</v>
      </c>
      <c r="BK29" s="98">
        <v>-4.1609510745313272E-2</v>
      </c>
      <c r="BL29" s="98">
        <v>0.1185779816513761</v>
      </c>
      <c r="BM29" s="98">
        <v>6.9156293222683018E-3</v>
      </c>
      <c r="BN29" s="98"/>
      <c r="BO29" s="98">
        <v>0.22007366482504609</v>
      </c>
      <c r="BP29" s="98">
        <v>0.13589743589743589</v>
      </c>
      <c r="BQ29" s="98">
        <v>-2.7027027027027081E-2</v>
      </c>
      <c r="BR29" s="98">
        <v>-9.4339622641509524E-2</v>
      </c>
      <c r="BS29" s="98">
        <v>-5.5749128919860844E-3</v>
      </c>
      <c r="BT29" s="98">
        <v>-0.1295652173913043</v>
      </c>
      <c r="BU29" s="98"/>
      <c r="BV29" s="98">
        <v>-0.1927512355848435</v>
      </c>
      <c r="BW29" s="98">
        <v>4.2290219134152762E-2</v>
      </c>
      <c r="BX29" s="98">
        <v>-1.125137626660366E-2</v>
      </c>
      <c r="BY29" s="98"/>
      <c r="BZ29" s="98">
        <v>6.9545454545454577E-2</v>
      </c>
      <c r="CA29" s="98">
        <v>0.45365853658536598</v>
      </c>
      <c r="CB29" s="98">
        <v>3.4866719154200698E-3</v>
      </c>
      <c r="CC29" s="98">
        <v>3.4424376466251523E-2</v>
      </c>
      <c r="CD29" s="98">
        <v>-1.2330456226880339E-2</v>
      </c>
      <c r="CE29" s="98">
        <v>7.389162561576379E-2</v>
      </c>
      <c r="CF29" s="98">
        <v>5.6074766355140422E-2</v>
      </c>
      <c r="CG29" s="98"/>
      <c r="CH29" s="98"/>
      <c r="CI29" s="98"/>
      <c r="CJ29" s="98">
        <v>-1.2557832903888899E-3</v>
      </c>
      <c r="CK29" s="98">
        <v>0.23639960435212659</v>
      </c>
      <c r="CL29" s="98">
        <v>9.1954022988505635E-2</v>
      </c>
      <c r="CM29" s="98"/>
      <c r="CN29" s="98">
        <v>7.2577761887736791E-2</v>
      </c>
      <c r="CO29" s="98">
        <v>-0.1236605921984935</v>
      </c>
      <c r="CP29" s="98">
        <v>-8.2152974504249188E-2</v>
      </c>
      <c r="CQ29" s="98">
        <v>0.28434504792332249</v>
      </c>
      <c r="CR29" s="98">
        <v>-0.1109059930548469</v>
      </c>
      <c r="CS29" s="98">
        <v>0.1088709677419355</v>
      </c>
      <c r="CT29" s="98">
        <v>0.78102189781021902</v>
      </c>
      <c r="CU29" s="98">
        <v>-1.079913606911442E-2</v>
      </c>
      <c r="CV29" s="98">
        <v>-4.1660746255932626E-3</v>
      </c>
      <c r="CW29" s="98">
        <v>5.3385883195987027E-2</v>
      </c>
      <c r="CX29" s="98">
        <v>-7.8260869565217384E-2</v>
      </c>
      <c r="CY29" s="98">
        <v>0.1019607843137256</v>
      </c>
      <c r="CZ29" s="98">
        <v>-1.149994378670083E-2</v>
      </c>
      <c r="DA29" s="98">
        <v>0.17712691771269171</v>
      </c>
      <c r="DB29" s="98">
        <v>0.42273534635879217</v>
      </c>
      <c r="DC29" s="98">
        <v>2.4477196885428269E-2</v>
      </c>
      <c r="DD29" s="98">
        <v>0.40110497237569048</v>
      </c>
      <c r="DE29" s="98">
        <v>-0.1384899466557242</v>
      </c>
      <c r="DF29" s="98">
        <v>-0.1504247876061969</v>
      </c>
      <c r="DG29" s="98">
        <v>-9.3859649122807087E-2</v>
      </c>
      <c r="DH29" s="98"/>
      <c r="DI29" s="98">
        <v>1.0643959552953721E-2</v>
      </c>
      <c r="DJ29" s="98">
        <v>-0.38202247191011229</v>
      </c>
      <c r="DK29" s="98">
        <v>-8.1045751633986973E-2</v>
      </c>
      <c r="DL29" s="98">
        <v>9.7943192948091173E-4</v>
      </c>
      <c r="DM29" s="98">
        <v>4.1666666666668739E-3</v>
      </c>
      <c r="DN29" s="98">
        <v>-0.1184834123222748</v>
      </c>
      <c r="DO29" s="98"/>
      <c r="DP29" s="98">
        <v>5.8500585956058559E-2</v>
      </c>
      <c r="DQ29" s="98">
        <v>6.3520871143375679E-2</v>
      </c>
      <c r="DR29" s="98">
        <v>-0.15362318840579711</v>
      </c>
      <c r="DS29" s="98">
        <v>3.7674919268030127E-2</v>
      </c>
      <c r="DT29" s="98"/>
      <c r="DU29" s="98">
        <v>6.1818181818181772E-2</v>
      </c>
      <c r="DV29" s="98"/>
      <c r="DW29" s="98">
        <v>0.43352601156069359</v>
      </c>
      <c r="DX29" s="98"/>
      <c r="DY29" s="98">
        <v>7.5737560546015104E-2</v>
      </c>
      <c r="DZ29" s="98">
        <v>-0.30512249443207129</v>
      </c>
      <c r="EA29" s="98">
        <v>-0.27906976744186052</v>
      </c>
      <c r="EB29" s="98">
        <v>0.1186440677966101</v>
      </c>
      <c r="EC29" s="98">
        <v>0.16115702479338839</v>
      </c>
      <c r="ED29" s="98">
        <v>0.34262373858721767</v>
      </c>
      <c r="EE29" s="98">
        <v>2.0140986908359082E-3</v>
      </c>
      <c r="EF29" s="98">
        <v>-0.1267387944358577</v>
      </c>
      <c r="EG29" s="98">
        <v>-5.1813471502590858E-3</v>
      </c>
      <c r="EH29" s="98">
        <v>0.18309859154929581</v>
      </c>
      <c r="EI29" s="98">
        <v>-0.1466966524111489</v>
      </c>
      <c r="EJ29" s="98">
        <v>-0.30154197601370653</v>
      </c>
      <c r="EK29" s="98">
        <v>-4.5409916543937112E-2</v>
      </c>
      <c r="EL29" s="98">
        <v>-0.30316742081447962</v>
      </c>
      <c r="EM29" s="98">
        <v>-0.36212143167656857</v>
      </c>
      <c r="EN29" s="98">
        <v>5.6160481849008006E-3</v>
      </c>
      <c r="EO29" s="98">
        <v>-3.6717062634989188E-2</v>
      </c>
    </row>
    <row r="30" spans="1:145" x14ac:dyDescent="0.25">
      <c r="A30">
        <v>2022</v>
      </c>
      <c r="B30">
        <v>7</v>
      </c>
      <c r="C30" s="98">
        <v>9.208760760433865E-2</v>
      </c>
      <c r="D30" s="98">
        <v>3.5947044586648319E-4</v>
      </c>
      <c r="E30" s="98">
        <v>0.1038681948424067</v>
      </c>
      <c r="F30" s="98">
        <v>-0.5149253731343284</v>
      </c>
      <c r="G30" s="98"/>
      <c r="H30" s="98">
        <v>6.9767441860465018E-2</v>
      </c>
      <c r="I30" s="98">
        <v>0.40134994807891983</v>
      </c>
      <c r="J30" s="98">
        <v>7.4734118999712607E-2</v>
      </c>
      <c r="K30" s="98">
        <v>0.1132075471698113</v>
      </c>
      <c r="L30" s="98">
        <v>-0.4259615384615385</v>
      </c>
      <c r="M30" s="98">
        <v>0.15436467812605331</v>
      </c>
      <c r="N30" s="98"/>
      <c r="O30" s="98">
        <v>0.104516129032258</v>
      </c>
      <c r="P30" s="98">
        <v>0.28477649265395422</v>
      </c>
      <c r="Q30" s="98">
        <v>7.354797979797989E-2</v>
      </c>
      <c r="R30" s="98">
        <v>0.26181990971727243</v>
      </c>
      <c r="S30" s="98">
        <v>4.5090180360720664E-3</v>
      </c>
      <c r="T30" s="98">
        <v>0.32203389830508461</v>
      </c>
      <c r="U30" s="98">
        <v>0.1409836065573771</v>
      </c>
      <c r="V30" s="98">
        <v>0.93852459016393475</v>
      </c>
      <c r="W30" s="98">
        <v>0.15492957746478869</v>
      </c>
      <c r="X30" s="98">
        <v>7.5718015665797722E-3</v>
      </c>
      <c r="Y30" s="98">
        <v>-0.24637681159420291</v>
      </c>
      <c r="Z30" s="98">
        <v>-0.23118279569892469</v>
      </c>
      <c r="AA30" s="98"/>
      <c r="AB30" s="98">
        <v>-4.1817347169317183E-2</v>
      </c>
      <c r="AC30" s="98">
        <v>-4.50928381962864E-2</v>
      </c>
      <c r="AD30" s="98">
        <v>-0.11926605504587159</v>
      </c>
      <c r="AE30" s="98">
        <v>-4.2716319824753657E-2</v>
      </c>
      <c r="AF30" s="98">
        <v>-0.1042654028436019</v>
      </c>
      <c r="AG30" s="98">
        <v>-0.1575342465753424</v>
      </c>
      <c r="AH30" s="98">
        <v>4.7619047619047672E-2</v>
      </c>
      <c r="AI30" s="98">
        <v>-0.2153571428571428</v>
      </c>
      <c r="AJ30" s="98">
        <v>-0.1085377358490567</v>
      </c>
      <c r="AK30" s="98">
        <v>-2.0731707317073189E-2</v>
      </c>
      <c r="AL30" s="98">
        <v>-2.9909706546275231E-2</v>
      </c>
      <c r="AM30" s="98">
        <v>0.2052144659377628</v>
      </c>
      <c r="AN30" s="98">
        <v>-1.397949673811749E-2</v>
      </c>
      <c r="AO30" s="98">
        <v>9.3975903614457845E-2</v>
      </c>
      <c r="AP30" s="98">
        <v>0.33084577114427871</v>
      </c>
      <c r="AQ30" s="98"/>
      <c r="AR30" s="98">
        <v>-2.9347826086956519E-2</v>
      </c>
      <c r="AS30" s="98"/>
      <c r="AT30" s="98">
        <v>-9.7560975609756073E-2</v>
      </c>
      <c r="AU30" s="98">
        <v>-2.673796791443861E-3</v>
      </c>
      <c r="AV30" s="98">
        <v>2.5104602510460209E-2</v>
      </c>
      <c r="AW30" s="98">
        <v>3.2093734080489211E-2</v>
      </c>
      <c r="AX30" s="98">
        <v>-4.0983606557377088E-2</v>
      </c>
      <c r="AY30" s="98">
        <v>-0.40270648623425098</v>
      </c>
      <c r="AZ30" s="98">
        <v>6.2931034482758719E-2</v>
      </c>
      <c r="BA30" s="98">
        <v>-9.2767295597484423E-2</v>
      </c>
      <c r="BB30" s="98">
        <v>2.290076335877855E-2</v>
      </c>
      <c r="BC30" s="98">
        <v>-5.8641975308642007E-2</v>
      </c>
      <c r="BD30" s="98">
        <v>0.21482412060301501</v>
      </c>
      <c r="BE30" s="98">
        <v>-0.12820512820512819</v>
      </c>
      <c r="BF30" s="98">
        <v>0.1601016518424396</v>
      </c>
      <c r="BG30" s="98">
        <v>0.2</v>
      </c>
      <c r="BH30" s="98">
        <v>0.1182364729458918</v>
      </c>
      <c r="BI30" s="98"/>
      <c r="BJ30" s="98">
        <v>-5.6768558951965087E-2</v>
      </c>
      <c r="BK30" s="98">
        <v>-2.67175572519085E-2</v>
      </c>
      <c r="BL30" s="98">
        <v>4.0188640557719868E-2</v>
      </c>
      <c r="BM30" s="98">
        <v>-7.6923076923076983E-2</v>
      </c>
      <c r="BN30" s="98"/>
      <c r="BO30" s="98">
        <v>-2.8301886792453379E-3</v>
      </c>
      <c r="BP30" s="98">
        <v>0.1422121896162527</v>
      </c>
      <c r="BQ30" s="98">
        <v>-2.845528455284552E-2</v>
      </c>
      <c r="BR30" s="98">
        <v>-2.604166666666663E-2</v>
      </c>
      <c r="BS30" s="98">
        <v>-5.1857042747021742E-2</v>
      </c>
      <c r="BT30" s="98">
        <v>9.8901098901098772E-2</v>
      </c>
      <c r="BU30" s="98"/>
      <c r="BV30" s="98">
        <v>-0.12619047619047619</v>
      </c>
      <c r="BW30" s="98">
        <v>3.2049227613617498E-4</v>
      </c>
      <c r="BX30" s="98">
        <v>-1.684377755573507E-2</v>
      </c>
      <c r="BY30" s="98"/>
      <c r="BZ30" s="98">
        <v>-0.6874203144921377</v>
      </c>
      <c r="CA30" s="98">
        <v>-9.3959731543624136E-2</v>
      </c>
      <c r="CB30" s="98">
        <v>3.1495180452813187E-2</v>
      </c>
      <c r="CC30" s="98">
        <v>1.683999164729344E-2</v>
      </c>
      <c r="CD30" s="98">
        <v>-5.9300873907615508E-2</v>
      </c>
      <c r="CE30" s="98">
        <v>0.125</v>
      </c>
      <c r="CF30" s="98">
        <v>0.1486725663716815</v>
      </c>
      <c r="CG30" s="98"/>
      <c r="CH30" s="98"/>
      <c r="CI30" s="98"/>
      <c r="CJ30" s="98">
        <v>-2.0072763471315262E-2</v>
      </c>
      <c r="CK30" s="98">
        <v>-4.0000000000000042E-2</v>
      </c>
      <c r="CL30" s="98">
        <v>4.2105263157894868E-2</v>
      </c>
      <c r="CM30" s="98"/>
      <c r="CN30" s="98">
        <v>0.32166666666666649</v>
      </c>
      <c r="CO30" s="98">
        <v>0.24573746772958091</v>
      </c>
      <c r="CP30" s="98">
        <v>-0.14814814814814831</v>
      </c>
      <c r="CQ30" s="98">
        <v>0.1144278606965177</v>
      </c>
      <c r="CR30" s="98">
        <v>-6.0147813233631942E-2</v>
      </c>
      <c r="CS30" s="98">
        <v>0.81090909090909102</v>
      </c>
      <c r="CT30" s="98">
        <v>-1.092896174863389E-2</v>
      </c>
      <c r="CU30" s="98">
        <v>0.91703056768558944</v>
      </c>
      <c r="CV30" s="98">
        <v>2.3000707714083472E-2</v>
      </c>
      <c r="CW30" s="98">
        <v>2.5680272108843601E-2</v>
      </c>
      <c r="CX30" s="98">
        <v>-2.9845626072041109E-2</v>
      </c>
      <c r="CY30" s="98">
        <v>0.103202846975089</v>
      </c>
      <c r="CZ30" s="98">
        <v>-2.9021992322918692E-2</v>
      </c>
      <c r="DA30" s="98">
        <v>9.1232227488151851E-2</v>
      </c>
      <c r="DB30" s="98">
        <v>1.168539325842697</v>
      </c>
      <c r="DC30" s="98">
        <v>3.2041085553281327E-2</v>
      </c>
      <c r="DD30" s="98">
        <v>-0.18454258675078861</v>
      </c>
      <c r="DE30" s="98">
        <v>-5.4774946415813257E-2</v>
      </c>
      <c r="DF30" s="98">
        <v>-4.1394335511982461E-2</v>
      </c>
      <c r="DG30" s="98">
        <v>8.9060987415295223E-2</v>
      </c>
      <c r="DH30" s="98"/>
      <c r="DI30" s="98">
        <v>0.34807793575566109</v>
      </c>
      <c r="DJ30" s="98">
        <v>-0.4219090909090909</v>
      </c>
      <c r="DK30" s="98">
        <v>-0.41927453769559042</v>
      </c>
      <c r="DL30" s="98">
        <v>7.8277886497064575E-3</v>
      </c>
      <c r="DM30" s="98">
        <v>2.489626556016589E-2</v>
      </c>
      <c r="DN30" s="98">
        <v>0.24193548387096769</v>
      </c>
      <c r="DO30" s="98"/>
      <c r="DP30" s="98">
        <v>0.48446009296016262</v>
      </c>
      <c r="DQ30" s="98">
        <v>2.066742510428532E-2</v>
      </c>
      <c r="DR30" s="98">
        <v>3.4246575342467001E-3</v>
      </c>
      <c r="DS30" s="98">
        <v>9.7856154910096693E-2</v>
      </c>
      <c r="DT30" s="98"/>
      <c r="DU30" s="98">
        <v>2.876712328767117E-2</v>
      </c>
      <c r="DV30" s="98"/>
      <c r="DW30" s="98">
        <v>-0.1411290322580645</v>
      </c>
      <c r="DX30" s="98"/>
      <c r="DY30" s="98">
        <v>-0.15677445763405651</v>
      </c>
      <c r="DZ30" s="98">
        <v>0.16987179487179471</v>
      </c>
      <c r="EA30" s="98">
        <v>0.85253456221198154</v>
      </c>
      <c r="EB30" s="98">
        <v>-8.7500000000000022E-2</v>
      </c>
      <c r="EC30" s="98">
        <v>8.8967971530249157E-2</v>
      </c>
      <c r="ED30" s="98">
        <v>1.3622047244094491</v>
      </c>
      <c r="EE30" s="98">
        <v>-0.37386934673366817</v>
      </c>
      <c r="EF30" s="98">
        <v>7.0796460176991038E-2</v>
      </c>
      <c r="EG30" s="98">
        <v>0.640625</v>
      </c>
      <c r="EH30" s="98">
        <v>-9.5238095238095233E-2</v>
      </c>
      <c r="EI30" s="98">
        <v>-7.4497731691509861E-2</v>
      </c>
      <c r="EJ30" s="98">
        <v>0.23548650858544559</v>
      </c>
      <c r="EK30" s="98">
        <v>0.1110825404988429</v>
      </c>
      <c r="EL30" s="98">
        <v>-7.7922077922077948E-2</v>
      </c>
      <c r="EM30" s="98">
        <v>9.0640617900954235E-2</v>
      </c>
      <c r="EN30" s="98">
        <v>6.3974905339779786E-2</v>
      </c>
      <c r="EO30" s="98">
        <v>0.25560538116591908</v>
      </c>
    </row>
    <row r="31" spans="1:145" x14ac:dyDescent="0.25">
      <c r="A31">
        <v>2022</v>
      </c>
      <c r="B31">
        <v>8</v>
      </c>
      <c r="C31" s="98">
        <v>-4.0801900015809973E-2</v>
      </c>
      <c r="D31" s="98">
        <v>1.93453589597814E-3</v>
      </c>
      <c r="E31" s="98">
        <v>3.2446463335496389E-2</v>
      </c>
      <c r="F31" s="98">
        <v>-0.1741538461538461</v>
      </c>
      <c r="G31" s="98"/>
      <c r="H31" s="98">
        <v>7.6086956521739246E-2</v>
      </c>
      <c r="I31" s="98">
        <v>-6.4838829195998482E-2</v>
      </c>
      <c r="J31" s="98">
        <v>-0.20834447713292331</v>
      </c>
      <c r="K31" s="98">
        <v>-0.38700564971751422</v>
      </c>
      <c r="L31" s="98">
        <v>0.16247906197654949</v>
      </c>
      <c r="M31" s="98">
        <v>7.7080291970802906E-2</v>
      </c>
      <c r="N31" s="98"/>
      <c r="O31" s="98">
        <v>1.002336448598131</v>
      </c>
      <c r="P31" s="98">
        <v>0.75790754257907555</v>
      </c>
      <c r="Q31" s="98">
        <v>-0.2453200039204155</v>
      </c>
      <c r="R31" s="98">
        <v>-0.20278666917717941</v>
      </c>
      <c r="S31" s="98">
        <v>5.9850374064838166E-3</v>
      </c>
      <c r="T31" s="98">
        <v>-0.34615384615384609</v>
      </c>
      <c r="U31" s="98">
        <v>-2.873563218390807E-2</v>
      </c>
      <c r="V31" s="98">
        <v>0.40380549682875261</v>
      </c>
      <c r="W31" s="98">
        <v>-8.536585365853655E-2</v>
      </c>
      <c r="X31" s="98">
        <v>0.65327805130862893</v>
      </c>
      <c r="Y31" s="98">
        <v>-0.57211538461538458</v>
      </c>
      <c r="Z31" s="98">
        <v>-0.18881118881118891</v>
      </c>
      <c r="AA31" s="98"/>
      <c r="AB31" s="98">
        <v>-8.6338541760532572E-2</v>
      </c>
      <c r="AC31" s="98">
        <v>0.22222222222222229</v>
      </c>
      <c r="AD31" s="98">
        <v>4.1666666666666741E-2</v>
      </c>
      <c r="AE31" s="98">
        <v>0.18077803203661319</v>
      </c>
      <c r="AF31" s="98">
        <v>8.4656084656084651E-2</v>
      </c>
      <c r="AG31" s="98">
        <v>0.34146341463414642</v>
      </c>
      <c r="AH31" s="98">
        <v>-0.1103896103896104</v>
      </c>
      <c r="AI31" s="98">
        <v>0.1124260355029585</v>
      </c>
      <c r="AJ31" s="98">
        <v>5.344198105719844E-3</v>
      </c>
      <c r="AK31" s="98">
        <v>-1.4943960149438329E-3</v>
      </c>
      <c r="AL31" s="98">
        <v>2.268760907504341E-2</v>
      </c>
      <c r="AM31" s="98">
        <v>-9.9092812281926013E-2</v>
      </c>
      <c r="AN31" s="98">
        <v>-7.7504725897920679E-2</v>
      </c>
      <c r="AO31" s="98">
        <v>3.524229074889873E-2</v>
      </c>
      <c r="AP31" s="98">
        <v>-0.34018691588785038</v>
      </c>
      <c r="AQ31" s="98"/>
      <c r="AR31" s="98">
        <v>0.37737961926091818</v>
      </c>
      <c r="AS31" s="98"/>
      <c r="AT31" s="98">
        <v>-2.702702702702697E-2</v>
      </c>
      <c r="AU31" s="98">
        <v>-9.193029490616611E-2</v>
      </c>
      <c r="AV31" s="98">
        <v>0.48469387755102028</v>
      </c>
      <c r="AW31" s="98">
        <v>-0.25320829220138208</v>
      </c>
      <c r="AX31" s="98">
        <v>8.5470085470085166E-3</v>
      </c>
      <c r="AY31" s="98">
        <v>-0.12812499999999991</v>
      </c>
      <c r="AZ31" s="98">
        <v>-0.22060016220600159</v>
      </c>
      <c r="BA31" s="98">
        <v>0.29289428076256518</v>
      </c>
      <c r="BB31" s="98">
        <v>-0.15671641791044791</v>
      </c>
      <c r="BC31" s="98">
        <v>-0.11475409836065591</v>
      </c>
      <c r="BD31" s="98">
        <v>4.2399172699069343E-2</v>
      </c>
      <c r="BE31" s="98">
        <v>-4.1176470588235259E-2</v>
      </c>
      <c r="BF31" s="98">
        <v>9.5290251916757773E-2</v>
      </c>
      <c r="BG31" s="98">
        <v>0.25850340136054428</v>
      </c>
      <c r="BH31" s="98">
        <v>0.39336917562724022</v>
      </c>
      <c r="BI31" s="98"/>
      <c r="BJ31" s="98">
        <v>0.26425925925925942</v>
      </c>
      <c r="BK31" s="98">
        <v>5.3921568627451011E-2</v>
      </c>
      <c r="BL31" s="98">
        <v>-0.1344372166370984</v>
      </c>
      <c r="BM31" s="98">
        <v>0.33779761904761912</v>
      </c>
      <c r="BN31" s="98"/>
      <c r="BO31" s="98">
        <v>5.9602649006622599E-2</v>
      </c>
      <c r="BP31" s="98">
        <v>-6.1264822134387331E-2</v>
      </c>
      <c r="BQ31" s="98">
        <v>-8.228730822873076E-2</v>
      </c>
      <c r="BR31" s="98">
        <v>0.21390374331550799</v>
      </c>
      <c r="BS31" s="98">
        <v>-7.1322985957132268E-2</v>
      </c>
      <c r="BT31" s="98">
        <v>-0.2</v>
      </c>
      <c r="BU31" s="98"/>
      <c r="BV31" s="98">
        <v>-8.524717789022962E-2</v>
      </c>
      <c r="BW31" s="98">
        <v>-5.3825451749327513E-3</v>
      </c>
      <c r="BX31" s="98">
        <v>-6.9288215965273903E-2</v>
      </c>
      <c r="BY31" s="98"/>
      <c r="BZ31" s="98">
        <v>0.32154996600951707</v>
      </c>
      <c r="CA31" s="98">
        <v>9.6296296296296102E-2</v>
      </c>
      <c r="CB31" s="98">
        <v>3.9117679017710572E-3</v>
      </c>
      <c r="CC31" s="98">
        <v>-8.3417242796653412E-2</v>
      </c>
      <c r="CD31" s="98">
        <v>-0.23025879230258789</v>
      </c>
      <c r="CE31" s="98">
        <v>0.1763506625891946</v>
      </c>
      <c r="CF31" s="98">
        <v>-0.1078582434514638</v>
      </c>
      <c r="CG31" s="98"/>
      <c r="CH31" s="98"/>
      <c r="CI31" s="98"/>
      <c r="CJ31" s="98">
        <v>-4.4548743971401412E-2</v>
      </c>
      <c r="CK31" s="98">
        <v>-2.083333333333337E-2</v>
      </c>
      <c r="CL31" s="98">
        <v>-5.050505050505083E-3</v>
      </c>
      <c r="CM31" s="98"/>
      <c r="CN31" s="98">
        <v>-0.18032786885245899</v>
      </c>
      <c r="CO31" s="98">
        <v>-0.1232265263829109</v>
      </c>
      <c r="CP31" s="98">
        <v>1.449275362318847E-2</v>
      </c>
      <c r="CQ31" s="98">
        <v>0.1339285714285714</v>
      </c>
      <c r="CR31" s="98">
        <v>-9.2443131987077765E-2</v>
      </c>
      <c r="CS31" s="98">
        <v>-0.19076305220883541</v>
      </c>
      <c r="CT31" s="98">
        <v>8.2872928176795924E-3</v>
      </c>
      <c r="CU31" s="98">
        <v>-2.505694760820032E-2</v>
      </c>
      <c r="CV31" s="98">
        <v>-0.24322982336729099</v>
      </c>
      <c r="CW31" s="98">
        <v>-0.1613331122533577</v>
      </c>
      <c r="CX31" s="98">
        <v>-7.2135785007072184E-2</v>
      </c>
      <c r="CY31" s="98">
        <v>-0.1129032258064516</v>
      </c>
      <c r="CZ31" s="98">
        <v>-0.1045353384271608</v>
      </c>
      <c r="DA31" s="98">
        <v>-7.2747014115092434E-2</v>
      </c>
      <c r="DB31" s="98">
        <v>0.1099597006332758</v>
      </c>
      <c r="DC31" s="98">
        <v>-0.10627922757662971</v>
      </c>
      <c r="DD31" s="98">
        <v>0.17117988394584141</v>
      </c>
      <c r="DE31" s="98">
        <v>-0.17422524565381711</v>
      </c>
      <c r="DF31" s="98">
        <v>4.5454545454544082E-3</v>
      </c>
      <c r="DG31" s="98">
        <v>-0.2088888888888889</v>
      </c>
      <c r="DH31" s="98"/>
      <c r="DI31" s="98">
        <v>0.13828124999999991</v>
      </c>
      <c r="DJ31" s="98">
        <v>2.4439377260575559</v>
      </c>
      <c r="DK31" s="98">
        <v>0.57562767911818757</v>
      </c>
      <c r="DL31" s="98">
        <v>3.8834951456310218E-3</v>
      </c>
      <c r="DM31" s="98">
        <v>0.18421052631578941</v>
      </c>
      <c r="DN31" s="98">
        <v>9.5238095238095122E-2</v>
      </c>
      <c r="DO31" s="98"/>
      <c r="DP31" s="98">
        <v>-0.1227448951481229</v>
      </c>
      <c r="DQ31" s="98">
        <v>4.0312093628088297E-2</v>
      </c>
      <c r="DR31" s="98">
        <v>-5.1194539249146742E-2</v>
      </c>
      <c r="DS31" s="98">
        <v>7.8110236220472418E-2</v>
      </c>
      <c r="DT31" s="98"/>
      <c r="DU31" s="98">
        <v>2.3968042609853631E-2</v>
      </c>
      <c r="DV31" s="98"/>
      <c r="DW31" s="98">
        <v>0.83098591549295775</v>
      </c>
      <c r="DX31" s="98"/>
      <c r="DY31" s="98">
        <v>0.43203883495145629</v>
      </c>
      <c r="DZ31" s="98">
        <v>4.1095890410958853E-2</v>
      </c>
      <c r="EA31" s="98">
        <v>-6.9651741293532243E-2</v>
      </c>
      <c r="EB31" s="98">
        <v>-7.8870900788708953E-3</v>
      </c>
      <c r="EC31" s="98">
        <v>3.9215686274509887E-2</v>
      </c>
      <c r="ED31" s="98">
        <v>0</v>
      </c>
      <c r="EE31" s="98">
        <v>0.59069020866773658</v>
      </c>
      <c r="EF31" s="98">
        <v>0.26446280991735538</v>
      </c>
      <c r="EG31" s="98">
        <v>0.24444444444444449</v>
      </c>
      <c r="EH31" s="98">
        <v>-0.1644736842105263</v>
      </c>
      <c r="EI31" s="98">
        <v>-2.801022373166262E-3</v>
      </c>
      <c r="EJ31" s="98">
        <v>0.35009927200529439</v>
      </c>
      <c r="EK31" s="98">
        <v>-0.27493635732469329</v>
      </c>
      <c r="EL31" s="98">
        <v>0.176056338028169</v>
      </c>
      <c r="EM31" s="98">
        <v>-0.16871485107269341</v>
      </c>
      <c r="EN31" s="98">
        <v>-0.14253641226154451</v>
      </c>
      <c r="EO31" s="98">
        <v>-2.4999999999999911E-2</v>
      </c>
    </row>
    <row r="32" spans="1:145" x14ac:dyDescent="0.25">
      <c r="A32">
        <v>2022</v>
      </c>
      <c r="B32">
        <v>9</v>
      </c>
      <c r="C32" s="98">
        <v>-9.2416539384395202E-2</v>
      </c>
      <c r="D32" s="98">
        <v>2.0609946325707011E-3</v>
      </c>
      <c r="E32" s="98">
        <v>-1.068510370835951E-2</v>
      </c>
      <c r="F32" s="98">
        <v>-0.34798807749627431</v>
      </c>
      <c r="G32" s="98"/>
      <c r="H32" s="98">
        <v>-0.27946127946127952</v>
      </c>
      <c r="I32" s="98">
        <v>0.1152931854199684</v>
      </c>
      <c r="J32" s="98">
        <v>-5.0675675675675658E-2</v>
      </c>
      <c r="K32" s="98">
        <v>-6.9124423963133563E-2</v>
      </c>
      <c r="L32" s="98">
        <v>-0.19308357348703181</v>
      </c>
      <c r="M32" s="98">
        <v>-0.12876118189211169</v>
      </c>
      <c r="N32" s="98"/>
      <c r="O32" s="98">
        <v>1.4002333722286989E-2</v>
      </c>
      <c r="P32" s="98">
        <v>-0.19031141868512111</v>
      </c>
      <c r="Q32" s="98">
        <v>-0.10389610389610381</v>
      </c>
      <c r="R32" s="98">
        <v>5.0779404818138918E-2</v>
      </c>
      <c r="S32" s="98">
        <v>5.4536440257808572E-3</v>
      </c>
      <c r="T32" s="98">
        <v>-0.10980392156862739</v>
      </c>
      <c r="U32" s="98">
        <v>-0.12130177514792891</v>
      </c>
      <c r="V32" s="98">
        <v>-0.24548192771084329</v>
      </c>
      <c r="W32" s="98">
        <v>-0.24133333333333329</v>
      </c>
      <c r="X32" s="98">
        <v>-0.30062695924764887</v>
      </c>
      <c r="Y32" s="98">
        <v>-0.1685393258426966</v>
      </c>
      <c r="Z32" s="98">
        <v>-9.4827586206896575E-2</v>
      </c>
      <c r="AA32" s="98"/>
      <c r="AB32" s="98">
        <v>5.4591390567365172E-2</v>
      </c>
      <c r="AC32" s="98">
        <v>-2.7272727272727341E-2</v>
      </c>
      <c r="AD32" s="98">
        <v>-5.9599999999999993E-2</v>
      </c>
      <c r="AE32" s="98">
        <v>-9.3023255813953543E-2</v>
      </c>
      <c r="AF32" s="98">
        <v>-7.3170731707317027E-2</v>
      </c>
      <c r="AG32" s="98">
        <v>-0.35151515151515139</v>
      </c>
      <c r="AH32" s="98">
        <v>-0.17518248175182491</v>
      </c>
      <c r="AI32" s="98">
        <v>-0.2675941080196399</v>
      </c>
      <c r="AJ32" s="98">
        <v>-0.41578947368421049</v>
      </c>
      <c r="AK32" s="98">
        <v>-0.27413320029932647</v>
      </c>
      <c r="AL32" s="98">
        <v>-8.8737201365187701E-2</v>
      </c>
      <c r="AM32" s="98">
        <v>-6.9713400464755937E-3</v>
      </c>
      <c r="AN32" s="98">
        <v>-0.33401639344262291</v>
      </c>
      <c r="AO32" s="98">
        <v>2.5531914893617062E-2</v>
      </c>
      <c r="AP32" s="98">
        <v>-0.1983002832861189</v>
      </c>
      <c r="AQ32" s="98"/>
      <c r="AR32" s="98">
        <v>-1.626016260162599E-2</v>
      </c>
      <c r="AS32" s="98"/>
      <c r="AT32" s="98">
        <v>-7.4074074074074181E-2</v>
      </c>
      <c r="AU32" s="98">
        <v>-0.27371497741430728</v>
      </c>
      <c r="AV32" s="98">
        <v>-0.2052233676975945</v>
      </c>
      <c r="AW32" s="98">
        <v>-0.1797752808988764</v>
      </c>
      <c r="AX32" s="98">
        <v>0.93220338983050843</v>
      </c>
      <c r="AY32" s="98">
        <v>-0.2437275985663083</v>
      </c>
      <c r="AZ32" s="98">
        <v>-0.16233090530697181</v>
      </c>
      <c r="BA32" s="98">
        <v>-0.1018766756032171</v>
      </c>
      <c r="BB32" s="98">
        <v>-7.0796460176991038E-2</v>
      </c>
      <c r="BC32" s="98">
        <v>-0.30740740740740741</v>
      </c>
      <c r="BD32" s="98">
        <v>-2.3809523809523839E-2</v>
      </c>
      <c r="BE32" s="98">
        <v>0.19938650306748459</v>
      </c>
      <c r="BF32" s="98">
        <v>-0.20899999999999999</v>
      </c>
      <c r="BG32" s="98">
        <v>9.3243243243243068E-2</v>
      </c>
      <c r="BH32" s="98">
        <v>-0.25273311897106121</v>
      </c>
      <c r="BI32" s="98"/>
      <c r="BJ32" s="98">
        <v>-0.25999707045554421</v>
      </c>
      <c r="BK32" s="98">
        <v>-0.1909302325581396</v>
      </c>
      <c r="BL32" s="98">
        <v>8.6540651332271956E-3</v>
      </c>
      <c r="BM32" s="98">
        <v>0.34260289210233591</v>
      </c>
      <c r="BN32" s="98"/>
      <c r="BO32" s="98">
        <v>-0.22982142857142859</v>
      </c>
      <c r="BP32" s="98">
        <v>-0.25263157894736837</v>
      </c>
      <c r="BQ32" s="98">
        <v>-0.11778115501519761</v>
      </c>
      <c r="BR32" s="98">
        <v>-0.1145374449339208</v>
      </c>
      <c r="BS32" s="98">
        <v>-7.4214086748905617E-2</v>
      </c>
      <c r="BT32" s="98">
        <v>-0.38636363636363641</v>
      </c>
      <c r="BU32" s="98"/>
      <c r="BV32" s="98">
        <v>-0.33617021276595749</v>
      </c>
      <c r="BW32" s="98">
        <v>-0.1412833397758021</v>
      </c>
      <c r="BX32" s="98">
        <v>1.25202405543523E-2</v>
      </c>
      <c r="BY32" s="98"/>
      <c r="BZ32" s="98">
        <v>-0.20910493827160481</v>
      </c>
      <c r="CA32" s="98">
        <v>-0.17229729729729731</v>
      </c>
      <c r="CB32" s="98">
        <v>-6.7972724320813915E-2</v>
      </c>
      <c r="CC32" s="98">
        <v>7.3432470761779944E-2</v>
      </c>
      <c r="CD32" s="98">
        <v>-0.22413793103448271</v>
      </c>
      <c r="CE32" s="98">
        <v>-5.7192374350086513E-2</v>
      </c>
      <c r="CF32" s="98">
        <v>-0.13471502590673581</v>
      </c>
      <c r="CG32" s="98"/>
      <c r="CH32" s="98"/>
      <c r="CI32" s="98"/>
      <c r="CJ32" s="98">
        <v>1.691021511160606E-2</v>
      </c>
      <c r="CK32" s="98">
        <v>-0.53191489361702127</v>
      </c>
      <c r="CL32" s="98">
        <v>-0.1878172588832486</v>
      </c>
      <c r="CM32" s="98"/>
      <c r="CN32" s="98">
        <v>0.13846153846153841</v>
      </c>
      <c r="CO32" s="98">
        <v>-6.7532467532467555E-2</v>
      </c>
      <c r="CP32" s="98">
        <v>-0.19999999999999979</v>
      </c>
      <c r="CQ32" s="98">
        <v>-0.18307086614173221</v>
      </c>
      <c r="CR32" s="98">
        <v>-0.17980835881753299</v>
      </c>
      <c r="CS32" s="98">
        <v>-0.218362282878412</v>
      </c>
      <c r="CT32" s="98">
        <v>2.739726027397138E-3</v>
      </c>
      <c r="CU32" s="98">
        <v>-0.2429906542056075</v>
      </c>
      <c r="CV32" s="98">
        <v>-9.530760440856656E-2</v>
      </c>
      <c r="CW32" s="98">
        <v>-1.482799525504153E-2</v>
      </c>
      <c r="CX32" s="98">
        <v>1.3528963414634051E-2</v>
      </c>
      <c r="CY32" s="98">
        <v>-0.17818181818181811</v>
      </c>
      <c r="CZ32" s="98">
        <v>-3.2500773528472027E-2</v>
      </c>
      <c r="DA32" s="98">
        <v>0.29742388758782212</v>
      </c>
      <c r="DB32" s="98">
        <v>8.3506224066389967E-2</v>
      </c>
      <c r="DC32" s="98">
        <v>-4.0297470850328643E-2</v>
      </c>
      <c r="DD32" s="98">
        <v>-6.8538398018166857E-2</v>
      </c>
      <c r="DE32" s="98">
        <v>-0.22196796338672781</v>
      </c>
      <c r="DF32" s="98">
        <v>-0.19230769230769229</v>
      </c>
      <c r="DG32" s="98">
        <v>7.6404494382022348E-2</v>
      </c>
      <c r="DH32" s="98"/>
      <c r="DI32" s="98">
        <v>0.27041866849691171</v>
      </c>
      <c r="DJ32" s="98">
        <v>-0.27397260273972601</v>
      </c>
      <c r="DK32" s="98">
        <v>0.62534006995724822</v>
      </c>
      <c r="DL32" s="98">
        <v>-9.6711798839455021E-4</v>
      </c>
      <c r="DM32" s="98">
        <v>0.11452991452991459</v>
      </c>
      <c r="DN32" s="98">
        <v>-5.1383399209486091E-2</v>
      </c>
      <c r="DO32" s="98"/>
      <c r="DP32" s="98">
        <v>-0.31697827069339229</v>
      </c>
      <c r="DQ32" s="98">
        <v>-0.37410714285714292</v>
      </c>
      <c r="DR32" s="98">
        <v>-0.23381294964028779</v>
      </c>
      <c r="DS32" s="98">
        <v>-1.110137306456316E-2</v>
      </c>
      <c r="DT32" s="98"/>
      <c r="DU32" s="98">
        <v>0.1131339401820546</v>
      </c>
      <c r="DV32" s="98"/>
      <c r="DW32" s="98">
        <v>0.51025641025641022</v>
      </c>
      <c r="DX32" s="98"/>
      <c r="DY32" s="98">
        <v>-0.29152542372881363</v>
      </c>
      <c r="DZ32" s="98">
        <v>-0.27631578947368418</v>
      </c>
      <c r="EA32" s="98">
        <v>-0.30213903743315518</v>
      </c>
      <c r="EB32" s="98">
        <v>-0.26276150627615069</v>
      </c>
      <c r="EC32" s="98">
        <v>-0.51572327044025157</v>
      </c>
      <c r="ED32" s="98">
        <v>-0.1818181818181818</v>
      </c>
      <c r="EE32" s="98">
        <v>-0.32996972754793141</v>
      </c>
      <c r="EF32" s="98">
        <v>-0.2470588235294118</v>
      </c>
      <c r="EG32" s="98">
        <v>-0.25510204081632648</v>
      </c>
      <c r="EH32" s="98">
        <v>-6.2992125984251968E-2</v>
      </c>
      <c r="EI32" s="98">
        <v>-0.1078496775628197</v>
      </c>
      <c r="EJ32" s="98">
        <v>0.71127450980392148</v>
      </c>
      <c r="EK32" s="98">
        <v>-0.2879029684008938</v>
      </c>
      <c r="EL32" s="98">
        <v>-6.5868263473053856E-2</v>
      </c>
      <c r="EM32" s="98">
        <v>-0.43598095715359553</v>
      </c>
      <c r="EN32" s="98">
        <v>-5.2641911838327671E-2</v>
      </c>
      <c r="EO32" s="98">
        <v>0.14285714285714279</v>
      </c>
    </row>
    <row r="33" spans="1:145" x14ac:dyDescent="0.25">
      <c r="A33">
        <v>2022</v>
      </c>
      <c r="B33">
        <v>10</v>
      </c>
      <c r="C33" s="98">
        <v>8.1275790602356901E-2</v>
      </c>
      <c r="D33" s="98">
        <v>1.5897569155038931E-3</v>
      </c>
      <c r="E33" s="98">
        <v>-8.259212198221122E-3</v>
      </c>
      <c r="F33" s="98">
        <v>-0.15714285714285711</v>
      </c>
      <c r="G33" s="98"/>
      <c r="H33" s="98">
        <v>6.0747663551401709E-2</v>
      </c>
      <c r="I33" s="98">
        <v>0.26714031971580821</v>
      </c>
      <c r="J33" s="98">
        <v>9.9644128113878905E-2</v>
      </c>
      <c r="K33" s="98">
        <v>8.9108910891089188E-2</v>
      </c>
      <c r="L33" s="98">
        <v>-0.13928571428571421</v>
      </c>
      <c r="M33" s="98">
        <v>0.20068450528935911</v>
      </c>
      <c r="N33" s="98"/>
      <c r="O33" s="98">
        <v>-0.17031070195627149</v>
      </c>
      <c r="P33" s="98">
        <v>-0.25641025641025639</v>
      </c>
      <c r="Q33" s="98">
        <v>-0.1681159420289855</v>
      </c>
      <c r="R33" s="98">
        <v>0.117329737019555</v>
      </c>
      <c r="S33" s="98">
        <v>2.9585798816567088E-3</v>
      </c>
      <c r="T33" s="98">
        <v>0.1365638766519823</v>
      </c>
      <c r="U33" s="98">
        <v>0.1144781144781144</v>
      </c>
      <c r="V33" s="98">
        <v>0.31536926147704603</v>
      </c>
      <c r="W33" s="98">
        <v>5.4481546572934907E-2</v>
      </c>
      <c r="X33" s="98">
        <v>1.1878081577767929E-2</v>
      </c>
      <c r="Y33" s="98">
        <v>-0.1135135135135136</v>
      </c>
      <c r="Z33" s="98">
        <v>2.8571428571428688E-2</v>
      </c>
      <c r="AA33" s="98"/>
      <c r="AB33" s="98">
        <v>9.8123812477886041E-2</v>
      </c>
      <c r="AC33" s="98">
        <v>5.1401869158878448E-2</v>
      </c>
      <c r="AD33" s="98">
        <v>9.5278604849000414E-2</v>
      </c>
      <c r="AE33" s="98">
        <v>4.2735042735042583E-3</v>
      </c>
      <c r="AF33" s="98">
        <v>-6.315789473684208E-2</v>
      </c>
      <c r="AG33" s="98">
        <v>9.3457943925232545E-3</v>
      </c>
      <c r="AH33" s="98">
        <v>8.8495575221239076E-3</v>
      </c>
      <c r="AI33" s="98">
        <v>-0.1061452513966481</v>
      </c>
      <c r="AJ33" s="98">
        <v>0.13513513513513509</v>
      </c>
      <c r="AK33" s="98">
        <v>-0.28980526918671251</v>
      </c>
      <c r="AL33" s="98">
        <v>0.1198501872659177</v>
      </c>
      <c r="AM33" s="98">
        <v>0.1154446177847115</v>
      </c>
      <c r="AN33" s="98">
        <v>-3.7692307692307692E-2</v>
      </c>
      <c r="AO33" s="98">
        <v>2.0746887966804909E-2</v>
      </c>
      <c r="AP33" s="98">
        <v>8.4805653710247286E-2</v>
      </c>
      <c r="AQ33" s="98"/>
      <c r="AR33" s="98">
        <v>-0.1074380165289256</v>
      </c>
      <c r="AS33" s="98"/>
      <c r="AT33" s="98">
        <v>-2.9999999999999919E-2</v>
      </c>
      <c r="AU33" s="98">
        <v>-8.536585365853655E-2</v>
      </c>
      <c r="AV33" s="98">
        <v>0.1241784849533034</v>
      </c>
      <c r="AW33" s="98">
        <v>6.2852538275584235E-2</v>
      </c>
      <c r="AX33" s="98">
        <v>0.94736842105263186</v>
      </c>
      <c r="AY33" s="98">
        <v>-0.19194312796208529</v>
      </c>
      <c r="AZ33" s="98">
        <v>6.3354037267080665E-2</v>
      </c>
      <c r="BA33" s="98">
        <v>0.2134328358208957</v>
      </c>
      <c r="BB33" s="98">
        <v>0.21428571428571419</v>
      </c>
      <c r="BC33" s="98">
        <v>-7.4866310160427774E-2</v>
      </c>
      <c r="BD33" s="98">
        <v>-3.3536585365853688E-2</v>
      </c>
      <c r="BE33" s="98">
        <v>0.1048593350383633</v>
      </c>
      <c r="BF33" s="98">
        <v>-0.31731984829329962</v>
      </c>
      <c r="BG33" s="98">
        <v>-0.31273176761433868</v>
      </c>
      <c r="BH33" s="98">
        <v>-0.1239242685025818</v>
      </c>
      <c r="BI33" s="98"/>
      <c r="BJ33" s="98">
        <v>5.4038004750593949E-2</v>
      </c>
      <c r="BK33" s="98">
        <v>-0.35613682092555332</v>
      </c>
      <c r="BL33" s="98">
        <v>0.17407992774892761</v>
      </c>
      <c r="BM33" s="98">
        <v>-3.314001657000909E-3</v>
      </c>
      <c r="BN33" s="98"/>
      <c r="BO33" s="98">
        <v>2.457686065383724E-2</v>
      </c>
      <c r="BP33" s="98">
        <v>-0.22535211267605629</v>
      </c>
      <c r="BQ33" s="98">
        <v>0.16795865633074941</v>
      </c>
      <c r="BR33" s="98">
        <v>0.16915422885572151</v>
      </c>
      <c r="BS33" s="98">
        <v>-1.848269933376312E-2</v>
      </c>
      <c r="BT33" s="98">
        <v>4.3209876543209853E-2</v>
      </c>
      <c r="BU33" s="98"/>
      <c r="BV33" s="98">
        <v>-0.1038461538461538</v>
      </c>
      <c r="BW33" s="98">
        <v>7.8775602070672912E-2</v>
      </c>
      <c r="BX33" s="98">
        <v>6.4948333852546725E-2</v>
      </c>
      <c r="BY33" s="98"/>
      <c r="BZ33" s="98">
        <v>6.8292682926829329E-2</v>
      </c>
      <c r="CA33" s="98">
        <v>-9.7959183673469452E-2</v>
      </c>
      <c r="CB33" s="98">
        <v>1.7884101730345051E-2</v>
      </c>
      <c r="CC33" s="98">
        <v>0.1198083167976678</v>
      </c>
      <c r="CD33" s="98">
        <v>-9.1111111111111143E-2</v>
      </c>
      <c r="CE33" s="98">
        <v>-0.1011029411764707</v>
      </c>
      <c r="CF33" s="98">
        <v>-6.3872255489021867E-2</v>
      </c>
      <c r="CG33" s="98"/>
      <c r="CH33" s="98"/>
      <c r="CI33" s="98"/>
      <c r="CJ33" s="98">
        <v>0.17510377575723621</v>
      </c>
      <c r="CK33" s="98">
        <v>-3.6363636363636383E-2</v>
      </c>
      <c r="CL33" s="98">
        <v>0.17499999999999979</v>
      </c>
      <c r="CM33" s="98"/>
      <c r="CN33" s="98">
        <v>9.4594594594594517E-2</v>
      </c>
      <c r="CO33" s="98">
        <v>0.1922005571030643</v>
      </c>
      <c r="CP33" s="98">
        <v>-1.7857142857142901E-2</v>
      </c>
      <c r="CQ33" s="98">
        <v>-0.130120481927711</v>
      </c>
      <c r="CR33" s="98">
        <v>0.11880070792236699</v>
      </c>
      <c r="CS33" s="98">
        <v>5.0793650793650842E-2</v>
      </c>
      <c r="CT33" s="98">
        <v>-4.644808743169393E-2</v>
      </c>
      <c r="CU33" s="98">
        <v>9.7222222222222099E-2</v>
      </c>
      <c r="CV33" s="98">
        <v>0.1053399284532706</v>
      </c>
      <c r="CW33" s="98">
        <v>9.3317278747742316E-2</v>
      </c>
      <c r="CX33" s="98">
        <v>-2.6884752773077669E-2</v>
      </c>
      <c r="CY33" s="98">
        <v>-6.1946902654867353E-2</v>
      </c>
      <c r="CZ33" s="98">
        <v>6.3758258387089262E-2</v>
      </c>
      <c r="DA33" s="98">
        <v>-4.332129963898923E-2</v>
      </c>
      <c r="DB33" s="98">
        <v>0.19052178075634291</v>
      </c>
      <c r="DC33" s="98">
        <v>0.12955643121080621</v>
      </c>
      <c r="DD33" s="98">
        <v>6.8262411347517871E-2</v>
      </c>
      <c r="DE33" s="98">
        <v>-5.8823529411764719E-2</v>
      </c>
      <c r="DF33" s="98">
        <v>-3.6414565826330507E-2</v>
      </c>
      <c r="DG33" s="98">
        <v>-0.36325678496868491</v>
      </c>
      <c r="DH33" s="98"/>
      <c r="DI33" s="98">
        <v>-0.82739059967585094</v>
      </c>
      <c r="DJ33" s="98">
        <v>1.465408805031446</v>
      </c>
      <c r="DK33" s="98">
        <v>-0.12864658058345291</v>
      </c>
      <c r="DL33" s="98">
        <v>8.7221684414326983E-3</v>
      </c>
      <c r="DM33" s="98">
        <v>-0.18098159509202449</v>
      </c>
      <c r="DN33" s="98">
        <v>-3.7499999999999978E-2</v>
      </c>
      <c r="DO33" s="98"/>
      <c r="DP33" s="98">
        <v>-0.107764420920427</v>
      </c>
      <c r="DQ33" s="98">
        <v>-0.50356633380884452</v>
      </c>
      <c r="DR33" s="98">
        <v>-6.5727699530516492E-2</v>
      </c>
      <c r="DS33" s="98">
        <v>1.240768094534728E-2</v>
      </c>
      <c r="DT33" s="98"/>
      <c r="DU33" s="98">
        <v>7.5934579439252303E-2</v>
      </c>
      <c r="DV33" s="98"/>
      <c r="DW33" s="98">
        <v>0.17317487266553491</v>
      </c>
      <c r="DX33" s="98"/>
      <c r="DY33" s="98">
        <v>-0.36842105263157893</v>
      </c>
      <c r="DZ33" s="98">
        <v>0.4800000000000002</v>
      </c>
      <c r="EA33" s="98">
        <v>6.1302681992337238E-2</v>
      </c>
      <c r="EB33" s="98">
        <v>-0.1827468785471055</v>
      </c>
      <c r="EC33" s="98">
        <v>0.28571428571428559</v>
      </c>
      <c r="ED33" s="98">
        <v>-7.4074074074074181E-2</v>
      </c>
      <c r="EE33" s="98">
        <v>-4.6686746987951722E-2</v>
      </c>
      <c r="EF33" s="98">
        <v>6.25E-2</v>
      </c>
      <c r="EG33" s="98">
        <v>-0.14726027397260269</v>
      </c>
      <c r="EH33" s="98">
        <v>-0.1008403361344538</v>
      </c>
      <c r="EI33" s="98">
        <v>0.18897255601616211</v>
      </c>
      <c r="EJ33" s="98">
        <v>-7.2758521913491858E-2</v>
      </c>
      <c r="EK33" s="98">
        <v>0.1456745853877186</v>
      </c>
      <c r="EL33" s="98">
        <v>2.5641025641025769E-2</v>
      </c>
      <c r="EM33" s="98">
        <v>0.46601510439804522</v>
      </c>
      <c r="EN33" s="98">
        <v>1.8983336994469639E-2</v>
      </c>
      <c r="EO33" s="98">
        <v>-0.1025641025641026</v>
      </c>
    </row>
    <row r="34" spans="1:145" x14ac:dyDescent="0.25">
      <c r="A34">
        <v>2022</v>
      </c>
      <c r="B34">
        <v>11</v>
      </c>
      <c r="C34" s="98">
        <v>5.5591284383854862E-2</v>
      </c>
      <c r="D34" s="98">
        <v>3.146320420488236E-3</v>
      </c>
      <c r="E34" s="98">
        <v>-2.4983984625240211E-2</v>
      </c>
      <c r="F34" s="98">
        <v>-8.5084745762711966E-2</v>
      </c>
      <c r="G34" s="98"/>
      <c r="H34" s="98">
        <v>-0.14317180616740091</v>
      </c>
      <c r="I34" s="98">
        <v>7.569386038687953E-2</v>
      </c>
      <c r="J34" s="98">
        <v>-4.5631067961165013E-2</v>
      </c>
      <c r="K34" s="98">
        <v>0.16363636363636361</v>
      </c>
      <c r="L34" s="98">
        <v>-8.7136929460580936E-2</v>
      </c>
      <c r="M34" s="98">
        <v>8.7069188909043804E-2</v>
      </c>
      <c r="N34" s="98"/>
      <c r="O34" s="98">
        <v>-0.30859916782246882</v>
      </c>
      <c r="P34" s="98">
        <v>6.6666666666666652E-2</v>
      </c>
      <c r="Q34" s="98">
        <v>-0.1428571428571429</v>
      </c>
      <c r="R34" s="98">
        <v>-0.17441158720579361</v>
      </c>
      <c r="S34" s="98">
        <v>7.8662733529990536E-3</v>
      </c>
      <c r="T34" s="98">
        <v>0.20155038759689911</v>
      </c>
      <c r="U34" s="98">
        <v>-6.0422960725075581E-2</v>
      </c>
      <c r="V34" s="98">
        <v>0.39150227617602429</v>
      </c>
      <c r="W34" s="98">
        <v>-0.2183333333333333</v>
      </c>
      <c r="X34" s="98">
        <v>0.60110741971207116</v>
      </c>
      <c r="Y34" s="98">
        <v>0.25060975609756109</v>
      </c>
      <c r="Z34" s="98">
        <v>-2.777777777777779E-2</v>
      </c>
      <c r="AA34" s="98"/>
      <c r="AB34" s="98">
        <v>3.6271504002725267E-2</v>
      </c>
      <c r="AC34" s="98">
        <v>-0.1133333333333333</v>
      </c>
      <c r="AD34" s="98">
        <v>-0.39922330097087377</v>
      </c>
      <c r="AE34" s="98">
        <v>0.25531914893617008</v>
      </c>
      <c r="AF34" s="98">
        <v>0.97191011235955038</v>
      </c>
      <c r="AG34" s="98">
        <v>-8.0833333333333313E-2</v>
      </c>
      <c r="AH34" s="98">
        <v>6.1403508771929793E-2</v>
      </c>
      <c r="AI34" s="98">
        <v>-0.36875000000000002</v>
      </c>
      <c r="AJ34" s="98">
        <v>9.5238095238095122E-2</v>
      </c>
      <c r="AK34" s="98">
        <v>0.1048387096774195</v>
      </c>
      <c r="AL34" s="98">
        <v>0.21906354515050161</v>
      </c>
      <c r="AM34" s="98">
        <v>-0.11608391608391611</v>
      </c>
      <c r="AN34" s="98">
        <v>-3.5171862509991943E-2</v>
      </c>
      <c r="AO34" s="98">
        <v>-7.7235772357723609E-2</v>
      </c>
      <c r="AP34" s="98">
        <v>0.35504885993485358</v>
      </c>
      <c r="AQ34" s="98"/>
      <c r="AR34" s="98">
        <v>8.3333333333333259E-2</v>
      </c>
      <c r="AS34" s="98"/>
      <c r="AT34" s="98">
        <v>-8.2371134020618575E-2</v>
      </c>
      <c r="AU34" s="98">
        <v>-0.2</v>
      </c>
      <c r="AV34" s="98">
        <v>-0.35399999999999998</v>
      </c>
      <c r="AW34" s="98">
        <v>-2.4260803639120532E-2</v>
      </c>
      <c r="AX34" s="98">
        <v>-4.0540540540540682E-2</v>
      </c>
      <c r="AY34" s="98">
        <v>-0.15835777126099709</v>
      </c>
      <c r="AZ34" s="98">
        <v>-0.15420560747663559</v>
      </c>
      <c r="BA34" s="98">
        <v>-0.17589175891758921</v>
      </c>
      <c r="BB34" s="98">
        <v>0.18431372549019609</v>
      </c>
      <c r="BC34" s="98">
        <v>-0.13294797687861279</v>
      </c>
      <c r="BD34" s="98">
        <v>-5.8885383806519531E-2</v>
      </c>
      <c r="BE34" s="98">
        <v>-8.7962962962963021E-2</v>
      </c>
      <c r="BF34" s="98">
        <v>-0.40740740740740738</v>
      </c>
      <c r="BG34" s="98">
        <v>0.23201438848920869</v>
      </c>
      <c r="BH34" s="98">
        <v>7.4656188605108031E-2</v>
      </c>
      <c r="BI34" s="98"/>
      <c r="BJ34" s="98">
        <v>-0.31417840375586858</v>
      </c>
      <c r="BK34" s="98">
        <v>-0.2767857142857143</v>
      </c>
      <c r="BL34" s="98">
        <v>0.14942307692307691</v>
      </c>
      <c r="BM34" s="98">
        <v>-7.3150457190357399E-2</v>
      </c>
      <c r="BN34" s="98"/>
      <c r="BO34" s="98">
        <v>-0.16270649468205481</v>
      </c>
      <c r="BP34" s="98">
        <v>-0.18909090909090909</v>
      </c>
      <c r="BQ34" s="98">
        <v>-3.1710914454277317E-2</v>
      </c>
      <c r="BR34" s="98">
        <v>0.31063829787234032</v>
      </c>
      <c r="BS34" s="98">
        <v>0.18721261221808619</v>
      </c>
      <c r="BT34" s="98">
        <v>-0.2307692307692307</v>
      </c>
      <c r="BU34" s="98"/>
      <c r="BV34" s="98">
        <v>-7.0100143061516462E-2</v>
      </c>
      <c r="BW34" s="98">
        <v>9.1244175533764516E-2</v>
      </c>
      <c r="BX34" s="98">
        <v>2.9735063054844298E-2</v>
      </c>
      <c r="BY34" s="98"/>
      <c r="BZ34" s="98">
        <v>-0.45966514459665148</v>
      </c>
      <c r="CA34" s="98">
        <v>0.33936651583710398</v>
      </c>
      <c r="CB34" s="98">
        <v>-0.16828294352538509</v>
      </c>
      <c r="CC34" s="98">
        <v>2.7648723518968629E-2</v>
      </c>
      <c r="CD34" s="98">
        <v>0.1004889975550121</v>
      </c>
      <c r="CE34" s="98">
        <v>2.6584867075664539E-2</v>
      </c>
      <c r="CF34" s="98">
        <v>-0.2515991471215353</v>
      </c>
      <c r="CG34" s="98"/>
      <c r="CH34" s="98"/>
      <c r="CI34" s="98"/>
      <c r="CJ34" s="98">
        <v>8.8142519404806219E-2</v>
      </c>
      <c r="CK34" s="98">
        <v>-0.43102425876010769</v>
      </c>
      <c r="CL34" s="98">
        <v>-0.25531914893617019</v>
      </c>
      <c r="CM34" s="98"/>
      <c r="CN34" s="98">
        <v>0.7777777777777779</v>
      </c>
      <c r="CO34" s="98">
        <v>-8.4112149532710401E-2</v>
      </c>
      <c r="CP34" s="98">
        <v>-0.13181818181818189</v>
      </c>
      <c r="CQ34" s="98">
        <v>-0.17728531855955679</v>
      </c>
      <c r="CR34" s="98">
        <v>5.1499895578295263E-3</v>
      </c>
      <c r="CS34" s="98">
        <v>-0.35347432024169179</v>
      </c>
      <c r="CT34" s="98">
        <v>-0.49283667621776511</v>
      </c>
      <c r="CU34" s="98">
        <v>0.18846694796061869</v>
      </c>
      <c r="CV34" s="98">
        <v>-0.15366695172657829</v>
      </c>
      <c r="CW34" s="98">
        <v>0.1281204111600589</v>
      </c>
      <c r="CX34" s="98">
        <v>-6.7812982998454396E-2</v>
      </c>
      <c r="CY34" s="98">
        <v>-0.104009433962264</v>
      </c>
      <c r="CZ34" s="98">
        <v>8.6155778955884665E-2</v>
      </c>
      <c r="DA34" s="98">
        <v>-5.8490566037735732E-2</v>
      </c>
      <c r="DB34" s="98">
        <v>-0.26095697627663861</v>
      </c>
      <c r="DC34" s="98">
        <v>-0.1998512300667292</v>
      </c>
      <c r="DD34" s="98">
        <v>-0.1394190871369296</v>
      </c>
      <c r="DE34" s="98">
        <v>-0.14354166666666671</v>
      </c>
      <c r="DF34" s="98">
        <v>8.720930232558155E-2</v>
      </c>
      <c r="DG34" s="98">
        <v>0.35737704918032792</v>
      </c>
      <c r="DH34" s="98"/>
      <c r="DI34" s="98">
        <v>-0.27230046948356801</v>
      </c>
      <c r="DJ34" s="98">
        <v>-6.3775510204081676E-2</v>
      </c>
      <c r="DK34" s="98">
        <v>-4.4182217343578523E-2</v>
      </c>
      <c r="DL34" s="98">
        <v>-0.56804637191581653</v>
      </c>
      <c r="DM34" s="98">
        <v>0.37265917602996268</v>
      </c>
      <c r="DN34" s="98">
        <v>2.1645021645021471E-2</v>
      </c>
      <c r="DO34" s="98"/>
      <c r="DP34" s="98">
        <v>-1.0934318678832431E-3</v>
      </c>
      <c r="DQ34" s="98">
        <v>-0.16666666666666671</v>
      </c>
      <c r="DR34" s="98">
        <v>-0.1407035175879395</v>
      </c>
      <c r="DS34" s="98">
        <v>7.1491100087540005E-2</v>
      </c>
      <c r="DT34" s="98"/>
      <c r="DU34" s="98">
        <v>-8.7404994571118499E-2</v>
      </c>
      <c r="DV34" s="98"/>
      <c r="DW34" s="98">
        <v>0.12445730824891441</v>
      </c>
      <c r="DX34" s="98">
        <v>-0.18648310387984979</v>
      </c>
      <c r="DY34" s="98">
        <v>-9.4696969696969724E-2</v>
      </c>
      <c r="DZ34" s="98">
        <v>-4.9140049140049213E-2</v>
      </c>
      <c r="EA34" s="98">
        <v>-0.22743682310469299</v>
      </c>
      <c r="EB34" s="98">
        <v>0.15972222222222229</v>
      </c>
      <c r="EC34" s="98">
        <v>-5.0505050505050497E-2</v>
      </c>
      <c r="ED34" s="98">
        <v>-0.18800000000000011</v>
      </c>
      <c r="EE34" s="98">
        <v>-0.2764612954186414</v>
      </c>
      <c r="EF34" s="98">
        <v>-0.53594771241830075</v>
      </c>
      <c r="EG34" s="98">
        <v>0.30522088353413629</v>
      </c>
      <c r="EH34" s="98">
        <v>-0.21495401869158881</v>
      </c>
      <c r="EI34" s="98">
        <v>0.1006476669645715</v>
      </c>
      <c r="EJ34" s="98">
        <v>-0.1044176706827309</v>
      </c>
      <c r="EK34" s="98">
        <v>-8.9984350547730796E-2</v>
      </c>
      <c r="EL34" s="98">
        <v>-6.25E-2</v>
      </c>
      <c r="EM34" s="98">
        <v>-0.1818181818181818</v>
      </c>
      <c r="EN34" s="98">
        <v>2.2284303842605269E-2</v>
      </c>
      <c r="EO34" s="98">
        <v>-0.15</v>
      </c>
    </row>
    <row r="35" spans="1:145" x14ac:dyDescent="0.25">
      <c r="A35">
        <v>2022</v>
      </c>
      <c r="B35">
        <v>12</v>
      </c>
      <c r="C35" s="98">
        <v>-5.7575769899241069E-2</v>
      </c>
      <c r="D35" s="98">
        <v>3.6305256942648079E-3</v>
      </c>
      <c r="E35" s="98">
        <v>3.4822601839684657E-2</v>
      </c>
      <c r="F35" s="98">
        <v>-0.2034086698777324</v>
      </c>
      <c r="G35" s="98"/>
      <c r="H35" s="98">
        <v>-0.29562982005141381</v>
      </c>
      <c r="I35" s="98">
        <v>-3.7008079228563862E-2</v>
      </c>
      <c r="J35" s="98">
        <v>-4.984740590030512E-2</v>
      </c>
      <c r="K35" s="98">
        <v>-0.22265625</v>
      </c>
      <c r="L35" s="98">
        <v>0.10168181818181821</v>
      </c>
      <c r="M35" s="98">
        <v>-4.100119189511342E-2</v>
      </c>
      <c r="N35" s="98"/>
      <c r="O35" s="98">
        <v>-4.4132397191574801E-2</v>
      </c>
      <c r="P35" s="98">
        <v>-2.7909482758620711E-2</v>
      </c>
      <c r="Q35" s="98">
        <v>0.17479674796747971</v>
      </c>
      <c r="R35" s="98">
        <v>-0.16642300194931769</v>
      </c>
      <c r="S35" s="98">
        <v>4.8780487804878092E-3</v>
      </c>
      <c r="T35" s="98">
        <v>0.38709677419354832</v>
      </c>
      <c r="U35" s="98">
        <v>1.929260450160775E-2</v>
      </c>
      <c r="V35" s="98">
        <v>-0.2191930207197382</v>
      </c>
      <c r="W35" s="98">
        <v>2.558635394456266E-2</v>
      </c>
      <c r="X35" s="98">
        <v>6.6952552220223893E-2</v>
      </c>
      <c r="Y35" s="98">
        <v>-7.849829351535853E-2</v>
      </c>
      <c r="Z35" s="98">
        <v>-0.12704761904761899</v>
      </c>
      <c r="AA35" s="98"/>
      <c r="AB35" s="98">
        <v>-0.1037607146672803</v>
      </c>
      <c r="AC35" s="98">
        <v>-6.5162907268170533E-2</v>
      </c>
      <c r="AD35" s="98">
        <v>-0.19198448610213309</v>
      </c>
      <c r="AE35" s="98">
        <v>-8.9830508474576298E-2</v>
      </c>
      <c r="AF35" s="98">
        <v>-0.40170940170940161</v>
      </c>
      <c r="AG35" s="98">
        <v>7.353681877707352E-3</v>
      </c>
      <c r="AH35" s="98">
        <v>-7.4380165289256062E-2</v>
      </c>
      <c r="AI35" s="98">
        <v>-0.20792079207920791</v>
      </c>
      <c r="AJ35" s="98">
        <v>-0.5277536231884058</v>
      </c>
      <c r="AK35" s="98">
        <v>-0.28832116788321172</v>
      </c>
      <c r="AL35" s="98">
        <v>6.0813900320073173E-2</v>
      </c>
      <c r="AM35" s="98">
        <v>-0.19659810126582289</v>
      </c>
      <c r="AN35" s="98">
        <v>-0.20546810273405139</v>
      </c>
      <c r="AO35" s="98">
        <v>-8.8105726872246271E-3</v>
      </c>
      <c r="AP35" s="98">
        <v>1.442307692307687E-2</v>
      </c>
      <c r="AQ35" s="98"/>
      <c r="AR35" s="98">
        <v>-0.32478632478632469</v>
      </c>
      <c r="AS35" s="98"/>
      <c r="AT35" s="98">
        <v>-6.7520503314234315E-2</v>
      </c>
      <c r="AU35" s="98">
        <v>6.6666666666666652E-2</v>
      </c>
      <c r="AV35" s="98">
        <v>-0.17599428435341749</v>
      </c>
      <c r="AW35" s="98">
        <v>-5.0505050505050393E-2</v>
      </c>
      <c r="AX35" s="98">
        <v>-3.9906103286384997E-2</v>
      </c>
      <c r="AY35" s="98">
        <v>-0.27526132404181181</v>
      </c>
      <c r="AZ35" s="98">
        <v>3.7292817679557937E-2</v>
      </c>
      <c r="BA35" s="98">
        <v>-7.0149253731343286E-2</v>
      </c>
      <c r="BB35" s="98">
        <v>-6.6225165562913912E-2</v>
      </c>
      <c r="BC35" s="98">
        <v>0.7866666666666664</v>
      </c>
      <c r="BD35" s="98">
        <v>-1.117318435754133E-3</v>
      </c>
      <c r="BE35" s="98">
        <v>-0.17258883248730961</v>
      </c>
      <c r="BF35" s="98">
        <v>9.375E-2</v>
      </c>
      <c r="BG35" s="98">
        <v>6.2773722627737394E-2</v>
      </c>
      <c r="BH35" s="98">
        <v>-0.1115173674588664</v>
      </c>
      <c r="BI35" s="98"/>
      <c r="BJ35" s="98">
        <v>-0.17771084337349399</v>
      </c>
      <c r="BK35" s="98">
        <v>0.92592592592592604</v>
      </c>
      <c r="BL35" s="98">
        <v>-7.8132842563158778E-2</v>
      </c>
      <c r="BM35" s="98">
        <v>0.32376681614349773</v>
      </c>
      <c r="BN35" s="98"/>
      <c r="BO35" s="98">
        <v>-0.14027027027027031</v>
      </c>
      <c r="BP35" s="98">
        <v>0.1928251121076234</v>
      </c>
      <c r="BQ35" s="98">
        <v>9.1393754760091817E-3</v>
      </c>
      <c r="BR35" s="98">
        <v>0.1461038961038961</v>
      </c>
      <c r="BS35" s="98">
        <v>-2.3976392475101419E-2</v>
      </c>
      <c r="BT35" s="98">
        <v>-0.35384615384615392</v>
      </c>
      <c r="BU35" s="98"/>
      <c r="BV35" s="98">
        <v>-0.33153846153846162</v>
      </c>
      <c r="BW35" s="98">
        <v>1.5295392263080739E-2</v>
      </c>
      <c r="BX35" s="98">
        <v>-7.5841381311038134E-3</v>
      </c>
      <c r="BY35" s="98"/>
      <c r="BZ35" s="98">
        <v>-3.3802816901408413E-2</v>
      </c>
      <c r="CA35" s="98">
        <v>-0.168918918918919</v>
      </c>
      <c r="CB35" s="98">
        <v>-8.3676268861454184E-2</v>
      </c>
      <c r="CC35" s="98">
        <v>-1.412098630130976E-2</v>
      </c>
      <c r="CD35" s="98">
        <v>-0.1161964007998223</v>
      </c>
      <c r="CE35" s="98">
        <v>0.26892430278884483</v>
      </c>
      <c r="CF35" s="98">
        <v>-0.10541310541310531</v>
      </c>
      <c r="CG35" s="98"/>
      <c r="CH35" s="98"/>
      <c r="CI35" s="98"/>
      <c r="CJ35" s="98">
        <v>1.413106644433859E-2</v>
      </c>
      <c r="CK35" s="98">
        <v>-7.6223411814865694E-2</v>
      </c>
      <c r="CL35" s="98">
        <v>-0.19285714285714281</v>
      </c>
      <c r="CM35" s="98"/>
      <c r="CN35" s="98">
        <v>-0.22916666666666671</v>
      </c>
      <c r="CO35" s="98">
        <v>-8.0408163265306087E-2</v>
      </c>
      <c r="CP35" s="98">
        <v>5.2356020942407877E-3</v>
      </c>
      <c r="CQ35" s="98">
        <v>-5.387205387205396E-2</v>
      </c>
      <c r="CR35" s="98">
        <v>7.3405891922478483E-2</v>
      </c>
      <c r="CS35" s="98">
        <v>5.6074766355139971E-2</v>
      </c>
      <c r="CT35" s="98">
        <v>4.5197740112994378E-2</v>
      </c>
      <c r="CU35" s="98">
        <v>0.42366863905325453</v>
      </c>
      <c r="CV35" s="98">
        <v>8.9355400696864207E-2</v>
      </c>
      <c r="CW35" s="98">
        <v>1.854864952814839E-2</v>
      </c>
      <c r="CX35" s="98">
        <v>-0.1997927461139897</v>
      </c>
      <c r="CY35" s="98">
        <v>-0.42090023690444861</v>
      </c>
      <c r="CZ35" s="98">
        <v>2.2143210765560809E-2</v>
      </c>
      <c r="DA35" s="98">
        <v>0.1242484969939881</v>
      </c>
      <c r="DB35" s="98">
        <v>5.1686615886833431E-2</v>
      </c>
      <c r="DC35" s="98">
        <v>6.6265632527872098E-2</v>
      </c>
      <c r="DD35" s="98">
        <v>-7.1359691417550497E-2</v>
      </c>
      <c r="DE35" s="98">
        <v>-0.43322792507905622</v>
      </c>
      <c r="DF35" s="98">
        <v>3.7433155080213831E-2</v>
      </c>
      <c r="DG35" s="98">
        <v>-0.28743961352656999</v>
      </c>
      <c r="DH35" s="98"/>
      <c r="DI35" s="98">
        <v>-0.24946236559139789</v>
      </c>
      <c r="DJ35" s="98">
        <v>0.15803814713896469</v>
      </c>
      <c r="DK35" s="98">
        <v>-0.15188056273327591</v>
      </c>
      <c r="DL35" s="98">
        <v>-0.11353032659409019</v>
      </c>
      <c r="DM35" s="98">
        <v>-2.1828103683492531E-2</v>
      </c>
      <c r="DN35" s="98">
        <v>-0.33898305084745761</v>
      </c>
      <c r="DO35" s="98"/>
      <c r="DP35" s="98">
        <v>-0.19825362674417141</v>
      </c>
      <c r="DQ35" s="98">
        <v>6.5517241379310365E-2</v>
      </c>
      <c r="DR35" s="98">
        <v>-0.34502923976608202</v>
      </c>
      <c r="DS35" s="98">
        <v>-2.859477124182996E-2</v>
      </c>
      <c r="DT35" s="98"/>
      <c r="DU35" s="98">
        <v>-0.12790005948839969</v>
      </c>
      <c r="DV35" s="98"/>
      <c r="DW35" s="98">
        <v>0.31016731016731008</v>
      </c>
      <c r="DX35" s="98">
        <v>-0.77948717948717949</v>
      </c>
      <c r="DY35" s="98">
        <v>-5.439330543933063E-2</v>
      </c>
      <c r="DZ35" s="98">
        <v>-0.30490956072351427</v>
      </c>
      <c r="EA35" s="98">
        <v>-0.46261682242990648</v>
      </c>
      <c r="EB35" s="98">
        <v>-0.22670658682634739</v>
      </c>
      <c r="EC35" s="98">
        <v>2.659574468085113E-2</v>
      </c>
      <c r="ED35" s="98">
        <v>-3.5591133004926001E-2</v>
      </c>
      <c r="EE35" s="98">
        <v>0.2205240174672489</v>
      </c>
      <c r="EF35" s="98">
        <v>-7.0422535211267512E-2</v>
      </c>
      <c r="EG35" s="98">
        <v>-0.15384615384615391</v>
      </c>
      <c r="EH35" s="98">
        <v>-0.25916596111043921</v>
      </c>
      <c r="EI35" s="98">
        <v>9.0622023958697451E-3</v>
      </c>
      <c r="EJ35" s="98">
        <v>0.13107968264918929</v>
      </c>
      <c r="EK35" s="98">
        <v>-0.35511607910576087</v>
      </c>
      <c r="EL35" s="98">
        <v>-0.1133333333333333</v>
      </c>
      <c r="EM35" s="98">
        <v>-0.15925925925925929</v>
      </c>
      <c r="EN35" s="98">
        <v>-4.9241010059078549E-2</v>
      </c>
      <c r="EO35" s="98">
        <v>-3.5714285714285698E-2</v>
      </c>
    </row>
    <row r="36" spans="1:145" x14ac:dyDescent="0.25">
      <c r="A36">
        <v>2023</v>
      </c>
      <c r="B36">
        <v>1</v>
      </c>
      <c r="C36" s="98">
        <v>6.288730610927229E-2</v>
      </c>
      <c r="D36" s="98">
        <v>2.8431053176645178E-3</v>
      </c>
      <c r="E36" s="98">
        <v>7.3015873015872979E-2</v>
      </c>
      <c r="F36" s="98">
        <v>1.2093023255813951</v>
      </c>
      <c r="G36" s="98"/>
      <c r="H36" s="98">
        <v>0.15328467153284661</v>
      </c>
      <c r="I36" s="98">
        <v>6.0622462787550679E-2</v>
      </c>
      <c r="J36" s="98">
        <v>7.994289793005005E-2</v>
      </c>
      <c r="K36" s="98">
        <v>0.1055276381909549</v>
      </c>
      <c r="L36" s="98">
        <v>5.2110409704171128E-2</v>
      </c>
      <c r="M36" s="98">
        <v>0.11185682326621919</v>
      </c>
      <c r="N36" s="98"/>
      <c r="O36" s="98">
        <v>0.27597061909758658</v>
      </c>
      <c r="P36" s="98">
        <v>-1.341314710120833E-2</v>
      </c>
      <c r="Q36" s="98">
        <v>0.1141868512110726</v>
      </c>
      <c r="R36" s="98">
        <v>-4.2092955276234911E-2</v>
      </c>
      <c r="S36" s="98">
        <v>9.7087378640776656E-3</v>
      </c>
      <c r="T36" s="98">
        <v>-4.418604651162783E-2</v>
      </c>
      <c r="U36" s="98">
        <v>0.27444794952681401</v>
      </c>
      <c r="V36" s="98">
        <v>5.0977653631284918E-2</v>
      </c>
      <c r="W36" s="98">
        <v>-3.7422037422037313E-2</v>
      </c>
      <c r="X36" s="98">
        <v>-2.7615713730066101E-2</v>
      </c>
      <c r="Y36" s="98">
        <v>-0.126984126984127</v>
      </c>
      <c r="Z36" s="98">
        <v>-7.2878027492908726E-2</v>
      </c>
      <c r="AA36" s="98"/>
      <c r="AB36" s="98">
        <v>1.77313581560119E-2</v>
      </c>
      <c r="AC36" s="98">
        <v>0.1072386058981234</v>
      </c>
      <c r="AD36" s="98">
        <v>0.36759999999999993</v>
      </c>
      <c r="AE36" s="98">
        <v>8.7523277467411509E-2</v>
      </c>
      <c r="AF36" s="98">
        <v>-6.1904761904761907E-2</v>
      </c>
      <c r="AG36" s="98">
        <v>-3.9300000000000002E-2</v>
      </c>
      <c r="AH36" s="98">
        <v>0.25892857142857117</v>
      </c>
      <c r="AI36" s="98">
        <v>-7.9166666666666718E-2</v>
      </c>
      <c r="AJ36" s="98">
        <v>0.62651526776124</v>
      </c>
      <c r="AK36" s="98">
        <v>0.44615384615384612</v>
      </c>
      <c r="AL36" s="98">
        <v>0.21034482758620679</v>
      </c>
      <c r="AM36" s="98">
        <v>0.1255539143279174</v>
      </c>
      <c r="AN36" s="98">
        <v>0.1157455683003128</v>
      </c>
      <c r="AO36" s="98">
        <v>0.2044444444444444</v>
      </c>
      <c r="AP36" s="98">
        <v>2.843601895734604E-2</v>
      </c>
      <c r="AQ36" s="98"/>
      <c r="AR36" s="98">
        <v>0.759493670886076</v>
      </c>
      <c r="AS36" s="98"/>
      <c r="AT36" s="98">
        <v>0.53012048192771077</v>
      </c>
      <c r="AU36" s="98">
        <v>0.19276041666666649</v>
      </c>
      <c r="AV36" s="98">
        <v>0.88150289017341033</v>
      </c>
      <c r="AW36" s="98">
        <v>0.12356792144026189</v>
      </c>
      <c r="AX36" s="98">
        <v>0.1295843520782396</v>
      </c>
      <c r="AY36" s="98">
        <v>0.37980769230769229</v>
      </c>
      <c r="AZ36" s="98">
        <v>0.3834886817576566</v>
      </c>
      <c r="BA36" s="98">
        <v>2.0866773675762399E-2</v>
      </c>
      <c r="BB36" s="98">
        <v>0.23404255319148939</v>
      </c>
      <c r="BC36" s="98">
        <v>0.50746268656716431</v>
      </c>
      <c r="BD36" s="98">
        <v>0.144295302013423</v>
      </c>
      <c r="BE36" s="98">
        <v>0.4478527607361964</v>
      </c>
      <c r="BF36" s="98">
        <v>0.33142857142857141</v>
      </c>
      <c r="BG36" s="98">
        <v>0.73214285714285698</v>
      </c>
      <c r="BH36" s="98">
        <v>-8.5390946502057585E-2</v>
      </c>
      <c r="BI36" s="98"/>
      <c r="BJ36" s="98">
        <v>1.4302364302364301</v>
      </c>
      <c r="BK36" s="98">
        <v>-0.35256410256410248</v>
      </c>
      <c r="BL36" s="98">
        <v>-0.1257713248638839</v>
      </c>
      <c r="BM36" s="98">
        <v>1.7615176151761561E-2</v>
      </c>
      <c r="BN36" s="98"/>
      <c r="BO36" s="98">
        <v>0.25746620559572458</v>
      </c>
      <c r="BP36" s="98">
        <v>0.60150375939849599</v>
      </c>
      <c r="BQ36" s="98">
        <v>-4.5283018867924518E-2</v>
      </c>
      <c r="BR36" s="98">
        <v>-1.6997167138810051E-2</v>
      </c>
      <c r="BS36" s="98">
        <v>-9.4482237339380215E-2</v>
      </c>
      <c r="BT36" s="98">
        <v>0.65476190476190466</v>
      </c>
      <c r="BU36" s="98"/>
      <c r="BV36" s="98">
        <v>-0.30494821634062141</v>
      </c>
      <c r="BW36" s="98">
        <v>-1.6634235139037171E-2</v>
      </c>
      <c r="BX36" s="98">
        <v>-7.4893883350829915E-2</v>
      </c>
      <c r="BY36" s="98"/>
      <c r="BZ36" s="98">
        <v>2.9154518950437192E-2</v>
      </c>
      <c r="CA36" s="98">
        <v>0.30491869918699188</v>
      </c>
      <c r="CB36" s="98">
        <v>4.3413173652694592E-2</v>
      </c>
      <c r="CC36" s="98">
        <v>-5.9288302126888508E-2</v>
      </c>
      <c r="CD36" s="98">
        <v>0.33232780291603808</v>
      </c>
      <c r="CE36" s="98">
        <v>3.6106750392464582E-2</v>
      </c>
      <c r="CF36" s="98">
        <v>-9.2356687898089151E-2</v>
      </c>
      <c r="CG36" s="98"/>
      <c r="CH36" s="98"/>
      <c r="CI36" s="98"/>
      <c r="CJ36" s="98">
        <v>-3.1906418333928488E-2</v>
      </c>
      <c r="CK36" s="98">
        <v>0.27</v>
      </c>
      <c r="CL36" s="98">
        <v>0.20353982300884971</v>
      </c>
      <c r="CM36" s="98"/>
      <c r="CN36" s="98">
        <v>5.4054054054053953E-2</v>
      </c>
      <c r="CO36" s="98">
        <v>1.2538837106080839E-2</v>
      </c>
      <c r="CP36" s="98">
        <v>0.28125</v>
      </c>
      <c r="CQ36" s="98">
        <v>0.39145907473309621</v>
      </c>
      <c r="CR36" s="98">
        <v>7.8768434968473633E-2</v>
      </c>
      <c r="CS36" s="98">
        <v>0.2831858407079646</v>
      </c>
      <c r="CT36" s="98">
        <v>-3.2432432432432427E-2</v>
      </c>
      <c r="CU36" s="98">
        <v>-0.8345802161263508</v>
      </c>
      <c r="CV36" s="98">
        <v>0.14840314094260251</v>
      </c>
      <c r="CW36" s="98">
        <v>5.0479233226837117E-2</v>
      </c>
      <c r="CX36" s="98">
        <v>1.7094017094017259E-2</v>
      </c>
      <c r="CY36" s="98">
        <v>-0.22272727272727269</v>
      </c>
      <c r="CZ36" s="98">
        <v>-0.13018801461846671</v>
      </c>
      <c r="DA36" s="98">
        <v>6.3279857397504413E-2</v>
      </c>
      <c r="DB36" s="98">
        <v>0.8127263321262288</v>
      </c>
      <c r="DC36" s="98">
        <v>9.7683831367395557E-2</v>
      </c>
      <c r="DD36" s="98">
        <v>-0.15057113187954321</v>
      </c>
      <c r="DE36" s="98">
        <v>0.1158798283261802</v>
      </c>
      <c r="DF36" s="98">
        <v>3.8659793814433067E-2</v>
      </c>
      <c r="DG36" s="98">
        <v>-6.9491525423728828E-2</v>
      </c>
      <c r="DH36" s="98"/>
      <c r="DI36" s="98">
        <v>0.16332378223495689</v>
      </c>
      <c r="DJ36" s="98">
        <v>0.1199999999999999</v>
      </c>
      <c r="DK36" s="98">
        <v>-5.2132701421800931E-2</v>
      </c>
      <c r="DL36" s="98">
        <v>0.97744360902255623</v>
      </c>
      <c r="DM36" s="98">
        <v>-0.13807531380753149</v>
      </c>
      <c r="DN36" s="98">
        <v>0.17628205128205129</v>
      </c>
      <c r="DO36" s="98"/>
      <c r="DP36" s="98">
        <v>-4.0802234707009166E-3</v>
      </c>
      <c r="DQ36" s="98">
        <v>0.2394822006472492</v>
      </c>
      <c r="DR36" s="98">
        <v>0.48214285714285737</v>
      </c>
      <c r="DS36" s="98">
        <v>0.14970563498738421</v>
      </c>
      <c r="DT36" s="98"/>
      <c r="DU36" s="98">
        <v>7.5034106412005475E-2</v>
      </c>
      <c r="DV36" s="98"/>
      <c r="DW36" s="98">
        <v>-0.1090373280943026</v>
      </c>
      <c r="DX36" s="98">
        <v>1.6279069767441982E-2</v>
      </c>
      <c r="DY36" s="98">
        <v>-0.1150442477876106</v>
      </c>
      <c r="DZ36" s="98">
        <v>0.204460966542751</v>
      </c>
      <c r="EA36" s="98">
        <v>1.347826086956522</v>
      </c>
      <c r="EB36" s="98">
        <v>0.93588353724639939</v>
      </c>
      <c r="EC36" s="98">
        <v>0.20725388601036279</v>
      </c>
      <c r="ED36" s="98">
        <v>0.30251564295747652</v>
      </c>
      <c r="EE36" s="98">
        <v>-5.7245080500894503E-2</v>
      </c>
      <c r="EF36" s="98">
        <v>9.0909090909090828E-2</v>
      </c>
      <c r="EG36" s="98">
        <v>0.67999999999999994</v>
      </c>
      <c r="EH36" s="98">
        <v>0.59055118110236227</v>
      </c>
      <c r="EI36" s="98">
        <v>9.2540160343337563E-2</v>
      </c>
      <c r="EJ36" s="98">
        <v>0.2808783165599269</v>
      </c>
      <c r="EK36" s="98">
        <v>0.73333333333333317</v>
      </c>
      <c r="EL36" s="98">
        <v>-6.7669172932330879E-2</v>
      </c>
      <c r="EM36" s="98">
        <v>0.51629955947136574</v>
      </c>
      <c r="EN36" s="98">
        <v>0.13185412098182631</v>
      </c>
      <c r="EO36" s="98">
        <v>0.18954248366013071</v>
      </c>
    </row>
    <row r="37" spans="1:145" x14ac:dyDescent="0.25">
      <c r="A37">
        <v>2023</v>
      </c>
      <c r="B37">
        <v>2</v>
      </c>
      <c r="C37" s="98">
        <v>-2.5142616159663182E-2</v>
      </c>
      <c r="D37" s="98">
        <v>3.4568398035952348E-3</v>
      </c>
      <c r="E37" s="98">
        <v>-0.26272189349112418</v>
      </c>
      <c r="F37" s="98">
        <v>-7.3684210526315796E-2</v>
      </c>
      <c r="G37" s="98"/>
      <c r="H37" s="98">
        <v>1.607594936708856E-2</v>
      </c>
      <c r="I37" s="98">
        <v>-0.11150803776473581</v>
      </c>
      <c r="J37" s="98">
        <v>5.2875082617316549E-2</v>
      </c>
      <c r="K37" s="98">
        <v>-6.3636363636363713E-2</v>
      </c>
      <c r="L37" s="98">
        <v>0.20784313725490211</v>
      </c>
      <c r="M37" s="98">
        <v>-6.4609881511289768E-2</v>
      </c>
      <c r="N37" s="98"/>
      <c r="O37" s="98">
        <v>-7.2368421052631637E-2</v>
      </c>
      <c r="P37" s="98">
        <v>-0.1207865168539326</v>
      </c>
      <c r="Q37" s="98">
        <v>-0.110248447204969</v>
      </c>
      <c r="R37" s="98">
        <v>-6.4693317058285182E-2</v>
      </c>
      <c r="S37" s="98">
        <v>2.8942307692307878E-3</v>
      </c>
      <c r="T37" s="98">
        <v>0.34549878345498791</v>
      </c>
      <c r="U37" s="98">
        <v>-0.23762376237623761</v>
      </c>
      <c r="V37" s="98">
        <v>0.32225913621262442</v>
      </c>
      <c r="W37" s="98">
        <v>-0.23542116630669541</v>
      </c>
      <c r="X37" s="98">
        <v>-9.0799999999999992E-2</v>
      </c>
      <c r="Y37" s="98">
        <v>-0.19393939393939391</v>
      </c>
      <c r="Z37" s="98">
        <v>-0.1287361732172275</v>
      </c>
      <c r="AA37" s="98"/>
      <c r="AB37" s="98">
        <v>-5.0792659211350233E-2</v>
      </c>
      <c r="AC37" s="98">
        <v>0.12832929782082331</v>
      </c>
      <c r="AD37" s="98">
        <v>-0.19567124890318799</v>
      </c>
      <c r="AE37" s="98">
        <v>-0.1301369863013698</v>
      </c>
      <c r="AF37" s="98">
        <v>-0.1878172588832486</v>
      </c>
      <c r="AG37" s="98">
        <v>0.86322473196627469</v>
      </c>
      <c r="AH37" s="98">
        <v>-0.1205673758865248</v>
      </c>
      <c r="AI37" s="98">
        <v>-0.1628959276018099</v>
      </c>
      <c r="AJ37" s="98">
        <v>-0.27358490566037741</v>
      </c>
      <c r="AK37" s="98">
        <v>-0.30851063829787229</v>
      </c>
      <c r="AL37" s="98">
        <v>-5.5199430199430077E-2</v>
      </c>
      <c r="AM37" s="98">
        <v>-8.8801399825021887E-2</v>
      </c>
      <c r="AN37" s="98">
        <v>-0.37009345794392512</v>
      </c>
      <c r="AO37" s="98">
        <v>-0.15129151291512921</v>
      </c>
      <c r="AP37" s="98">
        <v>-6.6820276497695841E-2</v>
      </c>
      <c r="AQ37" s="98"/>
      <c r="AR37" s="98">
        <v>-0.17266187050359719</v>
      </c>
      <c r="AS37" s="98"/>
      <c r="AT37" s="98">
        <v>-0.18110236220472439</v>
      </c>
      <c r="AU37" s="98">
        <v>-0.27077420199991259</v>
      </c>
      <c r="AV37" s="98">
        <v>-0.22273425499231961</v>
      </c>
      <c r="AW37" s="98">
        <v>-0.16460305899490171</v>
      </c>
      <c r="AX37" s="98">
        <v>0.1655844155844155</v>
      </c>
      <c r="AY37" s="98">
        <v>-0.27177700348432038</v>
      </c>
      <c r="AZ37" s="98">
        <v>-0.12704523580365731</v>
      </c>
      <c r="BA37" s="98">
        <v>-2.8301886792452931E-2</v>
      </c>
      <c r="BB37" s="98">
        <v>7.1839080459770166E-2</v>
      </c>
      <c r="BC37" s="98">
        <v>-0.27970297029702962</v>
      </c>
      <c r="BD37" s="98">
        <v>-6.3538611925708754E-2</v>
      </c>
      <c r="BE37" s="98">
        <v>0.23305084745762719</v>
      </c>
      <c r="BF37" s="98">
        <v>-0.28326180257510741</v>
      </c>
      <c r="BG37" s="98">
        <v>-0.52101506740681991</v>
      </c>
      <c r="BH37" s="98">
        <v>7.7615298087738926E-2</v>
      </c>
      <c r="BI37" s="98"/>
      <c r="BJ37" s="98">
        <v>0.19690326116744331</v>
      </c>
      <c r="BK37" s="98">
        <v>-0.42376237623762369</v>
      </c>
      <c r="BL37" s="98">
        <v>-8.594560930039441E-2</v>
      </c>
      <c r="BM37" s="98">
        <v>0.19307589880159789</v>
      </c>
      <c r="BN37" s="98"/>
      <c r="BO37" s="98">
        <v>-5.0000000000000037E-2</v>
      </c>
      <c r="BP37" s="98">
        <v>-5.868544600938963E-2</v>
      </c>
      <c r="BQ37" s="98">
        <v>-4.5849802371541459E-2</v>
      </c>
      <c r="BR37" s="98">
        <v>-5.7636887608069074E-3</v>
      </c>
      <c r="BS37" s="98">
        <v>2.3163606010016661E-2</v>
      </c>
      <c r="BT37" s="98">
        <v>-0.17985611510791369</v>
      </c>
      <c r="BU37" s="98"/>
      <c r="BV37" s="98">
        <v>-0.57615894039735105</v>
      </c>
      <c r="BW37" s="98">
        <v>-0.1037916507085407</v>
      </c>
      <c r="BX37" s="98">
        <v>-5.556375012209902E-2</v>
      </c>
      <c r="BY37" s="98"/>
      <c r="BZ37" s="98">
        <v>0.26062322946175631</v>
      </c>
      <c r="CA37" s="98">
        <v>-5.6104171209619753E-2</v>
      </c>
      <c r="CB37" s="98">
        <v>3.500717360114769E-2</v>
      </c>
      <c r="CC37" s="98">
        <v>-9.2744898937359932E-2</v>
      </c>
      <c r="CD37" s="98">
        <v>-0.1484905660377358</v>
      </c>
      <c r="CE37" s="98">
        <v>0.146969696969697</v>
      </c>
      <c r="CF37" s="98">
        <v>-0.16491228070175451</v>
      </c>
      <c r="CG37" s="98"/>
      <c r="CH37" s="98"/>
      <c r="CI37" s="98"/>
      <c r="CJ37" s="98">
        <v>-1.089246639109964E-2</v>
      </c>
      <c r="CK37" s="98">
        <v>-7.1269937411669648E-2</v>
      </c>
      <c r="CL37" s="98">
        <v>-0.49264705882352938</v>
      </c>
      <c r="CM37" s="98"/>
      <c r="CN37" s="98">
        <v>-0.12820512820512819</v>
      </c>
      <c r="CO37" s="98">
        <v>9.3150684931506911E-2</v>
      </c>
      <c r="CP37" s="98">
        <v>-0.21138211382113831</v>
      </c>
      <c r="CQ37" s="98">
        <v>0.54475703324808178</v>
      </c>
      <c r="CR37" s="98">
        <v>-0.1782934194602559</v>
      </c>
      <c r="CS37" s="98">
        <v>0.3</v>
      </c>
      <c r="CT37" s="98">
        <v>5.5865921787709993E-3</v>
      </c>
      <c r="CU37" s="98">
        <v>5.5276381909547867E-2</v>
      </c>
      <c r="CV37" s="98">
        <v>2.7921485617997899E-2</v>
      </c>
      <c r="CW37" s="98">
        <v>-8.3789537712895434E-2</v>
      </c>
      <c r="CX37" s="98">
        <v>8.4033613445378075E-2</v>
      </c>
      <c r="CY37" s="98">
        <v>-0.21649122807017551</v>
      </c>
      <c r="CZ37" s="98">
        <v>-8.1296224113231008E-2</v>
      </c>
      <c r="DA37" s="98">
        <v>-0.28248113998323537</v>
      </c>
      <c r="DB37" s="98">
        <v>-9.0753424657534221E-2</v>
      </c>
      <c r="DC37" s="98">
        <v>7.2151619860392202E-3</v>
      </c>
      <c r="DD37" s="98">
        <v>-0.1063569682151589</v>
      </c>
      <c r="DE37" s="98">
        <v>-0.19230769230769229</v>
      </c>
      <c r="DF37" s="98">
        <v>-0.1439950372208437</v>
      </c>
      <c r="DG37" s="98">
        <v>0.14754098360655729</v>
      </c>
      <c r="DH37" s="98"/>
      <c r="DI37" s="98">
        <v>-0.1133004926108373</v>
      </c>
      <c r="DJ37" s="98">
        <v>-1.470588235294101E-2</v>
      </c>
      <c r="DK37" s="98">
        <v>-0.1178571428571429</v>
      </c>
      <c r="DL37" s="98">
        <v>9.6324461343472834E-2</v>
      </c>
      <c r="DM37" s="98">
        <v>0.21359223300970889</v>
      </c>
      <c r="DN37" s="98">
        <v>-0.18801089918256131</v>
      </c>
      <c r="DO37" s="98"/>
      <c r="DP37" s="98">
        <v>-6.5488008572058831E-2</v>
      </c>
      <c r="DQ37" s="98">
        <v>-0.44908616187989558</v>
      </c>
      <c r="DR37" s="98">
        <v>-0.2650602409638555</v>
      </c>
      <c r="DS37" s="98">
        <v>-8.3394294074615849E-2</v>
      </c>
      <c r="DT37" s="98"/>
      <c r="DU37" s="98">
        <v>-1.7131979695431451E-2</v>
      </c>
      <c r="DV37" s="98"/>
      <c r="DW37" s="98">
        <v>0.11686879823594271</v>
      </c>
      <c r="DX37" s="98">
        <v>-2.9748283752860431E-2</v>
      </c>
      <c r="DY37" s="98">
        <v>-0.28999999999999998</v>
      </c>
      <c r="DZ37" s="98">
        <v>-0.12654320987654319</v>
      </c>
      <c r="EA37" s="98">
        <v>-0.29259259259259263</v>
      </c>
      <c r="EB37" s="98">
        <v>-0.35120000000000012</v>
      </c>
      <c r="EC37" s="98">
        <v>2.575107296137347E-2</v>
      </c>
      <c r="ED37" s="98">
        <v>-8.588235294117641E-2</v>
      </c>
      <c r="EE37" s="98">
        <v>-5.8823529411764608E-2</v>
      </c>
      <c r="EF37" s="98">
        <v>-0.31336805555555552</v>
      </c>
      <c r="EG37" s="98">
        <v>0.67748917748917736</v>
      </c>
      <c r="EH37" s="98">
        <v>-4.738330975954741E-2</v>
      </c>
      <c r="EI37" s="98">
        <v>-6.2496590103115368E-2</v>
      </c>
      <c r="EJ37" s="98">
        <v>2.976190476190466E-2</v>
      </c>
      <c r="EK37" s="98">
        <v>-0.28739316239316243</v>
      </c>
      <c r="EL37" s="98">
        <v>0.1129032258064515</v>
      </c>
      <c r="EM37" s="98">
        <v>-0.29692039511911678</v>
      </c>
      <c r="EN37" s="98">
        <v>9.1244654235325129E-3</v>
      </c>
      <c r="EO37" s="98">
        <v>6.4102564102564097E-2</v>
      </c>
    </row>
    <row r="38" spans="1:145" x14ac:dyDescent="0.25">
      <c r="A38">
        <v>2023</v>
      </c>
      <c r="B38">
        <v>3</v>
      </c>
      <c r="C38" s="98">
        <v>3.7125014088041031E-2</v>
      </c>
      <c r="D38" s="98">
        <v>3.994525796519488E-3</v>
      </c>
      <c r="E38" s="98">
        <v>-0.35072231139646881</v>
      </c>
      <c r="F38" s="98">
        <v>-0.20454545454545461</v>
      </c>
      <c r="G38" s="98"/>
      <c r="H38" s="98">
        <v>-0.28989659897844777</v>
      </c>
      <c r="I38" s="98">
        <v>-0.15738081562320511</v>
      </c>
      <c r="J38" s="98">
        <v>0.17702448210922789</v>
      </c>
      <c r="K38" s="98">
        <v>-0.32524271844660202</v>
      </c>
      <c r="L38" s="98">
        <v>-5.8441558441558517E-2</v>
      </c>
      <c r="M38" s="98">
        <v>-5.0669216061185567E-2</v>
      </c>
      <c r="N38" s="98"/>
      <c r="O38" s="98">
        <v>-0.125</v>
      </c>
      <c r="P38" s="98">
        <v>0.45686900958466442</v>
      </c>
      <c r="Q38" s="98">
        <v>-0.19022687609075051</v>
      </c>
      <c r="R38" s="98">
        <v>-0.1086460032626427</v>
      </c>
      <c r="S38" s="98">
        <v>6.7017574136394309E-3</v>
      </c>
      <c r="T38" s="98">
        <v>0.15189873417721511</v>
      </c>
      <c r="U38" s="98">
        <v>-0.18831168831168829</v>
      </c>
      <c r="V38" s="98">
        <v>-7.9396984924622993E-2</v>
      </c>
      <c r="W38" s="98">
        <v>-5.3672316384180803E-2</v>
      </c>
      <c r="X38" s="98">
        <v>-9.5468543774747006E-2</v>
      </c>
      <c r="Y38" s="98">
        <v>-0.1579323308270677</v>
      </c>
      <c r="Z38" s="98">
        <v>-0.17612101566720689</v>
      </c>
      <c r="AA38" s="98"/>
      <c r="AB38" s="98">
        <v>5.0767363973047708E-3</v>
      </c>
      <c r="AC38" s="98">
        <v>0.32832618025751081</v>
      </c>
      <c r="AD38" s="98">
        <v>-0.35064935064935071</v>
      </c>
      <c r="AE38" s="98">
        <v>-0.5167322834645669</v>
      </c>
      <c r="AF38" s="98">
        <v>0.23749999999999979</v>
      </c>
      <c r="AG38" s="98">
        <v>-0.44972067039106151</v>
      </c>
      <c r="AH38" s="98">
        <v>-0.1612903225806451</v>
      </c>
      <c r="AI38" s="98">
        <v>-0.45945945945945937</v>
      </c>
      <c r="AJ38" s="98">
        <v>-0.26987012987012982</v>
      </c>
      <c r="AK38" s="98">
        <v>2.051282051282044E-2</v>
      </c>
      <c r="AL38" s="98">
        <v>-9.5740670938560202E-2</v>
      </c>
      <c r="AM38" s="98">
        <v>3.9846375420067297E-2</v>
      </c>
      <c r="AN38" s="98">
        <v>-0.42136498516320481</v>
      </c>
      <c r="AO38" s="98">
        <v>-0.15217391304347819</v>
      </c>
      <c r="AP38" s="98">
        <v>2.222222222222214E-2</v>
      </c>
      <c r="AQ38" s="98"/>
      <c r="AR38" s="98">
        <v>1.739130434782599E-2</v>
      </c>
      <c r="AS38" s="98">
        <v>-0.29145728643216079</v>
      </c>
      <c r="AT38" s="98">
        <v>0</v>
      </c>
      <c r="AU38" s="98">
        <v>-5.9880239520958001E-2</v>
      </c>
      <c r="AV38" s="98">
        <v>-0.10474308300395239</v>
      </c>
      <c r="AW38" s="98">
        <v>-0.18047079337401919</v>
      </c>
      <c r="AX38" s="98">
        <v>1.6713091922005541E-2</v>
      </c>
      <c r="AY38" s="98">
        <v>-0.20373205741626799</v>
      </c>
      <c r="AZ38" s="98">
        <v>-6.7254685777287659E-2</v>
      </c>
      <c r="BA38" s="98">
        <v>-0.74271844660194164</v>
      </c>
      <c r="BB38" s="98">
        <v>3.2171581769437019E-2</v>
      </c>
      <c r="BC38" s="98">
        <v>-0.34707903780068727</v>
      </c>
      <c r="BD38" s="98">
        <v>-0.30375782881002089</v>
      </c>
      <c r="BE38" s="98">
        <v>0.21305841924398619</v>
      </c>
      <c r="BF38" s="98">
        <v>-0.1197604790419161</v>
      </c>
      <c r="BG38" s="98">
        <v>-0.52814569536423839</v>
      </c>
      <c r="BH38" s="98">
        <v>-0.1659707724425887</v>
      </c>
      <c r="BI38" s="98"/>
      <c r="BJ38" s="98">
        <v>-0.11104751001717229</v>
      </c>
      <c r="BK38" s="98">
        <v>-0.29209621993127138</v>
      </c>
      <c r="BL38" s="98">
        <v>-0.258460140813082</v>
      </c>
      <c r="BM38" s="98">
        <v>0.1808035714285714</v>
      </c>
      <c r="BN38" s="98"/>
      <c r="BO38" s="98">
        <v>-0.106578947368421</v>
      </c>
      <c r="BP38" s="98">
        <v>-0.1396508728179551</v>
      </c>
      <c r="BQ38" s="98">
        <v>-6.7937033968517024E-2</v>
      </c>
      <c r="BR38" s="98">
        <v>8.6956521739130377E-2</v>
      </c>
      <c r="BS38" s="98">
        <v>0.1044258617173159</v>
      </c>
      <c r="BT38" s="98">
        <v>-0.1228947368421052</v>
      </c>
      <c r="BU38" s="98"/>
      <c r="BV38" s="98">
        <v>-0.67317708333333326</v>
      </c>
      <c r="BW38" s="98">
        <v>4.2236467236467228E-2</v>
      </c>
      <c r="BX38" s="98">
        <v>1.1353255904998029E-2</v>
      </c>
      <c r="BY38" s="98"/>
      <c r="BZ38" s="98">
        <v>-0.24943820224719099</v>
      </c>
      <c r="CA38" s="98">
        <v>-0.1023102310231022</v>
      </c>
      <c r="CB38" s="98">
        <v>1.9683947879123979E-2</v>
      </c>
      <c r="CC38" s="98">
        <v>0.1034637493856836</v>
      </c>
      <c r="CD38" s="98">
        <v>-0.29514735209395082</v>
      </c>
      <c r="CE38" s="98">
        <v>-8.7186261558784728E-2</v>
      </c>
      <c r="CF38" s="98">
        <v>-0.15546218487394961</v>
      </c>
      <c r="CG38" s="98"/>
      <c r="CH38" s="98"/>
      <c r="CI38" s="98"/>
      <c r="CJ38" s="98">
        <v>8.2457816301306774E-3</v>
      </c>
      <c r="CK38" s="98">
        <v>-0.26086956521739141</v>
      </c>
      <c r="CL38" s="98">
        <v>-0.4906521739130435</v>
      </c>
      <c r="CM38" s="98"/>
      <c r="CN38" s="98">
        <v>-0.35382352941176459</v>
      </c>
      <c r="CO38" s="98">
        <v>-0.17042606516290729</v>
      </c>
      <c r="CP38" s="98">
        <v>-0.14432989690721651</v>
      </c>
      <c r="CQ38" s="98">
        <v>-0.12748344370860931</v>
      </c>
      <c r="CR38" s="98">
        <v>-3.9607502427556729E-2</v>
      </c>
      <c r="CS38" s="98">
        <v>0.23342175066313001</v>
      </c>
      <c r="CT38" s="98">
        <v>7.2222222222222188E-2</v>
      </c>
      <c r="CU38" s="98">
        <v>3.8095238095238182E-2</v>
      </c>
      <c r="CV38" s="98">
        <v>-2.482608194977887E-2</v>
      </c>
      <c r="CW38" s="98">
        <v>3.9502074688796629E-2</v>
      </c>
      <c r="CX38" s="98">
        <v>-4.134366925064592E-2</v>
      </c>
      <c r="CY38" s="98">
        <v>-0.25347066726377071</v>
      </c>
      <c r="CZ38" s="98">
        <v>5.6699369364157093E-3</v>
      </c>
      <c r="DA38" s="98">
        <v>-0.16588785046728979</v>
      </c>
      <c r="DB38" s="98">
        <v>-0.165097300690521</v>
      </c>
      <c r="DC38" s="98">
        <v>-4.1141781572971547E-2</v>
      </c>
      <c r="DD38" s="98">
        <v>4.240766073871427E-2</v>
      </c>
      <c r="DE38" s="98">
        <v>-0.33571428571428569</v>
      </c>
      <c r="DF38" s="98">
        <v>-0.153549584021799</v>
      </c>
      <c r="DG38" s="98">
        <v>-0.18095238095238089</v>
      </c>
      <c r="DH38" s="98"/>
      <c r="DI38" s="98">
        <v>-0.37222222222222229</v>
      </c>
      <c r="DJ38" s="98">
        <v>-0.1066098081023454</v>
      </c>
      <c r="DK38" s="98">
        <v>-2.3481781376518129E-2</v>
      </c>
      <c r="DL38" s="98">
        <v>-5.2023121387283378E-2</v>
      </c>
      <c r="DM38" s="98">
        <v>0.2093333333333334</v>
      </c>
      <c r="DN38" s="98">
        <v>1.013422818791947</v>
      </c>
      <c r="DO38" s="98"/>
      <c r="DP38" s="98">
        <v>-0.16057397227936471</v>
      </c>
      <c r="DQ38" s="98">
        <v>-0.29383886255924158</v>
      </c>
      <c r="DR38" s="98">
        <v>-0.19975409836065569</v>
      </c>
      <c r="DS38" s="98">
        <v>-3.6179835062516763E-2</v>
      </c>
      <c r="DT38" s="98"/>
      <c r="DU38" s="98">
        <v>-0.18850871530019361</v>
      </c>
      <c r="DV38" s="98"/>
      <c r="DW38" s="98">
        <v>0.16880552813425459</v>
      </c>
      <c r="DX38" s="98">
        <v>-2.830188679245282E-2</v>
      </c>
      <c r="DY38" s="98">
        <v>-0.53661971830985911</v>
      </c>
      <c r="DZ38" s="98">
        <v>-0.1060070671378093</v>
      </c>
      <c r="EA38" s="98">
        <v>-9.9476439790575855E-2</v>
      </c>
      <c r="EB38" s="98">
        <v>-9.9013563501849644E-2</v>
      </c>
      <c r="EC38" s="98">
        <v>-0.22594142259414229</v>
      </c>
      <c r="ED38" s="98">
        <v>-0.1098241098241097</v>
      </c>
      <c r="EE38" s="98">
        <v>-0.24395161290322581</v>
      </c>
      <c r="EF38" s="98">
        <v>-0.706700379266751</v>
      </c>
      <c r="EG38" s="98">
        <v>-0.1612903225806451</v>
      </c>
      <c r="EH38" s="98">
        <v>-0.1674620850567399</v>
      </c>
      <c r="EI38" s="98">
        <v>-0.1465553195410326</v>
      </c>
      <c r="EJ38" s="98">
        <v>-0.22543352601156069</v>
      </c>
      <c r="EK38" s="98">
        <v>-7.6461769115442224E-2</v>
      </c>
      <c r="EL38" s="98">
        <v>0.18115942028985499</v>
      </c>
      <c r="EM38" s="98">
        <v>-0.1942148760330579</v>
      </c>
      <c r="EN38" s="98">
        <v>-3.353714947663899E-3</v>
      </c>
      <c r="EO38" s="98">
        <v>-5.3356282271944888E-2</v>
      </c>
    </row>
    <row r="39" spans="1:145" x14ac:dyDescent="0.25">
      <c r="A39">
        <v>2023</v>
      </c>
      <c r="B39">
        <v>4</v>
      </c>
      <c r="C39" s="98">
        <v>1.5974985330810879E-2</v>
      </c>
      <c r="D39" s="98">
        <v>3.629735680169333E-3</v>
      </c>
      <c r="E39" s="98">
        <v>9.8887515451174357E-2</v>
      </c>
      <c r="F39" s="98">
        <v>-1.5714285714285681E-2</v>
      </c>
      <c r="G39" s="98"/>
      <c r="H39" s="98">
        <v>-0.18842105263157879</v>
      </c>
      <c r="I39" s="98">
        <v>-3.2038173142467707E-2</v>
      </c>
      <c r="J39" s="98">
        <v>-4.6133333333333248E-2</v>
      </c>
      <c r="K39" s="98">
        <v>0.38848920863309361</v>
      </c>
      <c r="L39" s="98">
        <v>6.8965517241379448E-3</v>
      </c>
      <c r="M39" s="98">
        <v>-5.0352467270896262E-2</v>
      </c>
      <c r="N39" s="98"/>
      <c r="O39" s="98">
        <v>-0.20466058763931111</v>
      </c>
      <c r="P39" s="98">
        <v>0.1754385964912282</v>
      </c>
      <c r="Q39" s="98">
        <v>-0.29741379310344829</v>
      </c>
      <c r="R39" s="98">
        <v>-4.0629575402635447E-2</v>
      </c>
      <c r="S39" s="98">
        <v>1.4285714285715569E-3</v>
      </c>
      <c r="T39" s="98">
        <v>-0.1350078492935636</v>
      </c>
      <c r="U39" s="98">
        <v>0.1160000000000001</v>
      </c>
      <c r="V39" s="98">
        <v>0.14410480349344981</v>
      </c>
      <c r="W39" s="98">
        <v>-2.3880597014925401E-2</v>
      </c>
      <c r="X39" s="98">
        <v>0.15969520103761359</v>
      </c>
      <c r="Y39" s="98">
        <v>4.9153980088396887E-2</v>
      </c>
      <c r="Z39" s="98">
        <v>-3.2786885245901558E-2</v>
      </c>
      <c r="AA39" s="98"/>
      <c r="AB39" s="98">
        <v>-2.888520213817547E-2</v>
      </c>
      <c r="AC39" s="98">
        <v>4.3618739903069408E-2</v>
      </c>
      <c r="AD39" s="98">
        <v>-0.22600000000000001</v>
      </c>
      <c r="AE39" s="98">
        <v>-0.144602851323829</v>
      </c>
      <c r="AF39" s="98">
        <v>-0.10101010101010099</v>
      </c>
      <c r="AG39" s="98">
        <v>9.6446700507614169E-2</v>
      </c>
      <c r="AH39" s="98">
        <v>-2.8846153846153851E-2</v>
      </c>
      <c r="AI39" s="98">
        <v>0.51</v>
      </c>
      <c r="AJ39" s="98">
        <v>3.3617929562433257E-2</v>
      </c>
      <c r="AK39" s="98">
        <v>0.24623115577889451</v>
      </c>
      <c r="AL39" s="98">
        <v>-3.0012505210504359E-2</v>
      </c>
      <c r="AM39" s="98">
        <v>4.0166204986149527E-2</v>
      </c>
      <c r="AN39" s="98">
        <v>-7.6923076923076872E-2</v>
      </c>
      <c r="AO39" s="98">
        <v>-0.1230769230769231</v>
      </c>
      <c r="AP39" s="98">
        <v>0.1932367149758456</v>
      </c>
      <c r="AQ39" s="98"/>
      <c r="AR39" s="98">
        <v>0.23931623931623941</v>
      </c>
      <c r="AS39" s="98">
        <v>-4.9645390070921842E-2</v>
      </c>
      <c r="AT39" s="98">
        <v>-3.8461538461538547E-2</v>
      </c>
      <c r="AU39" s="98">
        <v>0.1019108280254777</v>
      </c>
      <c r="AV39" s="98">
        <v>-7.2847682119205337E-2</v>
      </c>
      <c r="AW39" s="98">
        <v>7.4468085106382809E-3</v>
      </c>
      <c r="AX39" s="98">
        <v>-0.13059360730593611</v>
      </c>
      <c r="AY39" s="98">
        <v>0.1004686936666266</v>
      </c>
      <c r="AZ39" s="98">
        <v>3.3096926713947823E-2</v>
      </c>
      <c r="BA39" s="98">
        <v>-0.16981132075471689</v>
      </c>
      <c r="BB39" s="98">
        <v>-5.7142857142857162E-2</v>
      </c>
      <c r="BC39" s="98">
        <v>-1.252631578947383E-2</v>
      </c>
      <c r="BD39" s="98">
        <v>0.31484257871064458</v>
      </c>
      <c r="BE39" s="98">
        <v>0.50708215297450443</v>
      </c>
      <c r="BF39" s="98">
        <v>1.1360544217687081</v>
      </c>
      <c r="BG39" s="98">
        <v>-0.1228070175438597</v>
      </c>
      <c r="BH39" s="98">
        <v>5.1314142678347878E-2</v>
      </c>
      <c r="BI39" s="98"/>
      <c r="BJ39" s="98">
        <v>-0.1043142305215712</v>
      </c>
      <c r="BK39" s="98">
        <v>-0.16019417475728159</v>
      </c>
      <c r="BL39" s="98">
        <v>-1.2557427258805379E-2</v>
      </c>
      <c r="BM39" s="98">
        <v>0.19234404536861999</v>
      </c>
      <c r="BN39" s="98"/>
      <c r="BO39" s="98">
        <v>1.6200294550809961E-2</v>
      </c>
      <c r="BP39" s="98">
        <v>0.58840579710144936</v>
      </c>
      <c r="BQ39" s="98">
        <v>4.2666666666666631E-2</v>
      </c>
      <c r="BR39" s="98">
        <v>0.36799999999999988</v>
      </c>
      <c r="BS39" s="98">
        <v>0.14773776546629719</v>
      </c>
      <c r="BT39" s="98">
        <v>0.17011701170117011</v>
      </c>
      <c r="BU39" s="98"/>
      <c r="BV39" s="98">
        <v>-0.2050996015936255</v>
      </c>
      <c r="BW39" s="98">
        <v>-4.0046470306840831E-2</v>
      </c>
      <c r="BX39" s="98">
        <v>5.6129032258064537E-2</v>
      </c>
      <c r="BY39" s="98"/>
      <c r="BZ39" s="98">
        <v>0.3293413173652695</v>
      </c>
      <c r="CA39" s="98">
        <v>-0.23161764705882359</v>
      </c>
      <c r="CB39" s="98">
        <v>3.7928221859706353E-2</v>
      </c>
      <c r="CC39" s="98">
        <v>0.15269942784187629</v>
      </c>
      <c r="CD39" s="98">
        <v>-0.182646966362779</v>
      </c>
      <c r="CE39" s="98">
        <v>-2.8943560057887119E-2</v>
      </c>
      <c r="CF39" s="98">
        <v>0.1940298507462688</v>
      </c>
      <c r="CG39" s="98"/>
      <c r="CH39" s="98"/>
      <c r="CI39" s="98"/>
      <c r="CJ39" s="98">
        <v>8.5345690660521223E-2</v>
      </c>
      <c r="CK39" s="98">
        <v>-0.32352941176470579</v>
      </c>
      <c r="CL39" s="98">
        <v>7.028026746336602E-2</v>
      </c>
      <c r="CM39" s="98"/>
      <c r="CN39" s="98">
        <v>-0.11819147322105911</v>
      </c>
      <c r="CO39" s="98">
        <v>6.0422960725075034E-3</v>
      </c>
      <c r="CP39" s="98">
        <v>-3.012048192771077E-2</v>
      </c>
      <c r="CQ39" s="98">
        <v>0.17647058823529421</v>
      </c>
      <c r="CR39" s="98">
        <v>4.719126127172113E-2</v>
      </c>
      <c r="CS39" s="98">
        <v>0.247311827956989</v>
      </c>
      <c r="CT39" s="98">
        <v>-0.1139896373056996</v>
      </c>
      <c r="CU39" s="98">
        <v>4.1284403669724627E-2</v>
      </c>
      <c r="CV39" s="98">
        <v>1.566385573970908E-2</v>
      </c>
      <c r="CW39" s="98">
        <v>-1.7563467986587918E-2</v>
      </c>
      <c r="CX39" s="98">
        <v>0.11026709139916679</v>
      </c>
      <c r="CY39" s="98">
        <v>0.25974805038992188</v>
      </c>
      <c r="CZ39" s="98">
        <v>-4.6813231970412872E-2</v>
      </c>
      <c r="DA39" s="98">
        <v>0.49859943977591042</v>
      </c>
      <c r="DB39" s="98">
        <v>6.203007518796988E-2</v>
      </c>
      <c r="DC39" s="98">
        <v>3.6798914642125917E-2</v>
      </c>
      <c r="DD39" s="98">
        <v>-1.5748031496062961E-2</v>
      </c>
      <c r="DE39" s="98">
        <v>2.0824372759856629</v>
      </c>
      <c r="DF39" s="98">
        <v>6.6438356164384427E-3</v>
      </c>
      <c r="DG39" s="98">
        <v>-8.9147286821705363E-2</v>
      </c>
      <c r="DH39" s="98"/>
      <c r="DI39" s="98">
        <v>0.1150442477876108</v>
      </c>
      <c r="DJ39" s="98">
        <v>0.63484486873508339</v>
      </c>
      <c r="DK39" s="98">
        <v>-3.7313432835821003E-2</v>
      </c>
      <c r="DL39" s="98">
        <v>-0.1170731707317072</v>
      </c>
      <c r="DM39" s="98">
        <v>8.7100330760749634E-2</v>
      </c>
      <c r="DN39" s="98">
        <v>5.0000000000000037E-2</v>
      </c>
      <c r="DO39" s="98"/>
      <c r="DP39" s="98">
        <v>1.3900327421007219E-2</v>
      </c>
      <c r="DQ39" s="98">
        <v>-0.20805369127516779</v>
      </c>
      <c r="DR39" s="98">
        <v>-2.8679709105807531E-2</v>
      </c>
      <c r="DS39" s="98">
        <v>1.7388904223019749E-2</v>
      </c>
      <c r="DT39" s="98"/>
      <c r="DU39" s="98">
        <v>0.18695306284805091</v>
      </c>
      <c r="DV39" s="98"/>
      <c r="DW39" s="98">
        <v>0.1021959459459461</v>
      </c>
      <c r="DX39" s="98">
        <v>9.9514563106796183E-2</v>
      </c>
      <c r="DY39" s="98">
        <v>1.8237082066869359E-2</v>
      </c>
      <c r="DZ39" s="98">
        <v>-7.114624505928846E-2</v>
      </c>
      <c r="EA39" s="98">
        <v>5.2325581395348708E-2</v>
      </c>
      <c r="EB39" s="98">
        <v>0.57383331052415509</v>
      </c>
      <c r="EC39" s="98">
        <v>0.85945945945945934</v>
      </c>
      <c r="ED39" s="98">
        <v>-6.0602409638554337E-2</v>
      </c>
      <c r="EE39" s="98">
        <v>-5.5999999999999939E-2</v>
      </c>
      <c r="EF39" s="98">
        <v>9.4827586206896575E-2</v>
      </c>
      <c r="EG39" s="98">
        <v>-5.0769230769230789E-2</v>
      </c>
      <c r="EH39" s="98">
        <v>-9.4904458598726094E-2</v>
      </c>
      <c r="EI39" s="98">
        <v>-3.0139446079712751E-2</v>
      </c>
      <c r="EJ39" s="98">
        <v>0.12238805970149259</v>
      </c>
      <c r="EK39" s="98">
        <v>0.70779220779220764</v>
      </c>
      <c r="EL39" s="98">
        <v>0.38650306748466262</v>
      </c>
      <c r="EM39" s="98">
        <v>-0.62621082621082624</v>
      </c>
      <c r="EN39" s="98">
        <v>5.838753258848306E-2</v>
      </c>
      <c r="EO39" s="98">
        <v>-1.818181818181808E-2</v>
      </c>
    </row>
    <row r="40" spans="1:145" x14ac:dyDescent="0.25">
      <c r="A40">
        <v>2023</v>
      </c>
      <c r="B40">
        <v>5</v>
      </c>
      <c r="C40" s="98">
        <v>4.6161313869514942E-3</v>
      </c>
      <c r="D40" s="98">
        <v>3.7532650768934421E-3</v>
      </c>
      <c r="E40" s="98">
        <v>-6.0742407199100179E-2</v>
      </c>
      <c r="F40" s="98">
        <v>-0.23657474600870829</v>
      </c>
      <c r="G40" s="98"/>
      <c r="H40" s="98">
        <v>0.28620838737570242</v>
      </c>
      <c r="I40" s="98">
        <v>-0.13063380281690129</v>
      </c>
      <c r="J40" s="98">
        <v>0.24042493709812679</v>
      </c>
      <c r="K40" s="98">
        <v>0.2124352331606216</v>
      </c>
      <c r="L40" s="98">
        <v>-0.22602739726027399</v>
      </c>
      <c r="M40" s="98">
        <v>0.19671261930010611</v>
      </c>
      <c r="N40" s="98"/>
      <c r="O40" s="98">
        <v>-0.28535031847133752</v>
      </c>
      <c r="P40" s="98">
        <v>0.72388059701492535</v>
      </c>
      <c r="Q40" s="98">
        <v>9.5705521472392752E-2</v>
      </c>
      <c r="R40" s="98">
        <v>-0.16711178939336141</v>
      </c>
      <c r="S40" s="98">
        <v>-1.093675701378982E-2</v>
      </c>
      <c r="T40" s="98">
        <v>0.14882032667876599</v>
      </c>
      <c r="U40" s="98">
        <v>-7.1684587813619638E-3</v>
      </c>
      <c r="V40" s="98">
        <v>0.32156488549618317</v>
      </c>
      <c r="W40" s="98">
        <v>0.22018348623853209</v>
      </c>
      <c r="X40" s="98">
        <v>3.1455333426534393E-2</v>
      </c>
      <c r="Y40" s="98">
        <v>-0.28936170212765971</v>
      </c>
      <c r="Z40" s="98">
        <v>-0.20338983050847459</v>
      </c>
      <c r="AA40" s="98"/>
      <c r="AB40" s="98">
        <v>-3.4895462730790028E-2</v>
      </c>
      <c r="AC40" s="98">
        <v>-0.15325077399380799</v>
      </c>
      <c r="AD40" s="98">
        <v>5.9431524547803427E-2</v>
      </c>
      <c r="AE40" s="98">
        <v>-0.24285714285714291</v>
      </c>
      <c r="AF40" s="98">
        <v>0.15168539325842681</v>
      </c>
      <c r="AG40" s="98">
        <v>-0.1574074074074073</v>
      </c>
      <c r="AH40" s="98">
        <v>6.9306930693069368E-2</v>
      </c>
      <c r="AI40" s="98">
        <v>0.2185430463576159</v>
      </c>
      <c r="AJ40" s="98">
        <v>0.49716055756324229</v>
      </c>
      <c r="AK40" s="98">
        <v>-0.12903225806451599</v>
      </c>
      <c r="AL40" s="98">
        <v>-5.1568543188654892E-2</v>
      </c>
      <c r="AM40" s="98">
        <v>4.2609853528628339E-2</v>
      </c>
      <c r="AN40" s="98">
        <v>-5.4722222222222228E-2</v>
      </c>
      <c r="AO40" s="98">
        <v>-5.8479532163742583E-2</v>
      </c>
      <c r="AP40" s="98">
        <v>-2.63157894736844E-2</v>
      </c>
      <c r="AQ40" s="98"/>
      <c r="AR40" s="98">
        <v>-0.2</v>
      </c>
      <c r="AS40" s="98">
        <v>5.9701492537313383E-2</v>
      </c>
      <c r="AT40" s="98">
        <v>1.0000000000000011E-2</v>
      </c>
      <c r="AU40" s="98">
        <v>-0.30924855491329473</v>
      </c>
      <c r="AV40" s="98">
        <v>0.46428571428571441</v>
      </c>
      <c r="AW40" s="98">
        <v>-0.13938753959873279</v>
      </c>
      <c r="AX40" s="98">
        <v>-3.8865546218487368E-2</v>
      </c>
      <c r="AY40" s="98">
        <v>1.2878672054166209</v>
      </c>
      <c r="AZ40" s="98">
        <v>3.5469107551487473E-2</v>
      </c>
      <c r="BA40" s="98">
        <v>3.030303030303028E-2</v>
      </c>
      <c r="BB40" s="98">
        <v>9.0909090909090828E-2</v>
      </c>
      <c r="BC40" s="98">
        <v>-0.11523291759940291</v>
      </c>
      <c r="BD40" s="98">
        <v>0.153933865450399</v>
      </c>
      <c r="BE40" s="98">
        <v>-0.46616541353383473</v>
      </c>
      <c r="BF40" s="98">
        <v>-3.6624203821656098E-2</v>
      </c>
      <c r="BG40" s="98">
        <v>8.8000000000000078E-2</v>
      </c>
      <c r="BH40" s="98">
        <v>0.33333333333333331</v>
      </c>
      <c r="BI40" s="98"/>
      <c r="BJ40" s="98">
        <v>-0.30984902947519771</v>
      </c>
      <c r="BK40" s="98">
        <v>-8.0924855491329439E-2</v>
      </c>
      <c r="BL40" s="98">
        <v>7.2580645161290258E-2</v>
      </c>
      <c r="BM40" s="98">
        <v>-0.2524772096710266</v>
      </c>
      <c r="BN40" s="98"/>
      <c r="BO40" s="98">
        <v>-0.15942028985507251</v>
      </c>
      <c r="BP40" s="98">
        <v>0.17700729927007289</v>
      </c>
      <c r="BQ40" s="98">
        <v>0.15004262574595059</v>
      </c>
      <c r="BR40" s="98">
        <v>-0.24756335282651079</v>
      </c>
      <c r="BS40" s="98">
        <v>-4.4569589702333053E-2</v>
      </c>
      <c r="BT40" s="98">
        <v>-1.7094017094017141E-2</v>
      </c>
      <c r="BU40" s="98"/>
      <c r="BV40" s="98">
        <v>0.33079390537289499</v>
      </c>
      <c r="BW40" s="98">
        <v>-8.7634370328183997E-2</v>
      </c>
      <c r="BX40" s="98">
        <v>-4.5593912060203468E-2</v>
      </c>
      <c r="BY40" s="98"/>
      <c r="BZ40" s="98">
        <v>-0.52927927927927931</v>
      </c>
      <c r="CA40" s="98">
        <v>-0.64459330143540661</v>
      </c>
      <c r="CB40" s="98">
        <v>-8.2121807465618812E-2</v>
      </c>
      <c r="CC40" s="98">
        <v>8.7700487595266718E-2</v>
      </c>
      <c r="CD40" s="98">
        <v>4.7511312217194623E-2</v>
      </c>
      <c r="CE40" s="98">
        <v>0.2101341281669149</v>
      </c>
      <c r="CF40" s="98">
        <v>7.0833333333333304E-2</v>
      </c>
      <c r="CG40" s="98"/>
      <c r="CH40" s="98"/>
      <c r="CI40" s="98"/>
      <c r="CJ40" s="98">
        <v>-4.3820934897908732E-2</v>
      </c>
      <c r="CK40" s="98">
        <v>-0.43486956521739129</v>
      </c>
      <c r="CL40" s="98">
        <v>-0.22889804599229041</v>
      </c>
      <c r="CM40" s="98"/>
      <c r="CN40" s="98">
        <v>0.20440467997247061</v>
      </c>
      <c r="CO40" s="98">
        <v>-0.14744744744744739</v>
      </c>
      <c r="CP40" s="98">
        <v>6.2111801242235032E-3</v>
      </c>
      <c r="CQ40" s="98">
        <v>3.2258064516128997E-2</v>
      </c>
      <c r="CR40" s="98">
        <v>-0.20218786235315311</v>
      </c>
      <c r="CS40" s="98">
        <v>6.8965517241379448E-2</v>
      </c>
      <c r="CT40" s="98">
        <v>-0.26900584795321641</v>
      </c>
      <c r="CU40" s="98">
        <v>0.77973568281938332</v>
      </c>
      <c r="CV40" s="98">
        <v>-0.14524302919633161</v>
      </c>
      <c r="CW40" s="98">
        <v>-6.9884609133755937E-2</v>
      </c>
      <c r="CX40" s="98">
        <v>-0.16067093356874859</v>
      </c>
      <c r="CY40" s="98">
        <v>-1.587301587301582E-2</v>
      </c>
      <c r="CZ40" s="98">
        <v>-1.170614220390476E-2</v>
      </c>
      <c r="DA40" s="98">
        <v>9.9065420560747741E-2</v>
      </c>
      <c r="DB40" s="98">
        <v>-0.23433628318584079</v>
      </c>
      <c r="DC40" s="98">
        <v>-0.14062798547863201</v>
      </c>
      <c r="DD40" s="98">
        <v>0.26533333333333342</v>
      </c>
      <c r="DE40" s="98">
        <v>-0.45813953488372089</v>
      </c>
      <c r="DF40" s="98">
        <v>-7.1341090018371189E-2</v>
      </c>
      <c r="DG40" s="98">
        <v>-0.13191489361702119</v>
      </c>
      <c r="DH40" s="98"/>
      <c r="DI40" s="98">
        <v>0.126984126984127</v>
      </c>
      <c r="DJ40" s="98">
        <v>-0.10802919708029191</v>
      </c>
      <c r="DK40" s="98">
        <v>-2.1963824289405579E-2</v>
      </c>
      <c r="DL40" s="98">
        <v>-0.17817679558011049</v>
      </c>
      <c r="DM40" s="98">
        <v>7.7079107505070965E-2</v>
      </c>
      <c r="DN40" s="98">
        <v>-0.20634920634920631</v>
      </c>
      <c r="DO40" s="98"/>
      <c r="DP40" s="98">
        <v>3.6929172857850467E-2</v>
      </c>
      <c r="DQ40" s="98">
        <v>0</v>
      </c>
      <c r="DR40" s="98">
        <v>2.2883053885901061E-2</v>
      </c>
      <c r="DS40" s="98">
        <v>-0.1009224091155724</v>
      </c>
      <c r="DT40" s="98"/>
      <c r="DU40" s="98">
        <v>0.12265415549597861</v>
      </c>
      <c r="DV40" s="98"/>
      <c r="DW40" s="98">
        <v>-0.18697318007662839</v>
      </c>
      <c r="DX40" s="98">
        <v>5.7395143487858569E-2</v>
      </c>
      <c r="DY40" s="98">
        <v>0.48656716417910428</v>
      </c>
      <c r="DZ40" s="98">
        <v>-0.28936170212765971</v>
      </c>
      <c r="EA40" s="98">
        <v>-3.8674033149171172E-2</v>
      </c>
      <c r="EB40" s="98">
        <v>1.739130434782599E-2</v>
      </c>
      <c r="EC40" s="98">
        <v>-0.37209302325581389</v>
      </c>
      <c r="ED40" s="98">
        <v>-2.0135949724252922E-2</v>
      </c>
      <c r="EE40" s="98">
        <v>0.17231638418079109</v>
      </c>
      <c r="EF40" s="98">
        <v>-0.22047244094488189</v>
      </c>
      <c r="EG40" s="98">
        <v>-8.1037277147487874E-2</v>
      </c>
      <c r="EH40" s="98">
        <v>0.10471498944405359</v>
      </c>
      <c r="EI40" s="98">
        <v>-6.5620642379216054E-3</v>
      </c>
      <c r="EJ40" s="98">
        <v>-8.3244680851063846E-2</v>
      </c>
      <c r="EK40" s="98">
        <v>0.19581749049429659</v>
      </c>
      <c r="EL40" s="98">
        <v>0.13274336283185861</v>
      </c>
      <c r="EM40" s="98">
        <v>-0.42073170731707321</v>
      </c>
      <c r="EN40" s="98">
        <v>-7.2647793866928656E-2</v>
      </c>
      <c r="EO40" s="98">
        <v>-6.6666666666666763E-2</v>
      </c>
    </row>
    <row r="41" spans="1:145" x14ac:dyDescent="0.25">
      <c r="A41">
        <v>2023</v>
      </c>
      <c r="B41">
        <v>6</v>
      </c>
      <c r="C41" s="98">
        <v>6.4814272949153651E-2</v>
      </c>
      <c r="D41" s="98">
        <v>4.6002928327628636E-3</v>
      </c>
      <c r="E41" s="98">
        <v>0.24191616766467061</v>
      </c>
      <c r="F41" s="98">
        <v>-0.2083650190114068</v>
      </c>
      <c r="G41" s="98"/>
      <c r="H41" s="98">
        <v>-0.1176470588235293</v>
      </c>
      <c r="I41" s="98">
        <v>-0.1263669501822601</v>
      </c>
      <c r="J41" s="98">
        <v>0.29524453459544753</v>
      </c>
      <c r="K41" s="98">
        <v>0.32478632478632502</v>
      </c>
      <c r="L41" s="98">
        <v>3.9823008849557702E-2</v>
      </c>
      <c r="M41" s="98">
        <v>0.19251218431546291</v>
      </c>
      <c r="N41" s="98"/>
      <c r="O41" s="98">
        <v>0.51515151515151514</v>
      </c>
      <c r="P41" s="98">
        <v>-0.28571428571428581</v>
      </c>
      <c r="Q41" s="98">
        <v>0.1142217245240762</v>
      </c>
      <c r="R41" s="98">
        <v>0.1369674759505268</v>
      </c>
      <c r="S41" s="98">
        <v>1.923076923076916E-3</v>
      </c>
      <c r="T41" s="98">
        <v>-0.14375987361769349</v>
      </c>
      <c r="U41" s="98">
        <v>6.498194945848379E-2</v>
      </c>
      <c r="V41" s="98">
        <v>0.18989169675090259</v>
      </c>
      <c r="W41" s="98">
        <v>-6.2656641604010077E-2</v>
      </c>
      <c r="X41" s="98">
        <v>-2.602331255082679E-2</v>
      </c>
      <c r="Y41" s="98">
        <v>-4.1916167664670552E-2</v>
      </c>
      <c r="Z41" s="98">
        <v>0.1063829787234043</v>
      </c>
      <c r="AA41" s="98"/>
      <c r="AB41" s="98">
        <v>-7.6046138240055683E-3</v>
      </c>
      <c r="AC41" s="98">
        <v>0.23583180987202931</v>
      </c>
      <c r="AD41" s="98">
        <v>-2.1951219512195141E-2</v>
      </c>
      <c r="AE41" s="98">
        <v>-0.1100628930817609</v>
      </c>
      <c r="AF41" s="98">
        <v>-0.10731707317073159</v>
      </c>
      <c r="AG41" s="98">
        <v>2.19780219780219E-2</v>
      </c>
      <c r="AH41" s="98">
        <v>3.7037037037036979E-2</v>
      </c>
      <c r="AI41" s="98">
        <v>0.2119565217391304</v>
      </c>
      <c r="AJ41" s="98">
        <v>0.83908045977011514</v>
      </c>
      <c r="AK41" s="98">
        <v>0.1064814814814814</v>
      </c>
      <c r="AL41" s="98">
        <v>-2.628001812415048E-2</v>
      </c>
      <c r="AM41" s="98">
        <v>-5.2788420604512498E-2</v>
      </c>
      <c r="AN41" s="98">
        <v>2.3508668821627938E-3</v>
      </c>
      <c r="AO41" s="98">
        <v>-8.6956521739130488E-2</v>
      </c>
      <c r="AP41" s="98">
        <v>-0.17567567567567571</v>
      </c>
      <c r="AQ41" s="98"/>
      <c r="AR41" s="98">
        <v>3.4482758620689717E-2</v>
      </c>
      <c r="AS41" s="98">
        <v>6.3380281690140761E-2</v>
      </c>
      <c r="AT41" s="98">
        <v>-9.8910891089108777E-2</v>
      </c>
      <c r="AU41" s="98">
        <v>0.33054393305439328</v>
      </c>
      <c r="AV41" s="98">
        <v>-0.19512195121951231</v>
      </c>
      <c r="AW41" s="98">
        <v>0.2343558282208589</v>
      </c>
      <c r="AX41" s="98">
        <v>0.1153005464480874</v>
      </c>
      <c r="AY41" s="98">
        <v>-0.19570405727923629</v>
      </c>
      <c r="AZ41" s="98">
        <v>-0.1966850828729283</v>
      </c>
      <c r="BA41" s="98">
        <v>2.205882352941169E-2</v>
      </c>
      <c r="BB41" s="98">
        <v>-0.1186868686868686</v>
      </c>
      <c r="BC41" s="98">
        <v>-6.0240963855422436E-3</v>
      </c>
      <c r="BD41" s="98">
        <v>-0.23418972332015811</v>
      </c>
      <c r="BE41" s="98">
        <v>-0.1654929577464789</v>
      </c>
      <c r="BF41" s="98">
        <v>0.43801652892561971</v>
      </c>
      <c r="BG41" s="98">
        <v>0.213235294117647</v>
      </c>
      <c r="BH41" s="98">
        <v>5.9375000000000178E-2</v>
      </c>
      <c r="BI41" s="98"/>
      <c r="BJ41" s="98">
        <v>9.375E-2</v>
      </c>
      <c r="BK41" s="98">
        <v>0.88679245283018848</v>
      </c>
      <c r="BL41" s="98">
        <v>1.764025448235973E-2</v>
      </c>
      <c r="BM41" s="98">
        <v>9.5440084835631822E-3</v>
      </c>
      <c r="BN41" s="98"/>
      <c r="BO41" s="98">
        <v>7.448275862068976E-2</v>
      </c>
      <c r="BP41" s="98">
        <v>1.7054263565891459E-2</v>
      </c>
      <c r="BQ41" s="98">
        <v>-5.633802816901412E-2</v>
      </c>
      <c r="BR41" s="98">
        <v>0.1243523316062176</v>
      </c>
      <c r="BS41" s="98">
        <v>6.6352307174132763E-2</v>
      </c>
      <c r="BT41" s="98">
        <v>-6.9565217391304168E-2</v>
      </c>
      <c r="BU41" s="98"/>
      <c r="BV41" s="98">
        <v>-0.2226574269358241</v>
      </c>
      <c r="BW41" s="98">
        <v>-3.2693508114856377E-2</v>
      </c>
      <c r="BX41" s="98">
        <v>6.745783970132524E-2</v>
      </c>
      <c r="BY41" s="98"/>
      <c r="BZ41" s="98">
        <v>-0.69239234449760767</v>
      </c>
      <c r="CA41" s="98">
        <v>-1.682821755519659E-2</v>
      </c>
      <c r="CB41" s="98">
        <v>2.8824200913242001E-2</v>
      </c>
      <c r="CC41" s="98">
        <v>9.2022496540897558E-2</v>
      </c>
      <c r="CD41" s="98">
        <v>8.8552915766738627E-2</v>
      </c>
      <c r="CE41" s="98">
        <v>-3.3251231527093528E-2</v>
      </c>
      <c r="CF41" s="98">
        <v>0.5992217898832688</v>
      </c>
      <c r="CG41" s="98"/>
      <c r="CH41" s="98"/>
      <c r="CI41" s="98"/>
      <c r="CJ41" s="98">
        <v>5.21262042167705E-2</v>
      </c>
      <c r="CK41" s="98">
        <v>0.15740883212801979</v>
      </c>
      <c r="CL41" s="98">
        <v>-8.4468195138767133E-3</v>
      </c>
      <c r="CM41" s="98"/>
      <c r="CN41" s="98">
        <v>-0.30928571428571427</v>
      </c>
      <c r="CO41" s="98">
        <v>5.6710109193377933E-2</v>
      </c>
      <c r="CP41" s="98">
        <v>0.1111111111111112</v>
      </c>
      <c r="CQ41" s="98">
        <v>-0.19375000000000001</v>
      </c>
      <c r="CR41" s="98">
        <v>7.3236826867400184E-2</v>
      </c>
      <c r="CS41" s="98">
        <v>-0.1225806451612903</v>
      </c>
      <c r="CT41" s="98">
        <v>-1.6000000000000011E-2</v>
      </c>
      <c r="CU41" s="98">
        <v>-0.11386138613861389</v>
      </c>
      <c r="CV41" s="98">
        <v>3.9174267882861269E-2</v>
      </c>
      <c r="CW41" s="98">
        <v>3.8441376900227198E-2</v>
      </c>
      <c r="CX41" s="98">
        <v>5.3641861688140891E-2</v>
      </c>
      <c r="CY41" s="98">
        <v>-0.1975806451612904</v>
      </c>
      <c r="CZ41" s="98">
        <v>-3.5243584673010253E-2</v>
      </c>
      <c r="DA41" s="98">
        <v>0.21768707482993199</v>
      </c>
      <c r="DB41" s="98">
        <v>-0.1622746185852981</v>
      </c>
      <c r="DC41" s="98">
        <v>7.1309702674113851E-2</v>
      </c>
      <c r="DD41" s="98">
        <v>-0.23498419388830349</v>
      </c>
      <c r="DE41" s="98">
        <v>-0.12875536480686711</v>
      </c>
      <c r="DF41" s="98">
        <v>-1.820712898853338E-2</v>
      </c>
      <c r="DG41" s="98">
        <v>9.8039215686274161E-3</v>
      </c>
      <c r="DH41" s="98"/>
      <c r="DI41" s="98">
        <v>-0.13380281690140841</v>
      </c>
      <c r="DJ41" s="98">
        <v>-4.0916530278232388E-2</v>
      </c>
      <c r="DK41" s="98">
        <v>7.9700572435050576E-2</v>
      </c>
      <c r="DL41" s="98">
        <v>-6.386554621848739E-2</v>
      </c>
      <c r="DM41" s="98">
        <v>-4.0489642184557417E-2</v>
      </c>
      <c r="DN41" s="98">
        <v>0.18000000000000019</v>
      </c>
      <c r="DO41" s="98"/>
      <c r="DP41" s="98">
        <v>-9.9810848506849625E-2</v>
      </c>
      <c r="DQ41" s="98">
        <v>-5.084745762711862E-2</v>
      </c>
      <c r="DR41" s="98">
        <v>0.1030927835051547</v>
      </c>
      <c r="DS41" s="98">
        <v>-9.2939046469523334E-2</v>
      </c>
      <c r="DT41" s="98"/>
      <c r="DU41" s="98">
        <v>7.8805970149253834E-2</v>
      </c>
      <c r="DV41" s="98"/>
      <c r="DW41" s="98">
        <v>-0.17530631479736089</v>
      </c>
      <c r="DX41" s="98">
        <v>4.1753653444676084E-3</v>
      </c>
      <c r="DY41" s="98">
        <v>0.1144578313253013</v>
      </c>
      <c r="DZ41" s="98">
        <v>-6.5868263473053856E-2</v>
      </c>
      <c r="EA41" s="98">
        <v>-0.1379310344827587</v>
      </c>
      <c r="EB41" s="98">
        <v>8.5470085470085166E-3</v>
      </c>
      <c r="EC41" s="98">
        <v>0.1064814814814814</v>
      </c>
      <c r="ED41" s="98">
        <v>-0.1541884816753927</v>
      </c>
      <c r="EE41" s="98">
        <v>-7.2289156626507154E-3</v>
      </c>
      <c r="EF41" s="98">
        <v>0.20202020202020199</v>
      </c>
      <c r="EG41" s="98">
        <v>1.7636684303350861E-2</v>
      </c>
      <c r="EH41" s="98">
        <v>0.37597146133265391</v>
      </c>
      <c r="EI41" s="98">
        <v>9.0718220313992903E-2</v>
      </c>
      <c r="EJ41" s="98">
        <v>-4.8447925732521102E-2</v>
      </c>
      <c r="EK41" s="98">
        <v>-0.34817170111287771</v>
      </c>
      <c r="EL41" s="98">
        <v>2.34375E-2</v>
      </c>
      <c r="EM41" s="98">
        <v>-0.26315789473684209</v>
      </c>
      <c r="EN41" s="98">
        <v>5.6438050362757293E-2</v>
      </c>
      <c r="EO41" s="98">
        <v>1.1904761904761861E-2</v>
      </c>
    </row>
    <row r="42" spans="1:145" x14ac:dyDescent="0.25">
      <c r="A42">
        <v>2023</v>
      </c>
      <c r="B42">
        <v>7</v>
      </c>
      <c r="C42" s="98">
        <v>3.2733137296286692E-2</v>
      </c>
      <c r="D42" s="98">
        <v>3.856441469822558E-3</v>
      </c>
      <c r="E42" s="98">
        <v>-4.8216007714561249E-2</v>
      </c>
      <c r="F42" s="98">
        <v>0.5417867435158501</v>
      </c>
      <c r="G42" s="98"/>
      <c r="H42" s="98">
        <v>-0.10476190476190481</v>
      </c>
      <c r="I42" s="98">
        <v>8.7158089939731065E-2</v>
      </c>
      <c r="J42" s="98">
        <v>5.602923264311821E-2</v>
      </c>
      <c r="K42" s="98">
        <v>3.2258064516128997E-2</v>
      </c>
      <c r="L42" s="98">
        <v>-8.085106382978724E-2</v>
      </c>
      <c r="M42" s="98">
        <v>-2.3778562140070569E-2</v>
      </c>
      <c r="N42" s="98"/>
      <c r="O42" s="98">
        <v>-4.4705882352941262E-2</v>
      </c>
      <c r="P42" s="98">
        <v>0.32727272727272738</v>
      </c>
      <c r="Q42" s="98">
        <v>-3.0150753768844241E-2</v>
      </c>
      <c r="R42" s="98">
        <v>-4.0290088638195174E-3</v>
      </c>
      <c r="S42" s="98">
        <v>7.6775431861804133E-3</v>
      </c>
      <c r="T42" s="98">
        <v>4.9815498154981652E-2</v>
      </c>
      <c r="U42" s="98">
        <v>-1.0169491525423791E-2</v>
      </c>
      <c r="V42" s="98">
        <v>-0.1444174757281553</v>
      </c>
      <c r="W42" s="98">
        <v>-8.2887700534759357E-2</v>
      </c>
      <c r="X42" s="98">
        <v>9.198441413860281E-2</v>
      </c>
      <c r="Y42" s="98">
        <v>0.13124999999999989</v>
      </c>
      <c r="Z42" s="98">
        <v>0.1288461538461538</v>
      </c>
      <c r="AA42" s="98"/>
      <c r="AB42" s="98">
        <v>-1.8783212049416239E-2</v>
      </c>
      <c r="AC42" s="98">
        <v>8.8757396449705706E-3</v>
      </c>
      <c r="AD42" s="98">
        <v>-0.12718204488778051</v>
      </c>
      <c r="AE42" s="98">
        <v>0.1766784452296819</v>
      </c>
      <c r="AF42" s="98">
        <v>-9.2896174863388081E-2</v>
      </c>
      <c r="AG42" s="98">
        <v>-0.43978494623655912</v>
      </c>
      <c r="AH42" s="98">
        <v>4.4642857142856977E-2</v>
      </c>
      <c r="AI42" s="98">
        <v>1.345291479820632E-2</v>
      </c>
      <c r="AJ42" s="98">
        <v>-0.3125</v>
      </c>
      <c r="AK42" s="98">
        <v>0.11297071129707099</v>
      </c>
      <c r="AL42" s="98">
        <v>5.9097254536994097E-2</v>
      </c>
      <c r="AM42" s="98">
        <v>0.14516853932584259</v>
      </c>
      <c r="AN42" s="98">
        <v>-5.482263265904419E-2</v>
      </c>
      <c r="AO42" s="98">
        <v>3.4013605442176909E-2</v>
      </c>
      <c r="AP42" s="98">
        <v>0.11475409836065591</v>
      </c>
      <c r="AQ42" s="98"/>
      <c r="AR42" s="98">
        <v>-0.1750833333333334</v>
      </c>
      <c r="AS42" s="98">
        <v>-0.4370860927152318</v>
      </c>
      <c r="AT42" s="98">
        <v>-0.1795407098121086</v>
      </c>
      <c r="AU42" s="98">
        <v>0.21383647798742131</v>
      </c>
      <c r="AV42" s="98">
        <v>-0.30707070707070699</v>
      </c>
      <c r="AW42" s="98">
        <v>0.1998011928429424</v>
      </c>
      <c r="AX42" s="98">
        <v>-7.2023517883390453E-2</v>
      </c>
      <c r="AY42" s="98">
        <v>-0.18991097922848649</v>
      </c>
      <c r="AZ42" s="98">
        <v>0.37826685006877581</v>
      </c>
      <c r="BA42" s="98">
        <v>0.1294964028776979</v>
      </c>
      <c r="BB42" s="98">
        <v>-0.19197707736389691</v>
      </c>
      <c r="BC42" s="98">
        <v>-1.8181818181818191E-2</v>
      </c>
      <c r="BD42" s="98">
        <v>-5.9354838709677393E-2</v>
      </c>
      <c r="BE42" s="98">
        <v>-0.1012658227848101</v>
      </c>
      <c r="BF42" s="98">
        <v>0.43678160919540238</v>
      </c>
      <c r="BG42" s="98">
        <v>0.15757575757575751</v>
      </c>
      <c r="BH42" s="98">
        <v>0.10830172777075429</v>
      </c>
      <c r="BI42" s="98"/>
      <c r="BJ42" s="98">
        <v>-0.24285714285714291</v>
      </c>
      <c r="BK42" s="98">
        <v>-0.13</v>
      </c>
      <c r="BL42" s="98">
        <v>5.1150895140665842E-3</v>
      </c>
      <c r="BM42" s="98">
        <v>0.15966386554621839</v>
      </c>
      <c r="BN42" s="98"/>
      <c r="BO42" s="98">
        <v>5.9050064184852369E-2</v>
      </c>
      <c r="BP42" s="98">
        <v>-0.21493902439024379</v>
      </c>
      <c r="BQ42" s="98">
        <v>6.4414768263943545E-2</v>
      </c>
      <c r="BR42" s="98">
        <v>-2.304147465437723E-3</v>
      </c>
      <c r="BS42" s="98">
        <v>-2.3373341756159131E-2</v>
      </c>
      <c r="BT42" s="98">
        <v>-9.3457943925233655E-3</v>
      </c>
      <c r="BU42" s="98"/>
      <c r="BV42" s="98">
        <v>0.25775193798449608</v>
      </c>
      <c r="BW42" s="98">
        <v>5.2028716624989757E-2</v>
      </c>
      <c r="BX42" s="98">
        <v>1.2143336920349629E-2</v>
      </c>
      <c r="BY42" s="98"/>
      <c r="BZ42" s="98">
        <v>-7.2950692176077192E-2</v>
      </c>
      <c r="CA42" s="98">
        <v>0.14131178967547589</v>
      </c>
      <c r="CB42" s="98">
        <v>-7.1705963938973438E-2</v>
      </c>
      <c r="CC42" s="98">
        <v>-3.0768888728679559E-2</v>
      </c>
      <c r="CD42" s="98">
        <v>-1.3888888888888951E-2</v>
      </c>
      <c r="CE42" s="98">
        <v>-1.656050955414012E-2</v>
      </c>
      <c r="CF42" s="98">
        <v>-0.21654501216545019</v>
      </c>
      <c r="CG42" s="98"/>
      <c r="CH42" s="98"/>
      <c r="CI42" s="98"/>
      <c r="CJ42" s="98">
        <v>-7.5742800090690343E-2</v>
      </c>
      <c r="CK42" s="98">
        <v>-6.8997607019409823E-2</v>
      </c>
      <c r="CL42" s="98">
        <v>-6.8497913769123731E-2</v>
      </c>
      <c r="CM42" s="98"/>
      <c r="CN42" s="98">
        <v>-0.19317476732161329</v>
      </c>
      <c r="CO42" s="98">
        <v>0.3</v>
      </c>
      <c r="CP42" s="98">
        <v>2.7777777777777901E-2</v>
      </c>
      <c r="CQ42" s="98">
        <v>-0.1201550387596899</v>
      </c>
      <c r="CR42" s="98">
        <v>5.6223967887433217E-2</v>
      </c>
      <c r="CS42" s="98">
        <v>-0.20036764705882371</v>
      </c>
      <c r="CT42" s="98">
        <v>-2.0325203252032579E-2</v>
      </c>
      <c r="CU42" s="98">
        <v>-5.307262569832405E-2</v>
      </c>
      <c r="CV42" s="98">
        <v>5.6938926360528441E-2</v>
      </c>
      <c r="CW42" s="98">
        <v>9.725727746929147E-2</v>
      </c>
      <c r="CX42" s="98">
        <v>-9.2837534314948789E-2</v>
      </c>
      <c r="CY42" s="98">
        <v>-0.115577889447236</v>
      </c>
      <c r="CZ42" s="98">
        <v>-5.7694916276055386E-3</v>
      </c>
      <c r="DA42" s="98">
        <v>6.2150837988826917E-2</v>
      </c>
      <c r="DB42" s="98">
        <v>-1.5452538631346661E-2</v>
      </c>
      <c r="DC42" s="98">
        <v>7.9235505355110147E-2</v>
      </c>
      <c r="DD42" s="98">
        <v>2.7548209366392569E-3</v>
      </c>
      <c r="DE42" s="98">
        <v>0.97536945812807896</v>
      </c>
      <c r="DF42" s="98">
        <v>-1.119402985074636E-2</v>
      </c>
      <c r="DG42" s="98">
        <v>3.8834951456310662E-2</v>
      </c>
      <c r="DH42" s="98"/>
      <c r="DI42" s="98">
        <v>6.5040650406504197E-2</v>
      </c>
      <c r="DJ42" s="98">
        <v>-0.19112627986348121</v>
      </c>
      <c r="DK42" s="98">
        <v>-0.10358890701468181</v>
      </c>
      <c r="DL42" s="98">
        <v>-1.795332136445249E-2</v>
      </c>
      <c r="DM42" s="98">
        <v>-0.1727183513248283</v>
      </c>
      <c r="DN42" s="98">
        <v>0</v>
      </c>
      <c r="DO42" s="98"/>
      <c r="DP42" s="98">
        <v>0.1366231561073967</v>
      </c>
      <c r="DQ42" s="98">
        <v>-0.16964285714285721</v>
      </c>
      <c r="DR42" s="98">
        <v>9.3457943925234765E-3</v>
      </c>
      <c r="DS42" s="98">
        <v>2.0958083832335331E-2</v>
      </c>
      <c r="DT42" s="98"/>
      <c r="DU42" s="98">
        <v>0.21804095185390149</v>
      </c>
      <c r="DV42" s="98"/>
      <c r="DW42" s="98">
        <v>-0.17485714285714291</v>
      </c>
      <c r="DX42" s="98">
        <v>0.47401247401247398</v>
      </c>
      <c r="DY42" s="98">
        <v>-7.2072072072072113E-2</v>
      </c>
      <c r="DZ42" s="98">
        <v>0.62179487179487158</v>
      </c>
      <c r="EA42" s="98">
        <v>-3.3333333333333333E-2</v>
      </c>
      <c r="EB42" s="98">
        <v>-0.1186440677966102</v>
      </c>
      <c r="EC42" s="98">
        <v>-4.1841004184101083E-3</v>
      </c>
      <c r="ED42" s="98">
        <v>-5.137728257505414E-2</v>
      </c>
      <c r="EE42" s="98">
        <v>-1.4563106796116609E-2</v>
      </c>
      <c r="EF42" s="98">
        <v>5.8823529411764719E-2</v>
      </c>
      <c r="EG42" s="98">
        <v>1.2131715771230621E-2</v>
      </c>
      <c r="EH42" s="98">
        <v>-0.1759259259259259</v>
      </c>
      <c r="EI42" s="98">
        <v>5.5109765329296012E-2</v>
      </c>
      <c r="EJ42" s="98">
        <v>0.1295731707317074</v>
      </c>
      <c r="EK42" s="98">
        <v>0.13414634146341481</v>
      </c>
      <c r="EL42" s="98">
        <v>-3.8167938931298329E-3</v>
      </c>
      <c r="EM42" s="98">
        <v>3.5714285714285809E-2</v>
      </c>
      <c r="EN42" s="98">
        <v>9.4599912781730966E-2</v>
      </c>
      <c r="EO42" s="98">
        <v>-4.3137254901960742E-2</v>
      </c>
    </row>
    <row r="43" spans="1:145" x14ac:dyDescent="0.25">
      <c r="A43">
        <v>2023</v>
      </c>
      <c r="B43">
        <v>8</v>
      </c>
      <c r="C43" s="98">
        <v>-1.625209291842267E-2</v>
      </c>
      <c r="D43" s="98">
        <v>4.9630877013477903E-3</v>
      </c>
      <c r="E43" s="98">
        <v>-0.24214792299898669</v>
      </c>
      <c r="F43" s="98">
        <v>-0.45420560747663552</v>
      </c>
      <c r="G43" s="98"/>
      <c r="H43" s="98">
        <v>-0.5</v>
      </c>
      <c r="I43" s="98">
        <v>-8.0597014925373189E-2</v>
      </c>
      <c r="J43" s="98">
        <v>-0.1216015818091942</v>
      </c>
      <c r="K43" s="98">
        <v>0.27812500000000001</v>
      </c>
      <c r="L43" s="98">
        <v>0.29166666666666652</v>
      </c>
      <c r="M43" s="98">
        <v>0.22530922930542349</v>
      </c>
      <c r="N43" s="98"/>
      <c r="O43" s="98">
        <v>0.85221674876847309</v>
      </c>
      <c r="P43" s="98">
        <v>-0.25114155251141562</v>
      </c>
      <c r="Q43" s="98">
        <v>-1.5544041450777261E-2</v>
      </c>
      <c r="R43" s="98">
        <v>0.1411812297734629</v>
      </c>
      <c r="S43" s="98">
        <v>3.3809523809523963E-2</v>
      </c>
      <c r="T43" s="98">
        <v>-0.42355008787346232</v>
      </c>
      <c r="U43" s="98">
        <v>-0.23630136986301359</v>
      </c>
      <c r="V43" s="98">
        <v>-4.1843971631205679E-2</v>
      </c>
      <c r="W43" s="98">
        <v>-2.040816326530626E-2</v>
      </c>
      <c r="X43" s="98">
        <v>2.969287625844275E-2</v>
      </c>
      <c r="Y43" s="98">
        <v>-6.0773480662983492E-2</v>
      </c>
      <c r="Z43" s="98">
        <v>-0.26235093696763201</v>
      </c>
      <c r="AA43" s="98"/>
      <c r="AB43" s="98">
        <v>-8.6840139979061926E-3</v>
      </c>
      <c r="AC43" s="98">
        <v>-0.2756598240469208</v>
      </c>
      <c r="AD43" s="98">
        <v>-0.12854285714285721</v>
      </c>
      <c r="AE43" s="98">
        <v>-0.2282282282282283</v>
      </c>
      <c r="AF43" s="98">
        <v>-6.6265060240963791E-2</v>
      </c>
      <c r="AG43" s="98">
        <v>0.2324376199616123</v>
      </c>
      <c r="AH43" s="98">
        <v>-0.2222222222222221</v>
      </c>
      <c r="AI43" s="98">
        <v>-0.2433628318584071</v>
      </c>
      <c r="AJ43" s="98">
        <v>-6.3636363636363713E-2</v>
      </c>
      <c r="AK43" s="98">
        <v>0.1278195488721805</v>
      </c>
      <c r="AL43" s="98">
        <v>2.899824253075578E-2</v>
      </c>
      <c r="AM43" s="98">
        <v>0.2845368916797486</v>
      </c>
      <c r="AN43" s="98">
        <v>-0.50372208436724564</v>
      </c>
      <c r="AO43" s="98">
        <v>8.5526315789473673E-2</v>
      </c>
      <c r="AP43" s="98">
        <v>-7.9185520361990891E-2</v>
      </c>
      <c r="AQ43" s="98"/>
      <c r="AR43" s="98">
        <v>-7.849277704818669E-2</v>
      </c>
      <c r="AS43" s="98">
        <v>-9.4117647058823528E-2</v>
      </c>
      <c r="AT43" s="98">
        <v>-8.3567697870630675E-2</v>
      </c>
      <c r="AU43" s="98">
        <v>0.10880829015544061</v>
      </c>
      <c r="AV43" s="98">
        <v>-0.10787172011661809</v>
      </c>
      <c r="AW43" s="98">
        <v>1.0770505385252699E-2</v>
      </c>
      <c r="AX43" s="98">
        <v>-0.17529039070749741</v>
      </c>
      <c r="AY43" s="98">
        <v>-0.2087912087912088</v>
      </c>
      <c r="AZ43" s="98">
        <v>-1.297405189620748E-2</v>
      </c>
      <c r="BA43" s="98">
        <v>1.9108280254777069E-2</v>
      </c>
      <c r="BB43" s="98">
        <v>0.59574468085106402</v>
      </c>
      <c r="BC43" s="98">
        <v>-0.2339506172839507</v>
      </c>
      <c r="BD43" s="98">
        <v>-0.14266117969821679</v>
      </c>
      <c r="BE43" s="98">
        <v>-0.1126760563380282</v>
      </c>
      <c r="BF43" s="98">
        <v>-0.20719999999999991</v>
      </c>
      <c r="BG43" s="98">
        <v>0.44764397905759168</v>
      </c>
      <c r="BH43" s="98">
        <v>-0.19163498098859311</v>
      </c>
      <c r="BI43" s="98"/>
      <c r="BJ43" s="98">
        <v>-6.2893081761006275E-2</v>
      </c>
      <c r="BK43" s="98">
        <v>-0.16858237547892721</v>
      </c>
      <c r="BL43" s="98">
        <v>2.48798416737348E-2</v>
      </c>
      <c r="BM43" s="98">
        <v>-0.31295289855072461</v>
      </c>
      <c r="BN43" s="98"/>
      <c r="BO43" s="98">
        <v>4.7878787878787847E-2</v>
      </c>
      <c r="BP43" s="98">
        <v>-9.9029126213592389E-2</v>
      </c>
      <c r="BQ43" s="98">
        <v>-5.9040590405904148E-2</v>
      </c>
      <c r="BR43" s="98">
        <v>-7.8521939953810627E-2</v>
      </c>
      <c r="BS43" s="98">
        <v>-0.10219922380336351</v>
      </c>
      <c r="BT43" s="98">
        <v>-0.16981132075471711</v>
      </c>
      <c r="BU43" s="98"/>
      <c r="BV43" s="98">
        <v>-0.40677966101694918</v>
      </c>
      <c r="BW43" s="98">
        <v>9.9217911363288058E-2</v>
      </c>
      <c r="BX43" s="98">
        <v>-2.801110209185198E-2</v>
      </c>
      <c r="BY43" s="98"/>
      <c r="BZ43" s="98">
        <v>-0.1645973154362417</v>
      </c>
      <c r="CA43" s="98">
        <v>0.25962807438512292</v>
      </c>
      <c r="CB43" s="98">
        <v>-1.7331540415359451E-2</v>
      </c>
      <c r="CC43" s="98">
        <v>0.2217885201864824</v>
      </c>
      <c r="CD43" s="98">
        <v>-0.20523138832997981</v>
      </c>
      <c r="CE43" s="98">
        <v>-0.1101036269430051</v>
      </c>
      <c r="CF43" s="98">
        <v>8.0745341614906652E-2</v>
      </c>
      <c r="CG43" s="98"/>
      <c r="CH43" s="98"/>
      <c r="CI43" s="98"/>
      <c r="CJ43" s="98">
        <v>2.1847005937585932E-2</v>
      </c>
      <c r="CK43" s="98">
        <v>-0.17920891046694279</v>
      </c>
      <c r="CL43" s="98">
        <v>0.1104889884285178</v>
      </c>
      <c r="CM43" s="98"/>
      <c r="CN43" s="98">
        <v>-0.24352730069213011</v>
      </c>
      <c r="CO43" s="98">
        <v>-0.17692307692307699</v>
      </c>
      <c r="CP43" s="98">
        <v>-0.1135135135135136</v>
      </c>
      <c r="CQ43" s="98">
        <v>-0.1674008810572688</v>
      </c>
      <c r="CR43" s="98">
        <v>1.1554434052378101E-2</v>
      </c>
      <c r="CS43" s="98">
        <v>-0.20459770114942519</v>
      </c>
      <c r="CT43" s="98">
        <v>-1.2448132780082831E-2</v>
      </c>
      <c r="CU43" s="98">
        <v>-3.2448377581121068E-2</v>
      </c>
      <c r="CV43" s="98">
        <v>-3.6606420875494372E-2</v>
      </c>
      <c r="CW43" s="98">
        <v>-0.1055052905996012</v>
      </c>
      <c r="CX43" s="98">
        <v>-2.88858321870703E-2</v>
      </c>
      <c r="CY43" s="98">
        <v>-0.28636363636363638</v>
      </c>
      <c r="CZ43" s="98">
        <v>-1.885814250328199E-2</v>
      </c>
      <c r="DA43" s="98">
        <v>-5.3911900065746199E-2</v>
      </c>
      <c r="DB43" s="98">
        <v>-5.3811659192825163E-2</v>
      </c>
      <c r="DC43" s="98">
        <v>-3.7309301539573132E-2</v>
      </c>
      <c r="DD43" s="98">
        <v>-0.41208791208791212</v>
      </c>
      <c r="DE43" s="98">
        <v>-0.36408977556109717</v>
      </c>
      <c r="DF43" s="98">
        <v>-0.1132075471698113</v>
      </c>
      <c r="DG43" s="98">
        <v>-0.1121495327102805</v>
      </c>
      <c r="DH43" s="98"/>
      <c r="DI43" s="98">
        <v>0.29007633587786241</v>
      </c>
      <c r="DJ43" s="98">
        <v>-0.17510548523206751</v>
      </c>
      <c r="DK43" s="98">
        <v>-4.5950864422202087E-2</v>
      </c>
      <c r="DL43" s="98">
        <v>-0.47531992687385738</v>
      </c>
      <c r="DM43" s="98">
        <v>-8.8967971530249157E-2</v>
      </c>
      <c r="DN43" s="98">
        <v>0.19322033898305069</v>
      </c>
      <c r="DO43" s="98"/>
      <c r="DP43" s="98">
        <v>-0.2003473259635494</v>
      </c>
      <c r="DQ43" s="98">
        <v>-0.37849462365591391</v>
      </c>
      <c r="DR43" s="98">
        <v>-0.19212962962962979</v>
      </c>
      <c r="DS43" s="98">
        <v>3.7471489084392351E-2</v>
      </c>
      <c r="DT43" s="98"/>
      <c r="DU43" s="98">
        <v>-0.2044525215810995</v>
      </c>
      <c r="DV43" s="98"/>
      <c r="DW43" s="98">
        <v>-0.27008310249307488</v>
      </c>
      <c r="DX43" s="98">
        <v>-0.14386459802538781</v>
      </c>
      <c r="DY43" s="98">
        <v>0</v>
      </c>
      <c r="DZ43" s="98">
        <v>0.1699604743083005</v>
      </c>
      <c r="EA43" s="98">
        <v>-0.34379310344827579</v>
      </c>
      <c r="EB43" s="98">
        <v>-0.24423076923076931</v>
      </c>
      <c r="EC43" s="98">
        <v>-7.1428571428571397E-2</v>
      </c>
      <c r="ED43" s="98">
        <v>-0.16313213703099519</v>
      </c>
      <c r="EE43" s="98">
        <v>-6.6502463054187055E-2</v>
      </c>
      <c r="EF43" s="98">
        <v>-0.17460317460317451</v>
      </c>
      <c r="EG43" s="98">
        <v>-0.22089041095890419</v>
      </c>
      <c r="EH43" s="98">
        <v>-3.3707865168539297E-2</v>
      </c>
      <c r="EI43" s="98">
        <v>3.202960047557557E-2</v>
      </c>
      <c r="EJ43" s="98">
        <v>-9.5816464237516774E-2</v>
      </c>
      <c r="EK43" s="98">
        <v>-6.4516129032258229E-2</v>
      </c>
      <c r="EL43" s="98">
        <v>-0.13026819923371649</v>
      </c>
      <c r="EM43" s="98">
        <v>-0.20682758620689659</v>
      </c>
      <c r="EN43" s="98">
        <v>1.286602555174432E-2</v>
      </c>
      <c r="EO43" s="98">
        <v>3.8934426229508379E-2</v>
      </c>
    </row>
    <row r="44" spans="1:145" x14ac:dyDescent="0.25">
      <c r="A44">
        <v>2023</v>
      </c>
      <c r="B44">
        <v>9</v>
      </c>
      <c r="C44" s="98">
        <v>-4.7393125782894119E-2</v>
      </c>
      <c r="D44" s="98">
        <v>3.9864486669614063E-3</v>
      </c>
      <c r="E44" s="98">
        <v>-8.4224598930481398E-2</v>
      </c>
      <c r="F44" s="98">
        <v>-0.36531963470319628</v>
      </c>
      <c r="G44" s="98"/>
      <c r="H44" s="98">
        <v>-0.12340425531914891</v>
      </c>
      <c r="I44" s="98">
        <v>-0.1507421150278293</v>
      </c>
      <c r="J44" s="98">
        <v>-0.13731007315700619</v>
      </c>
      <c r="K44" s="98">
        <v>3.1784841075794601E-2</v>
      </c>
      <c r="L44" s="98">
        <v>9.4982078853046659E-2</v>
      </c>
      <c r="M44" s="98">
        <v>-9.8307190557540003E-2</v>
      </c>
      <c r="N44" s="98"/>
      <c r="O44" s="98">
        <v>6.9148936170212671E-2</v>
      </c>
      <c r="P44" s="98">
        <v>-6.7073170731707266E-2</v>
      </c>
      <c r="Q44" s="98">
        <v>-0.231578947368421</v>
      </c>
      <c r="R44" s="98">
        <v>-0.303792981212336</v>
      </c>
      <c r="S44" s="98">
        <v>-2.3030861354215171E-3</v>
      </c>
      <c r="T44" s="98">
        <v>-0.21951219512195119</v>
      </c>
      <c r="U44" s="98">
        <v>-9.4170403587443885E-2</v>
      </c>
      <c r="V44" s="98">
        <v>-0.2376017764618801</v>
      </c>
      <c r="W44" s="98">
        <v>-0.1071428571428571</v>
      </c>
      <c r="X44" s="98">
        <v>-0.13502475247524751</v>
      </c>
      <c r="Y44" s="98">
        <v>0.58823529411764719</v>
      </c>
      <c r="Z44" s="98">
        <v>1.270207852193983E-2</v>
      </c>
      <c r="AA44" s="98"/>
      <c r="AB44" s="98">
        <v>-5.8556003660620193E-2</v>
      </c>
      <c r="AC44" s="98">
        <v>3.6437246963562757E-2</v>
      </c>
      <c r="AD44" s="98">
        <v>-0.12806137503688411</v>
      </c>
      <c r="AE44" s="98">
        <v>-0.34630350194552528</v>
      </c>
      <c r="AF44" s="98">
        <v>-7.0967741935483941E-2</v>
      </c>
      <c r="AG44" s="98">
        <v>0.10418937860146379</v>
      </c>
      <c r="AH44" s="98">
        <v>-4.4065934065934058E-2</v>
      </c>
      <c r="AI44" s="98">
        <v>-0.33333333333333343</v>
      </c>
      <c r="AJ44" s="98">
        <v>0.46601941747572823</v>
      </c>
      <c r="AK44" s="98">
        <v>-0.37666666666666659</v>
      </c>
      <c r="AL44" s="98">
        <v>-4.5687446626814683E-2</v>
      </c>
      <c r="AM44" s="98">
        <v>-0.16758325695080961</v>
      </c>
      <c r="AN44" s="98">
        <v>-7.5000000000000067E-2</v>
      </c>
      <c r="AO44" s="98">
        <v>0.1454545454545455</v>
      </c>
      <c r="AP44" s="98">
        <v>-9.0909090909090939E-2</v>
      </c>
      <c r="AQ44" s="98"/>
      <c r="AR44" s="98">
        <v>-0.249725937294453</v>
      </c>
      <c r="AS44" s="98">
        <v>-0.1167532467532468</v>
      </c>
      <c r="AT44" s="98">
        <v>-0.32514978810463258</v>
      </c>
      <c r="AU44" s="98">
        <v>0.28037383177570102</v>
      </c>
      <c r="AV44" s="98">
        <v>-0.18627450980392149</v>
      </c>
      <c r="AW44" s="98">
        <v>-7.8688524590163844E-2</v>
      </c>
      <c r="AX44" s="98">
        <v>-0.12548015364916759</v>
      </c>
      <c r="AY44" s="98">
        <v>0.1018518518518521</v>
      </c>
      <c r="AZ44" s="98">
        <v>-7.5834175935288184E-2</v>
      </c>
      <c r="BA44" s="98">
        <v>-0.38750000000000012</v>
      </c>
      <c r="BB44" s="98">
        <v>-7.3333333333333361E-2</v>
      </c>
      <c r="BC44" s="98">
        <v>0.1120064464141821</v>
      </c>
      <c r="BD44" s="98">
        <v>-8.3199999999999941E-2</v>
      </c>
      <c r="BE44" s="98">
        <v>-0.12169312169312151</v>
      </c>
      <c r="BF44" s="98">
        <v>-0.19374369323915239</v>
      </c>
      <c r="BG44" s="98">
        <v>-0.19710669077757681</v>
      </c>
      <c r="BH44" s="98">
        <v>-5.4562558795860798E-2</v>
      </c>
      <c r="BI44" s="98"/>
      <c r="BJ44" s="98">
        <v>-0.33020134228187908</v>
      </c>
      <c r="BK44" s="98">
        <v>-0.29940092165898607</v>
      </c>
      <c r="BL44" s="98">
        <v>-9.5999999999999863E-2</v>
      </c>
      <c r="BM44" s="98">
        <v>-5.2735662491760087E-2</v>
      </c>
      <c r="BN44" s="98"/>
      <c r="BO44" s="98">
        <v>3.9039907460960199E-2</v>
      </c>
      <c r="BP44" s="98">
        <v>-6.6810344827586077E-2</v>
      </c>
      <c r="BQ44" s="98">
        <v>1.882352941176468E-2</v>
      </c>
      <c r="BR44" s="98">
        <v>-0.16040100250626571</v>
      </c>
      <c r="BS44" s="98">
        <v>-6.1779538904899178E-2</v>
      </c>
      <c r="BT44" s="98">
        <v>-8.9772727272727226E-2</v>
      </c>
      <c r="BU44" s="98"/>
      <c r="BV44" s="98">
        <v>-0.32467532467532467</v>
      </c>
      <c r="BW44" s="98">
        <v>-9.7098214285714413E-2</v>
      </c>
      <c r="BX44" s="98">
        <v>-3.6677468841625593E-2</v>
      </c>
      <c r="BY44" s="98"/>
      <c r="BZ44" s="98">
        <v>0.14018879293030739</v>
      </c>
      <c r="CA44" s="98">
        <v>-4.7623583198399877E-2</v>
      </c>
      <c r="CB44" s="98">
        <v>-8.894632811312142E-2</v>
      </c>
      <c r="CC44" s="98">
        <v>-3.080105902564156E-2</v>
      </c>
      <c r="CD44" s="98">
        <v>-0.24556962025316459</v>
      </c>
      <c r="CE44" s="98">
        <v>-7.7147016011644864E-2</v>
      </c>
      <c r="CF44" s="98">
        <v>0.1235632183908046</v>
      </c>
      <c r="CG44" s="98"/>
      <c r="CH44" s="98"/>
      <c r="CI44" s="98"/>
      <c r="CJ44" s="98">
        <v>-4.8959975318997102E-2</v>
      </c>
      <c r="CK44" s="98">
        <v>-0.21711899791231731</v>
      </c>
      <c r="CL44" s="98">
        <v>1.008403361344667E-3</v>
      </c>
      <c r="CM44" s="98"/>
      <c r="CN44" s="98">
        <v>-0.1189427312775331</v>
      </c>
      <c r="CO44" s="98">
        <v>-0.20560747663551401</v>
      </c>
      <c r="CP44" s="98">
        <v>-0.1829268292682926</v>
      </c>
      <c r="CQ44" s="98">
        <v>-0.16931216931216919</v>
      </c>
      <c r="CR44" s="98">
        <v>-0.20947225434401681</v>
      </c>
      <c r="CS44" s="98">
        <v>-0.15606936416184969</v>
      </c>
      <c r="CT44" s="98">
        <v>3.3613445378151141E-2</v>
      </c>
      <c r="CU44" s="98">
        <v>-0.20426829268292679</v>
      </c>
      <c r="CV44" s="98">
        <v>-7.6403067011478698E-2</v>
      </c>
      <c r="CW44" s="98">
        <v>-1.954397394136809E-2</v>
      </c>
      <c r="CX44" s="98">
        <v>-0.13087818696883849</v>
      </c>
      <c r="CY44" s="98">
        <v>-0.20318471337579619</v>
      </c>
      <c r="CZ44" s="98">
        <v>-6.2463884107771372E-2</v>
      </c>
      <c r="DA44" s="98">
        <v>-0.27936066712995139</v>
      </c>
      <c r="DB44" s="98">
        <v>2.7251184834123251E-2</v>
      </c>
      <c r="DC44" s="98">
        <v>-8.7144037505258676E-2</v>
      </c>
      <c r="DD44" s="98">
        <v>2.1028037383177489E-2</v>
      </c>
      <c r="DE44" s="98">
        <v>-0.32160784313725488</v>
      </c>
      <c r="DF44" s="98">
        <v>-0.1361702127659575</v>
      </c>
      <c r="DG44" s="98">
        <v>-0.42763157894736847</v>
      </c>
      <c r="DH44" s="98"/>
      <c r="DI44" s="98">
        <v>-0.1124260355029586</v>
      </c>
      <c r="DJ44" s="98">
        <v>0.248081841432225</v>
      </c>
      <c r="DK44" s="98">
        <v>-0.206485455412494</v>
      </c>
      <c r="DL44" s="98">
        <v>-0.51219512195121952</v>
      </c>
      <c r="DM44" s="98">
        <v>-7.291666666666663E-2</v>
      </c>
      <c r="DN44" s="98">
        <v>-0.35227272727272729</v>
      </c>
      <c r="DO44" s="98"/>
      <c r="DP44" s="98">
        <v>0.14377787637484521</v>
      </c>
      <c r="DQ44" s="98">
        <v>-0.27335640138408301</v>
      </c>
      <c r="DR44" s="98">
        <v>-0.11530085959885381</v>
      </c>
      <c r="DS44" s="98">
        <v>-0.134108040201005</v>
      </c>
      <c r="DT44" s="98">
        <v>-0.47139081362954488</v>
      </c>
      <c r="DU44" s="98">
        <v>1.484865790976575E-2</v>
      </c>
      <c r="DV44" s="98"/>
      <c r="DW44" s="98">
        <v>-4.554079696394675E-2</v>
      </c>
      <c r="DX44" s="98">
        <v>5.2718286655683677E-2</v>
      </c>
      <c r="DY44" s="98">
        <v>-0.43689320388349517</v>
      </c>
      <c r="DZ44" s="98">
        <v>-0.19256756756756749</v>
      </c>
      <c r="EA44" s="98">
        <v>-0.37782448765107718</v>
      </c>
      <c r="EB44" s="98">
        <v>-9.4910941475826904E-2</v>
      </c>
      <c r="EC44" s="98">
        <v>-1.3574660633484109E-2</v>
      </c>
      <c r="ED44" s="98">
        <v>-7.6023391812865437E-2</v>
      </c>
      <c r="EE44" s="98">
        <v>-0.20316622691292871</v>
      </c>
      <c r="EF44" s="98">
        <v>-0.30865384615384622</v>
      </c>
      <c r="EG44" s="98">
        <v>-0.14615384615384619</v>
      </c>
      <c r="EH44" s="98">
        <v>-6.988372093023254E-2</v>
      </c>
      <c r="EI44" s="98">
        <v>-8.2797866740820902E-2</v>
      </c>
      <c r="EJ44" s="98">
        <v>3.6716417910447767E-2</v>
      </c>
      <c r="EK44" s="98">
        <v>-7.1264367816091911E-2</v>
      </c>
      <c r="EL44" s="98">
        <v>-0.18061674008810569</v>
      </c>
      <c r="EM44" s="98">
        <v>-0.1000782540648639</v>
      </c>
      <c r="EN44" s="98">
        <v>-8.6767034549583677E-2</v>
      </c>
      <c r="EO44" s="98">
        <v>-4.9309664694280109E-2</v>
      </c>
    </row>
    <row r="45" spans="1:145" x14ac:dyDescent="0.25">
      <c r="A45">
        <v>2023</v>
      </c>
      <c r="B45">
        <v>10</v>
      </c>
      <c r="C45" s="98">
        <v>-2.1708729088985801E-2</v>
      </c>
      <c r="D45" s="98">
        <v>4.3121660829477104E-3</v>
      </c>
      <c r="E45" s="98">
        <v>-0.27299270072992687</v>
      </c>
      <c r="F45" s="98">
        <v>-0.30573042195762451</v>
      </c>
      <c r="G45" s="98"/>
      <c r="H45" s="98">
        <v>-0.22233009708737861</v>
      </c>
      <c r="I45" s="98">
        <v>-0.10922992900054621</v>
      </c>
      <c r="J45" s="98">
        <v>-1.5655577299412912E-2</v>
      </c>
      <c r="K45" s="98">
        <v>-8.293838862559233E-2</v>
      </c>
      <c r="L45" s="98">
        <v>-0.27986906710310971</v>
      </c>
      <c r="M45" s="98">
        <v>6.3382707543920169E-2</v>
      </c>
      <c r="N45" s="98"/>
      <c r="O45" s="98">
        <v>-0.1032338308457711</v>
      </c>
      <c r="P45" s="98">
        <v>2.6143790849673328E-2</v>
      </c>
      <c r="Q45" s="98">
        <v>-0.15410958904109581</v>
      </c>
      <c r="R45" s="98">
        <v>-0.1792260692464358</v>
      </c>
      <c r="S45" s="98">
        <v>2.7700831024930479E-3</v>
      </c>
      <c r="T45" s="98">
        <v>-0.16015625</v>
      </c>
      <c r="U45" s="98">
        <v>-0.2277227722772277</v>
      </c>
      <c r="V45" s="98">
        <v>-4.2718446601941913E-2</v>
      </c>
      <c r="W45" s="98">
        <v>8.3333333333333259E-2</v>
      </c>
      <c r="X45" s="98">
        <v>-0.1088853913292317</v>
      </c>
      <c r="Y45" s="98">
        <v>1.188888888888884E-2</v>
      </c>
      <c r="Z45" s="98">
        <v>-0.46408209806157352</v>
      </c>
      <c r="AA45" s="98"/>
      <c r="AB45" s="98">
        <v>-0.10319343571547381</v>
      </c>
      <c r="AC45" s="98">
        <v>4.1015625E-2</v>
      </c>
      <c r="AD45" s="98">
        <v>-0.17277683775145691</v>
      </c>
      <c r="AE45" s="98">
        <v>-0.2321428571428571</v>
      </c>
      <c r="AF45" s="98">
        <v>-0.2222222222222221</v>
      </c>
      <c r="AG45" s="98">
        <v>-0.39351198871650211</v>
      </c>
      <c r="AH45" s="98">
        <v>-0.1670306931831245</v>
      </c>
      <c r="AI45" s="98">
        <v>0.81578947368421062</v>
      </c>
      <c r="AJ45" s="98">
        <v>-0.29801324503311261</v>
      </c>
      <c r="AK45" s="98">
        <v>-8.5561497326203328E-2</v>
      </c>
      <c r="AL45" s="98">
        <v>-2.639821029082778E-2</v>
      </c>
      <c r="AM45" s="98">
        <v>3.0647825289043858E-2</v>
      </c>
      <c r="AN45" s="98">
        <v>-0.37702702702702701</v>
      </c>
      <c r="AO45" s="98">
        <v>4.7619047619047672E-2</v>
      </c>
      <c r="AP45" s="98">
        <v>-5.9459459459459518E-2</v>
      </c>
      <c r="AQ45" s="98"/>
      <c r="AR45" s="98">
        <v>9.9649327878433835E-2</v>
      </c>
      <c r="AS45" s="98">
        <v>-0.35156594618438458</v>
      </c>
      <c r="AT45" s="98">
        <v>-7.3191857947163208E-2</v>
      </c>
      <c r="AU45" s="98">
        <v>0.23722627737226271</v>
      </c>
      <c r="AV45" s="98">
        <v>0.1044176706827309</v>
      </c>
      <c r="AW45" s="98">
        <v>-0.21619217081850531</v>
      </c>
      <c r="AX45" s="98">
        <v>-9.2972181551976507E-2</v>
      </c>
      <c r="AY45" s="98">
        <v>-0.26470588235294118</v>
      </c>
      <c r="AZ45" s="98">
        <v>-0.16849015317286661</v>
      </c>
      <c r="BA45" s="98">
        <v>-0.15428571428571419</v>
      </c>
      <c r="BB45" s="98">
        <v>1.199040767386084E-2</v>
      </c>
      <c r="BC45" s="98">
        <v>-0.15942028985507239</v>
      </c>
      <c r="BD45" s="98">
        <v>0.1169284467713787</v>
      </c>
      <c r="BE45" s="98">
        <v>-0.2168674698795181</v>
      </c>
      <c r="BF45" s="98">
        <v>-0.24655819774718399</v>
      </c>
      <c r="BG45" s="98">
        <v>-0.1801801801801802</v>
      </c>
      <c r="BH45" s="98">
        <v>-0.27263681592039812</v>
      </c>
      <c r="BI45" s="98"/>
      <c r="BJ45" s="98">
        <v>-6.4128256513026005E-2</v>
      </c>
      <c r="BK45" s="98">
        <v>-0.20081562849437609</v>
      </c>
      <c r="BL45" s="98">
        <v>-0.28166005492828822</v>
      </c>
      <c r="BM45" s="98">
        <v>-2.4356297842726971E-3</v>
      </c>
      <c r="BN45" s="98"/>
      <c r="BO45" s="98">
        <v>-0.16532145839131651</v>
      </c>
      <c r="BP45" s="98">
        <v>-6.9284064665126932E-2</v>
      </c>
      <c r="BQ45" s="98">
        <v>-4.4649730561970753E-2</v>
      </c>
      <c r="BR45" s="98">
        <v>-0.1492537313432836</v>
      </c>
      <c r="BS45" s="98">
        <v>-4.4730274524860891E-2</v>
      </c>
      <c r="BT45" s="98">
        <v>-0.18414481897627979</v>
      </c>
      <c r="BU45" s="98"/>
      <c r="BV45" s="98">
        <v>0.3307692307692307</v>
      </c>
      <c r="BW45" s="98">
        <v>-1.869592088998762E-2</v>
      </c>
      <c r="BX45" s="98">
        <v>-4.7575746357814253E-2</v>
      </c>
      <c r="BY45" s="98"/>
      <c r="BZ45" s="98">
        <v>3.9281310551347433E-2</v>
      </c>
      <c r="CA45" s="98">
        <v>0.38013801380138013</v>
      </c>
      <c r="CB45" s="98">
        <v>-0.1273364485981309</v>
      </c>
      <c r="CC45" s="98">
        <v>3.1277393437705303E-2</v>
      </c>
      <c r="CD45" s="98">
        <v>-0.14429530201342289</v>
      </c>
      <c r="CE45" s="98">
        <v>2.6813880126183021E-2</v>
      </c>
      <c r="CF45" s="98">
        <v>-0.24040920716112529</v>
      </c>
      <c r="CG45" s="98"/>
      <c r="CH45" s="98"/>
      <c r="CI45" s="98">
        <v>-0.58279569892473115</v>
      </c>
      <c r="CJ45" s="98">
        <v>-2.4289068297291831E-3</v>
      </c>
      <c r="CK45" s="98">
        <v>-0.2155555555555555</v>
      </c>
      <c r="CL45" s="98">
        <v>-0.21255876427132309</v>
      </c>
      <c r="CM45" s="98"/>
      <c r="CN45" s="98">
        <v>0.25</v>
      </c>
      <c r="CO45" s="98">
        <v>-0.1176470588235293</v>
      </c>
      <c r="CP45" s="98">
        <v>-0.2808955223880597</v>
      </c>
      <c r="CQ45" s="98">
        <v>-9.2356687898089151E-2</v>
      </c>
      <c r="CR45" s="98">
        <v>-0.1480431047148176</v>
      </c>
      <c r="CS45" s="98">
        <v>-0.59246575342465757</v>
      </c>
      <c r="CT45" s="98">
        <v>-8.1300813008130079E-2</v>
      </c>
      <c r="CU45" s="98">
        <v>-0.29885057471264359</v>
      </c>
      <c r="CV45" s="98">
        <v>-0.1448723616773919</v>
      </c>
      <c r="CW45" s="98">
        <v>3.7943696450428499E-2</v>
      </c>
      <c r="CX45" s="98">
        <v>-7.8878748370273755E-2</v>
      </c>
      <c r="CY45" s="98">
        <v>0.40287769784172661</v>
      </c>
      <c r="CZ45" s="98">
        <v>-7.8685682455660433E-2</v>
      </c>
      <c r="DA45" s="98">
        <v>-0.10318225650916089</v>
      </c>
      <c r="DB45" s="98">
        <v>-0.15397923875432529</v>
      </c>
      <c r="DC45" s="98">
        <v>-0.1348975843296398</v>
      </c>
      <c r="DD45" s="98">
        <v>4.5766590389015871E-3</v>
      </c>
      <c r="DE45" s="98">
        <v>-0.17336262211688541</v>
      </c>
      <c r="DF45" s="98">
        <v>-6.8965517241379226E-2</v>
      </c>
      <c r="DG45" s="98">
        <v>-9.885057471264358E-2</v>
      </c>
      <c r="DH45" s="98"/>
      <c r="DI45" s="98">
        <v>-3.3333333333332989E-3</v>
      </c>
      <c r="DJ45" s="98">
        <v>-3.8934426229508053E-2</v>
      </c>
      <c r="DK45" s="98">
        <v>0.21093749999999981</v>
      </c>
      <c r="DL45" s="98">
        <v>0.33571428571428591</v>
      </c>
      <c r="DM45" s="98">
        <v>-0.24859550561797761</v>
      </c>
      <c r="DN45" s="98">
        <v>-0.17105263157894729</v>
      </c>
      <c r="DO45" s="98"/>
      <c r="DP45" s="98">
        <v>-2.8562678644344589E-2</v>
      </c>
      <c r="DQ45" s="98">
        <v>-0.2857142857142857</v>
      </c>
      <c r="DR45" s="98">
        <v>-0.78883275035626377</v>
      </c>
      <c r="DS45" s="98">
        <v>-0.1349292709466812</v>
      </c>
      <c r="DT45" s="98">
        <v>-0.22567567567567559</v>
      </c>
      <c r="DU45" s="98">
        <v>-0.1986494091164884</v>
      </c>
      <c r="DV45" s="98"/>
      <c r="DW45" s="98">
        <v>4.5725646123260237E-2</v>
      </c>
      <c r="DX45" s="98">
        <v>1.5649452269170801E-3</v>
      </c>
      <c r="DY45" s="98">
        <v>-0.1034482758620688</v>
      </c>
      <c r="DZ45" s="98">
        <v>-0.2468619246861925</v>
      </c>
      <c r="EA45" s="98">
        <v>-0.28209459459459463</v>
      </c>
      <c r="EB45" s="98">
        <v>-0.1003654765251617</v>
      </c>
      <c r="EC45" s="98">
        <v>-0.1834862385321101</v>
      </c>
      <c r="ED45" s="98">
        <v>-0.15506329113924061</v>
      </c>
      <c r="EE45" s="98">
        <v>-0.29470198675496689</v>
      </c>
      <c r="EF45" s="98">
        <v>0.25577190542420047</v>
      </c>
      <c r="EG45" s="98">
        <v>-5.2767052767052618E-2</v>
      </c>
      <c r="EH45" s="98">
        <v>-6.8633579197399652E-2</v>
      </c>
      <c r="EI45" s="98">
        <v>-9.7353660913441775E-2</v>
      </c>
      <c r="EJ45" s="98">
        <v>-0.58479700547077451</v>
      </c>
      <c r="EK45" s="98">
        <v>-0.24504950495049499</v>
      </c>
      <c r="EL45" s="98">
        <v>-1.6129032258064498E-2</v>
      </c>
      <c r="EM45" s="98">
        <v>-0.42985507246376808</v>
      </c>
      <c r="EN45" s="98">
        <v>-9.5442140821133781E-2</v>
      </c>
      <c r="EO45" s="98">
        <v>-7.0539419087136901E-2</v>
      </c>
    </row>
    <row r="46" spans="1:145" x14ac:dyDescent="0.25">
      <c r="A46">
        <v>2023</v>
      </c>
      <c r="B46">
        <v>11</v>
      </c>
      <c r="C46" s="98">
        <v>9.1343985721153098E-2</v>
      </c>
      <c r="D46" s="98">
        <v>4.6781397762252208E-3</v>
      </c>
      <c r="E46" s="98">
        <v>-0.82435742971887549</v>
      </c>
      <c r="F46" s="98">
        <v>0.13471502590673581</v>
      </c>
      <c r="G46" s="98"/>
      <c r="H46" s="98">
        <v>0.31086142322097371</v>
      </c>
      <c r="I46" s="98">
        <v>-0.1318209687308399</v>
      </c>
      <c r="J46" s="98">
        <v>0.24409100949856399</v>
      </c>
      <c r="K46" s="98">
        <v>0.11369509043927641</v>
      </c>
      <c r="L46" s="98">
        <v>3.6363636363636147E-2</v>
      </c>
      <c r="M46" s="98">
        <v>-0.19322967282150949</v>
      </c>
      <c r="N46" s="98"/>
      <c r="O46" s="98">
        <v>0.2184466019417477</v>
      </c>
      <c r="P46" s="98">
        <v>0.43312101910828021</v>
      </c>
      <c r="Q46" s="98">
        <v>0.11740890688259099</v>
      </c>
      <c r="R46" s="98">
        <v>0.36290322580645151</v>
      </c>
      <c r="S46" s="98">
        <v>0</v>
      </c>
      <c r="T46" s="98">
        <v>-0.52558139534883719</v>
      </c>
      <c r="U46" s="98">
        <v>-7.6923076923076983E-2</v>
      </c>
      <c r="V46" s="98">
        <v>0.17038539553752541</v>
      </c>
      <c r="W46" s="98">
        <v>-7.999999999999996E-2</v>
      </c>
      <c r="X46" s="98">
        <v>8.3012202954399594E-2</v>
      </c>
      <c r="Y46" s="98">
        <v>-0.16181691738955381</v>
      </c>
      <c r="Z46" s="98">
        <v>-0.28804255319148941</v>
      </c>
      <c r="AA46" s="98"/>
      <c r="AB46" s="98">
        <v>-4.1725139149052737E-2</v>
      </c>
      <c r="AC46" s="98">
        <v>-6.3789868667917471E-2</v>
      </c>
      <c r="AD46" s="98">
        <v>0.88636363636363646</v>
      </c>
      <c r="AE46" s="98">
        <v>-0.25046511627906981</v>
      </c>
      <c r="AF46" s="98">
        <v>-8.9285714285713969E-3</v>
      </c>
      <c r="AG46" s="98">
        <v>-0.27093023255813958</v>
      </c>
      <c r="AH46" s="98">
        <v>0.39387248136903108</v>
      </c>
      <c r="AI46" s="98">
        <v>4.8309178743961567E-3</v>
      </c>
      <c r="AJ46" s="98">
        <v>-0.19811320754716991</v>
      </c>
      <c r="AK46" s="98">
        <v>0.1111111111111112</v>
      </c>
      <c r="AL46" s="98">
        <v>0.17784926470588219</v>
      </c>
      <c r="AM46" s="98">
        <v>-9.2948717948717952E-2</v>
      </c>
      <c r="AN46" s="98">
        <v>0.22668112798264639</v>
      </c>
      <c r="AO46" s="98">
        <v>-0.17171717171717171</v>
      </c>
      <c r="AP46" s="98">
        <v>-6.6091954022988508E-2</v>
      </c>
      <c r="AQ46" s="98"/>
      <c r="AR46" s="98">
        <v>2.4315705554079251E-2</v>
      </c>
      <c r="AS46" s="98">
        <v>4.3083900226757343E-2</v>
      </c>
      <c r="AT46" s="98">
        <v>-0.1822429906542056</v>
      </c>
      <c r="AU46" s="98">
        <v>0.25958702064896738</v>
      </c>
      <c r="AV46" s="98">
        <v>-0.77454545454545454</v>
      </c>
      <c r="AW46" s="98">
        <v>0.33711691259931881</v>
      </c>
      <c r="AX46" s="98">
        <v>-9.120258272800652E-2</v>
      </c>
      <c r="AY46" s="98">
        <v>-0.15428571428571439</v>
      </c>
      <c r="AZ46" s="98">
        <v>0.24605263157894749</v>
      </c>
      <c r="BA46" s="98">
        <v>0.60472972972972983</v>
      </c>
      <c r="BB46" s="98">
        <v>-0.1611374407582937</v>
      </c>
      <c r="BC46" s="98">
        <v>0.1185344827586208</v>
      </c>
      <c r="BD46" s="98">
        <v>-5.0000000000000037E-2</v>
      </c>
      <c r="BE46" s="98">
        <v>9.2307692307692202E-2</v>
      </c>
      <c r="BF46" s="98">
        <v>3.8205980066445162E-2</v>
      </c>
      <c r="BG46" s="98">
        <v>0.31868131868131871</v>
      </c>
      <c r="BH46" s="98">
        <v>-0.14637482900136789</v>
      </c>
      <c r="BI46" s="98"/>
      <c r="BJ46" s="98">
        <v>-0.31049250535331913</v>
      </c>
      <c r="BK46" s="98">
        <v>-7.8189300411522611E-2</v>
      </c>
      <c r="BL46" s="98">
        <v>0.23449447748513161</v>
      </c>
      <c r="BM46" s="98">
        <v>-0.35612138123474008</v>
      </c>
      <c r="BN46" s="98"/>
      <c r="BO46" s="98">
        <v>5.701900633544521E-2</v>
      </c>
      <c r="BP46" s="98">
        <v>-0.64019851116625315</v>
      </c>
      <c r="BQ46" s="98">
        <v>0.1160354552780016</v>
      </c>
      <c r="BR46" s="98">
        <v>7.0175438596491224E-2</v>
      </c>
      <c r="BS46" s="98">
        <v>0.23331993569131829</v>
      </c>
      <c r="BT46" s="98">
        <v>1.87681713848508</v>
      </c>
      <c r="BU46" s="98"/>
      <c r="BV46" s="98">
        <v>2.2543352601156249E-2</v>
      </c>
      <c r="BW46" s="98">
        <v>-6.9201700519603171E-2</v>
      </c>
      <c r="BX46" s="98">
        <v>5.0880864094143607E-2</v>
      </c>
      <c r="BY46" s="98"/>
      <c r="BZ46" s="98">
        <v>-0.1232203389830507</v>
      </c>
      <c r="CA46" s="98">
        <v>8.6956521739130599E-2</v>
      </c>
      <c r="CB46" s="98">
        <v>0.1151271753681393</v>
      </c>
      <c r="CC46" s="98">
        <v>6.8967774796512504E-2</v>
      </c>
      <c r="CD46" s="98">
        <v>-5.4901960784313641E-2</v>
      </c>
      <c r="CE46" s="98">
        <v>9.9846390168970789E-2</v>
      </c>
      <c r="CF46" s="98">
        <v>0.1144781144781144</v>
      </c>
      <c r="CG46" s="98"/>
      <c r="CH46" s="98"/>
      <c r="CI46" s="98">
        <v>0.82989690721649478</v>
      </c>
      <c r="CJ46" s="98">
        <v>-2.1421545115318801E-3</v>
      </c>
      <c r="CK46" s="98">
        <v>-0.14929178470254961</v>
      </c>
      <c r="CL46" s="98">
        <v>4.4776119402985197E-2</v>
      </c>
      <c r="CM46" s="98">
        <v>0.12179487179487181</v>
      </c>
      <c r="CN46" s="98">
        <v>5.8461538461538343E-2</v>
      </c>
      <c r="CO46" s="98">
        <v>0.1244444444444444</v>
      </c>
      <c r="CP46" s="98">
        <v>0.28684101286841002</v>
      </c>
      <c r="CQ46" s="98">
        <v>-0.12982456140350879</v>
      </c>
      <c r="CR46" s="98">
        <v>-0.21534343532799011</v>
      </c>
      <c r="CS46" s="98">
        <v>0.84033613445378164</v>
      </c>
      <c r="CT46" s="98">
        <v>0.1061946902654867</v>
      </c>
      <c r="CU46" s="98">
        <v>0.2131147540983607</v>
      </c>
      <c r="CV46" s="98">
        <v>-0.1109174988271564</v>
      </c>
      <c r="CW46" s="98">
        <v>-3.386118598382748E-2</v>
      </c>
      <c r="CX46" s="98">
        <v>-3.4677990092002897E-2</v>
      </c>
      <c r="CY46" s="98">
        <v>0.82336182336182362</v>
      </c>
      <c r="CZ46" s="98">
        <v>1.0829123796167741E-2</v>
      </c>
      <c r="DA46" s="98">
        <v>-0.2483870967741936</v>
      </c>
      <c r="DB46" s="98">
        <v>-5.3169734151329202E-2</v>
      </c>
      <c r="DC46" s="98">
        <v>0.111904862279488</v>
      </c>
      <c r="DD46" s="98">
        <v>0.15489749430523919</v>
      </c>
      <c r="DE46" s="98">
        <v>0.11888111888111901</v>
      </c>
      <c r="DF46" s="98">
        <v>8.9947089947089998E-2</v>
      </c>
      <c r="DG46" s="98">
        <v>1.020408163265296E-2</v>
      </c>
      <c r="DH46" s="98"/>
      <c r="DI46" s="98">
        <v>-0.17391304347826089</v>
      </c>
      <c r="DJ46" s="98">
        <v>-0.18336886993603421</v>
      </c>
      <c r="DK46" s="98">
        <v>3.3746898263027347E-2</v>
      </c>
      <c r="DL46" s="98">
        <v>-0.33155080213903743</v>
      </c>
      <c r="DM46" s="98">
        <v>1.6822429906542261E-2</v>
      </c>
      <c r="DN46" s="98">
        <v>-0.11111111111111099</v>
      </c>
      <c r="DO46" s="98"/>
      <c r="DP46" s="98">
        <v>6.4710703852377982E-2</v>
      </c>
      <c r="DQ46" s="98">
        <v>-0.73333333333333339</v>
      </c>
      <c r="DR46" s="98">
        <v>8.2208588957055184E-2</v>
      </c>
      <c r="DS46" s="98">
        <v>0.1425576519916143</v>
      </c>
      <c r="DT46" s="98">
        <v>8.2024432809773229E-2</v>
      </c>
      <c r="DU46" s="98">
        <v>0.160814606741573</v>
      </c>
      <c r="DV46" s="98"/>
      <c r="DW46" s="98">
        <v>-0.15399239543726231</v>
      </c>
      <c r="DX46" s="98">
        <v>0.328125</v>
      </c>
      <c r="DY46" s="98">
        <v>0.41346153846153832</v>
      </c>
      <c r="DZ46" s="98">
        <v>5.5555555555555358E-3</v>
      </c>
      <c r="EA46" s="98">
        <v>-0.3411764705882353</v>
      </c>
      <c r="EB46" s="98">
        <v>7.6562500000000089E-2</v>
      </c>
      <c r="EC46" s="98">
        <v>-0.3679775280898876</v>
      </c>
      <c r="ED46" s="98">
        <v>-0.15056179775280901</v>
      </c>
      <c r="EE46" s="98">
        <v>0.21126760563380301</v>
      </c>
      <c r="EF46" s="98">
        <v>5.7813711374459897E-2</v>
      </c>
      <c r="EG46" s="98">
        <v>0</v>
      </c>
      <c r="EH46" s="98">
        <v>-0.46335570469798659</v>
      </c>
      <c r="EI46" s="98">
        <v>4.4660101004042607E-2</v>
      </c>
      <c r="EJ46" s="98">
        <v>-0.85020804438280162</v>
      </c>
      <c r="EK46" s="98">
        <v>8.5245901639344313E-2</v>
      </c>
      <c r="EL46" s="98">
        <v>1.6393442622950841E-2</v>
      </c>
      <c r="EM46" s="98">
        <v>0.18607015760040671</v>
      </c>
      <c r="EN46" s="98">
        <v>0.1252866310257037</v>
      </c>
      <c r="EO46" s="98">
        <v>6.2499999999999778E-2</v>
      </c>
    </row>
    <row r="47" spans="1:145" x14ac:dyDescent="0.25">
      <c r="A47">
        <v>2023</v>
      </c>
      <c r="B47">
        <v>12</v>
      </c>
      <c r="C47" s="98">
        <v>4.5662305573322737E-2</v>
      </c>
      <c r="D47" s="98">
        <v>4.2783112419082503E-3</v>
      </c>
      <c r="E47" s="98">
        <v>0.2004115696810336</v>
      </c>
      <c r="F47" s="98">
        <v>-0.15068493150684931</v>
      </c>
      <c r="G47" s="98"/>
      <c r="H47" s="98">
        <v>0.32142857142857162</v>
      </c>
      <c r="I47" s="98">
        <v>3.9548022598870032E-2</v>
      </c>
      <c r="J47" s="98">
        <v>9.8188920454545414E-2</v>
      </c>
      <c r="K47" s="98">
        <v>0.40835266821345728</v>
      </c>
      <c r="L47" s="98">
        <v>6.1403508771929793E-2</v>
      </c>
      <c r="M47" s="98">
        <v>0.10700662517566741</v>
      </c>
      <c r="N47" s="98"/>
      <c r="O47" s="98">
        <v>0.16619237336368811</v>
      </c>
      <c r="P47" s="98">
        <v>-0.1022222222222222</v>
      </c>
      <c r="Q47" s="98">
        <v>1.449275362318847E-2</v>
      </c>
      <c r="R47" s="98">
        <v>0.87346381429221664</v>
      </c>
      <c r="S47" s="98">
        <v>2.7624309392266788E-3</v>
      </c>
      <c r="T47" s="98">
        <v>4.9019607843137303E-2</v>
      </c>
      <c r="U47" s="98">
        <v>0.68750000000000022</v>
      </c>
      <c r="V47" s="98">
        <v>0.22357019064124789</v>
      </c>
      <c r="W47" s="98">
        <v>2.0066889632106791E-2</v>
      </c>
      <c r="X47" s="98">
        <v>0.1799851742031133</v>
      </c>
      <c r="Y47" s="98">
        <v>0.240174672489083</v>
      </c>
      <c r="Z47" s="98">
        <v>-0.17219532604147991</v>
      </c>
      <c r="AA47" s="98"/>
      <c r="AB47" s="98">
        <v>3.9086238745180253E-2</v>
      </c>
      <c r="AC47" s="98">
        <v>-1.0020040080160331E-2</v>
      </c>
      <c r="AD47" s="98">
        <v>-0.31084337349397589</v>
      </c>
      <c r="AE47" s="98">
        <v>-0.23156479470472649</v>
      </c>
      <c r="AF47" s="98">
        <v>0.66666666666666652</v>
      </c>
      <c r="AG47" s="98">
        <v>0.22009569377990429</v>
      </c>
      <c r="AH47" s="98">
        <v>0.15841584158415831</v>
      </c>
      <c r="AI47" s="98">
        <v>-0.38942307692307693</v>
      </c>
      <c r="AJ47" s="98">
        <v>0.32941176470588229</v>
      </c>
      <c r="AK47" s="98">
        <v>-9.3578947368420984E-2</v>
      </c>
      <c r="AL47" s="98">
        <v>0.20093640265314081</v>
      </c>
      <c r="AM47" s="98">
        <v>0.27522575579112679</v>
      </c>
      <c r="AN47" s="98">
        <v>6.9849690539345755E-2</v>
      </c>
      <c r="AO47" s="98">
        <v>9.2500000000000027E-2</v>
      </c>
      <c r="AP47" s="98">
        <v>0.15692307692307689</v>
      </c>
      <c r="AQ47" s="98"/>
      <c r="AR47" s="98">
        <v>-1.867946555973532E-2</v>
      </c>
      <c r="AS47" s="98">
        <v>0.60847826086956514</v>
      </c>
      <c r="AT47" s="98">
        <v>-0.1171428571428571</v>
      </c>
      <c r="AU47" s="98">
        <v>0.3489461358313819</v>
      </c>
      <c r="AV47" s="98">
        <v>-4.8387096774193623E-2</v>
      </c>
      <c r="AW47" s="98">
        <v>0.26485568760611211</v>
      </c>
      <c r="AX47" s="98">
        <v>0.2291296625222026</v>
      </c>
      <c r="AY47" s="98">
        <v>-0.1216216216216216</v>
      </c>
      <c r="AZ47" s="98">
        <v>0.1119324181626187</v>
      </c>
      <c r="BA47" s="98">
        <v>1.24812030075188</v>
      </c>
      <c r="BB47" s="98">
        <v>0.2372881355932204</v>
      </c>
      <c r="BC47" s="98">
        <v>-0.19052023121387279</v>
      </c>
      <c r="BD47" s="98">
        <v>0.79934210526315774</v>
      </c>
      <c r="BE47" s="98">
        <v>0.46478873239436619</v>
      </c>
      <c r="BF47" s="98">
        <v>2.6976</v>
      </c>
      <c r="BG47" s="98">
        <v>0.40625</v>
      </c>
      <c r="BH47" s="98">
        <v>-7.0512820512820595E-2</v>
      </c>
      <c r="BI47" s="98"/>
      <c r="BJ47" s="98">
        <v>6.2111801242235032E-3</v>
      </c>
      <c r="BK47" s="98">
        <v>0.28571428571428559</v>
      </c>
      <c r="BL47" s="98">
        <v>0.1114934618031658</v>
      </c>
      <c r="BM47" s="98">
        <v>0.21343445287107249</v>
      </c>
      <c r="BN47" s="98"/>
      <c r="BO47" s="98">
        <v>-0.1164037854889589</v>
      </c>
      <c r="BP47" s="98">
        <v>0.35862068965517252</v>
      </c>
      <c r="BQ47" s="98">
        <v>0.1581227436823105</v>
      </c>
      <c r="BR47" s="98">
        <v>-1.311475409836071E-2</v>
      </c>
      <c r="BS47" s="98">
        <v>0.1670197164738472</v>
      </c>
      <c r="BT47" s="98">
        <v>4.7872340425531901E-2</v>
      </c>
      <c r="BU47" s="98"/>
      <c r="BV47" s="98">
        <v>-0.57207461842849072</v>
      </c>
      <c r="BW47" s="98">
        <v>4.0345090078660162E-2</v>
      </c>
      <c r="BX47" s="98">
        <v>1.344896434434029E-2</v>
      </c>
      <c r="BY47" s="98"/>
      <c r="BZ47" s="98">
        <v>9.8588826599650403E-3</v>
      </c>
      <c r="CA47" s="98">
        <v>-0.1666666666666666</v>
      </c>
      <c r="CB47" s="98">
        <v>0.22483279025896061</v>
      </c>
      <c r="CC47" s="98">
        <v>-1.373836342022983E-2</v>
      </c>
      <c r="CD47" s="98">
        <v>0.1576763485477177</v>
      </c>
      <c r="CE47" s="98">
        <v>0.68016759776536295</v>
      </c>
      <c r="CF47" s="98">
        <v>0.58308157099697899</v>
      </c>
      <c r="CG47" s="98"/>
      <c r="CH47" s="98"/>
      <c r="CI47" s="98">
        <v>-0.70422535211267601</v>
      </c>
      <c r="CJ47" s="98">
        <v>7.1553687160623713E-2</v>
      </c>
      <c r="CK47" s="98">
        <v>-0.3206793206793207</v>
      </c>
      <c r="CL47" s="98">
        <v>0.15306122448979581</v>
      </c>
      <c r="CM47" s="98">
        <v>0.39183673469387759</v>
      </c>
      <c r="CN47" s="98">
        <v>0.33720930232558127</v>
      </c>
      <c r="CO47" s="98">
        <v>-8.3003952569169925E-2</v>
      </c>
      <c r="CP47" s="98">
        <v>0.217741935483871</v>
      </c>
      <c r="CQ47" s="98">
        <v>0.79838709677419351</v>
      </c>
      <c r="CR47" s="98">
        <v>0.27385047586285971</v>
      </c>
      <c r="CS47" s="98">
        <v>0.49315068493150682</v>
      </c>
      <c r="CT47" s="98">
        <v>3.2000000000000028E-2</v>
      </c>
      <c r="CU47" s="98">
        <v>4.0540540540540571E-2</v>
      </c>
      <c r="CV47" s="98">
        <v>0.20750145377011081</v>
      </c>
      <c r="CW47" s="98">
        <v>6.7480383609415773E-2</v>
      </c>
      <c r="CX47" s="98">
        <v>0.23680351906158359</v>
      </c>
      <c r="CY47" s="98">
        <v>-0.47718749999999999</v>
      </c>
      <c r="CZ47" s="98">
        <v>-5.5136948727840251E-2</v>
      </c>
      <c r="DA47" s="98">
        <v>0.30615164520743932</v>
      </c>
      <c r="DB47" s="98">
        <v>0.30381569474442038</v>
      </c>
      <c r="DC47" s="98">
        <v>5.6465122050419543E-2</v>
      </c>
      <c r="DD47" s="98">
        <v>-0.1084812623274163</v>
      </c>
      <c r="DE47" s="98">
        <v>-0.11875000000000011</v>
      </c>
      <c r="DF47" s="98">
        <v>-9.7087378640776656E-2</v>
      </c>
      <c r="DG47" s="98">
        <v>0.67676767676767668</v>
      </c>
      <c r="DH47" s="98"/>
      <c r="DI47" s="98">
        <v>0.67611336032388647</v>
      </c>
      <c r="DJ47" s="98">
        <v>0.3446475195822456</v>
      </c>
      <c r="DK47" s="98">
        <v>8.0652904464714625E-2</v>
      </c>
      <c r="DL47" s="98">
        <v>0.63200000000000012</v>
      </c>
      <c r="DM47" s="98">
        <v>0.1525735294117645</v>
      </c>
      <c r="DN47" s="98">
        <v>0.32738095238095227</v>
      </c>
      <c r="DO47" s="98"/>
      <c r="DP47" s="98">
        <v>3.1306750888274733E-2</v>
      </c>
      <c r="DQ47" s="98">
        <v>0.32291666666666669</v>
      </c>
      <c r="DR47" s="98">
        <v>2.2675736961451198E-2</v>
      </c>
      <c r="DS47" s="98">
        <v>6.2018348623853248E-2</v>
      </c>
      <c r="DT47" s="98">
        <v>0.64516129032258052</v>
      </c>
      <c r="DU47" s="98">
        <v>0.22504537205081651</v>
      </c>
      <c r="DV47" s="98"/>
      <c r="DW47" s="98">
        <v>0.45842696629213481</v>
      </c>
      <c r="DX47" s="98">
        <v>0.29058823529411781</v>
      </c>
      <c r="DY47" s="98">
        <v>0</v>
      </c>
      <c r="DZ47" s="98">
        <v>0.27071823204419881</v>
      </c>
      <c r="EA47" s="98">
        <v>-7.6071428571428568E-2</v>
      </c>
      <c r="EB47" s="98">
        <v>8.214804063860659E-2</v>
      </c>
      <c r="EC47" s="98">
        <v>0.1911111111111112</v>
      </c>
      <c r="ED47" s="98">
        <v>0.21252204585537909</v>
      </c>
      <c r="EE47" s="98">
        <v>-0.12790697674418611</v>
      </c>
      <c r="EF47" s="98">
        <v>-0.2461522353680243</v>
      </c>
      <c r="EG47" s="98">
        <v>0.98913043478260865</v>
      </c>
      <c r="EH47" s="98">
        <v>-0.19934767383691851</v>
      </c>
      <c r="EI47" s="98">
        <v>0.17974186436396189</v>
      </c>
      <c r="EJ47" s="98">
        <v>0.1435185185185186</v>
      </c>
      <c r="EK47" s="98">
        <v>-0.29607250755287012</v>
      </c>
      <c r="EL47" s="98">
        <v>0.26344086021505381</v>
      </c>
      <c r="EM47" s="98">
        <v>0.48592656093727687</v>
      </c>
      <c r="EN47" s="98">
        <v>0.117168095114685</v>
      </c>
      <c r="EO47" s="98">
        <v>0.37605042016806722</v>
      </c>
    </row>
    <row r="48" spans="1:145" x14ac:dyDescent="0.25">
      <c r="A48">
        <v>2024</v>
      </c>
      <c r="B48">
        <v>1</v>
      </c>
      <c r="C48" s="98">
        <v>1.592644401390508E-2</v>
      </c>
      <c r="D48" s="98">
        <v>4.2681931007004792E-3</v>
      </c>
      <c r="E48" s="98">
        <v>0.1047619047619046</v>
      </c>
      <c r="F48" s="98">
        <v>-0.38704301075268821</v>
      </c>
      <c r="G48" s="98"/>
      <c r="H48" s="98">
        <v>-3.9099099099099137E-2</v>
      </c>
      <c r="I48" s="98">
        <v>8.6956521739130377E-2</v>
      </c>
      <c r="J48" s="98">
        <v>-0.1372675828617623</v>
      </c>
      <c r="K48" s="98">
        <v>-0.1186161449752884</v>
      </c>
      <c r="L48" s="98">
        <v>6.4049586776859568E-2</v>
      </c>
      <c r="M48" s="98">
        <v>1.233224519405152E-2</v>
      </c>
      <c r="N48" s="98"/>
      <c r="O48" s="98">
        <v>-5.8077110785749057E-2</v>
      </c>
      <c r="P48" s="98">
        <v>0.18316831683168311</v>
      </c>
      <c r="Q48" s="98">
        <v>0</v>
      </c>
      <c r="R48" s="98">
        <v>8.2604470359572968E-3</v>
      </c>
      <c r="S48" s="98">
        <v>1.8365472910926159E-3</v>
      </c>
      <c r="T48" s="98">
        <v>-0.17514018691588781</v>
      </c>
      <c r="U48" s="98">
        <v>0.30452674897119342</v>
      </c>
      <c r="V48" s="98">
        <v>1.9121813031161668E-2</v>
      </c>
      <c r="W48" s="98">
        <v>0.36393442622950828</v>
      </c>
      <c r="X48" s="98">
        <v>0.13117225782133429</v>
      </c>
      <c r="Y48" s="98">
        <v>-3.8732394366197131E-2</v>
      </c>
      <c r="Z48" s="98">
        <v>-0.5198555956678701</v>
      </c>
      <c r="AA48" s="98"/>
      <c r="AB48" s="98">
        <v>-3.6572923371116173E-2</v>
      </c>
      <c r="AC48" s="98">
        <v>-0.23279352226720651</v>
      </c>
      <c r="AD48" s="98">
        <v>1.6013986013986019</v>
      </c>
      <c r="AE48" s="98">
        <v>-0.23876177658142661</v>
      </c>
      <c r="AF48" s="98">
        <v>0.2270270270270269</v>
      </c>
      <c r="AG48" s="98">
        <v>-0.59477124183006524</v>
      </c>
      <c r="AH48" s="98">
        <v>6.8376068376068355E-2</v>
      </c>
      <c r="AI48" s="98">
        <v>-0.80472440944881884</v>
      </c>
      <c r="AJ48" s="98">
        <v>-9.7345132743362761E-2</v>
      </c>
      <c r="AK48" s="98">
        <v>-7.676228080362324E-2</v>
      </c>
      <c r="AL48" s="98">
        <v>7.082521117608831E-2</v>
      </c>
      <c r="AM48" s="98">
        <v>-0.35036945812807868</v>
      </c>
      <c r="AN48" s="98">
        <v>-0.23966942148760331</v>
      </c>
      <c r="AO48" s="98">
        <v>0.16090863425796731</v>
      </c>
      <c r="AP48" s="98">
        <v>-0.21542553191489361</v>
      </c>
      <c r="AQ48" s="98"/>
      <c r="AR48" s="98">
        <v>-0.17911434236616</v>
      </c>
      <c r="AS48" s="98">
        <v>1.459791863765374</v>
      </c>
      <c r="AT48" s="98">
        <v>5.1779935275080742E-2</v>
      </c>
      <c r="AU48" s="98">
        <v>-0.15798611111111119</v>
      </c>
      <c r="AV48" s="98">
        <v>0.37644067796610181</v>
      </c>
      <c r="AW48" s="98">
        <v>-1.0738255033557079E-2</v>
      </c>
      <c r="AX48" s="98">
        <v>0.13439306358381509</v>
      </c>
      <c r="AY48" s="98">
        <v>-0.42923076923076919</v>
      </c>
      <c r="AZ48" s="98">
        <v>0.20512820512820509</v>
      </c>
      <c r="BA48" s="98">
        <v>-0.28428093645484948</v>
      </c>
      <c r="BB48" s="98">
        <v>6.6210045662100425E-2</v>
      </c>
      <c r="BC48" s="98">
        <v>-0.35256593354279731</v>
      </c>
      <c r="BD48" s="98">
        <v>0.62979890310786102</v>
      </c>
      <c r="BE48" s="98">
        <v>-0.12500000000000011</v>
      </c>
      <c r="BF48" s="98">
        <v>0.16529640848117699</v>
      </c>
      <c r="BG48" s="98">
        <v>6.9629629629629486E-2</v>
      </c>
      <c r="BH48" s="98">
        <v>0.30862068965517242</v>
      </c>
      <c r="BI48" s="98"/>
      <c r="BJ48" s="98">
        <v>-0.4135802469135802</v>
      </c>
      <c r="BK48" s="98">
        <v>-5.5555555555555469E-2</v>
      </c>
      <c r="BL48" s="98">
        <v>-2.3529411764705799E-2</v>
      </c>
      <c r="BM48" s="98">
        <v>-0.14910714285714291</v>
      </c>
      <c r="BN48" s="98"/>
      <c r="BO48" s="98">
        <v>3.5344519814351827E-2</v>
      </c>
      <c r="BP48" s="98">
        <v>-0.31979695431472083</v>
      </c>
      <c r="BQ48" s="98">
        <v>9.9750623441396957E-3</v>
      </c>
      <c r="BR48" s="98">
        <v>-0.12956810631229221</v>
      </c>
      <c r="BS48" s="98">
        <v>-5.9759843619100812E-2</v>
      </c>
      <c r="BT48" s="98">
        <v>-0.21827411167512689</v>
      </c>
      <c r="BU48" s="98">
        <v>-0.25862068965517238</v>
      </c>
      <c r="BV48" s="98">
        <v>-0.31638044914134739</v>
      </c>
      <c r="BW48" s="98">
        <v>-2.2764227642276809E-3</v>
      </c>
      <c r="BX48" s="98">
        <v>1.3780765851729271E-2</v>
      </c>
      <c r="BY48" s="98"/>
      <c r="BZ48" s="98">
        <v>5.7427258805512922E-2</v>
      </c>
      <c r="CA48" s="98">
        <v>0.19199999999999989</v>
      </c>
      <c r="CB48" s="98">
        <v>2.3522822738728522E-2</v>
      </c>
      <c r="CC48" s="98">
        <v>0.1075447168197097</v>
      </c>
      <c r="CD48" s="98">
        <v>0.39784946236559132</v>
      </c>
      <c r="CE48" s="98">
        <v>6.2344139650872821E-2</v>
      </c>
      <c r="CF48" s="98">
        <v>-0.13167938931297721</v>
      </c>
      <c r="CG48" s="98"/>
      <c r="CH48" s="98"/>
      <c r="CI48" s="98">
        <v>-0.10476190476190481</v>
      </c>
      <c r="CJ48" s="98">
        <v>0.1078701019758412</v>
      </c>
      <c r="CK48" s="98">
        <v>-0.15882352941176461</v>
      </c>
      <c r="CL48" s="98">
        <v>-4.0176991150442383E-2</v>
      </c>
      <c r="CM48" s="98">
        <v>-0.12609970674486801</v>
      </c>
      <c r="CN48" s="98">
        <v>-0.19565217391304329</v>
      </c>
      <c r="CO48" s="98">
        <v>0.125</v>
      </c>
      <c r="CP48" s="98">
        <v>7.2847682119205448E-2</v>
      </c>
      <c r="CQ48" s="98">
        <v>8.9686098654708557E-2</v>
      </c>
      <c r="CR48" s="98">
        <v>0.1546459031887841</v>
      </c>
      <c r="CS48" s="98">
        <v>-9.1743119266054496E-3</v>
      </c>
      <c r="CT48" s="98">
        <v>-2.3255813953488521E-2</v>
      </c>
      <c r="CU48" s="98">
        <v>0.29653679653679671</v>
      </c>
      <c r="CV48" s="98">
        <v>-6.6493654743113084E-2</v>
      </c>
      <c r="CW48" s="98">
        <v>5.2270499836655224E-3</v>
      </c>
      <c r="CX48" s="98">
        <v>-3.4084173088322463E-2</v>
      </c>
      <c r="CY48" s="98">
        <v>-0.64734010759115357</v>
      </c>
      <c r="CZ48" s="98">
        <v>-4.501221101838393E-2</v>
      </c>
      <c r="DA48" s="98">
        <v>-0.26615553121577218</v>
      </c>
      <c r="DB48" s="98">
        <v>-1.049144119271106E-2</v>
      </c>
      <c r="DC48" s="98">
        <v>-3.1059548201026739E-3</v>
      </c>
      <c r="DD48" s="98">
        <v>7.3008849557522071E-2</v>
      </c>
      <c r="DE48" s="98">
        <v>-0.14184397163120571</v>
      </c>
      <c r="DF48" s="98">
        <v>-6.9892473118279619E-2</v>
      </c>
      <c r="DG48" s="98">
        <v>4.2168674698795261E-2</v>
      </c>
      <c r="DH48" s="98"/>
      <c r="DI48" s="98">
        <v>-5.0724637681159312E-2</v>
      </c>
      <c r="DJ48" s="98">
        <v>-0.24660194174757291</v>
      </c>
      <c r="DK48" s="98">
        <v>6.397156819191463E-2</v>
      </c>
      <c r="DL48" s="98">
        <v>-0.1960784313725491</v>
      </c>
      <c r="DM48" s="98">
        <v>-0.21850079744816581</v>
      </c>
      <c r="DN48" s="98">
        <v>-7.623318385650224E-2</v>
      </c>
      <c r="DO48" s="98"/>
      <c r="DP48" s="98">
        <v>-0.1285840064311142</v>
      </c>
      <c r="DQ48" s="98">
        <v>-0.38188976377952749</v>
      </c>
      <c r="DR48" s="98">
        <v>2.6053215077605388E-2</v>
      </c>
      <c r="DS48" s="98">
        <v>-4.3538355217691782E-2</v>
      </c>
      <c r="DT48" s="98">
        <v>-0.72509803921568627</v>
      </c>
      <c r="DU48" s="98">
        <v>0.34518518518518498</v>
      </c>
      <c r="DV48" s="98"/>
      <c r="DW48" s="98">
        <v>-0.20184899845916801</v>
      </c>
      <c r="DX48" s="98">
        <v>-0.20966271649954429</v>
      </c>
      <c r="DY48" s="98">
        <v>0.41496598639455778</v>
      </c>
      <c r="DZ48" s="98">
        <v>-0.20434782608695651</v>
      </c>
      <c r="EA48" s="98">
        <v>-0.42017781213761118</v>
      </c>
      <c r="EB48" s="98">
        <v>-8.6641630901287625E-2</v>
      </c>
      <c r="EC48" s="98">
        <v>5.9701492537313383E-2</v>
      </c>
      <c r="ED48" s="98">
        <v>-0.30181818181818187</v>
      </c>
      <c r="EE48" s="98">
        <v>4.444444444444251E-3</v>
      </c>
      <c r="EF48" s="98">
        <v>-0.32263888888888881</v>
      </c>
      <c r="EG48" s="98">
        <v>-0.22814207650273219</v>
      </c>
      <c r="EH48" s="98">
        <v>3.0925258543558879E-2</v>
      </c>
      <c r="EI48" s="98">
        <v>8.6792746668743037E-2</v>
      </c>
      <c r="EJ48" s="98">
        <v>-0.14574898785425119</v>
      </c>
      <c r="EK48" s="98">
        <v>-0.26609442060085842</v>
      </c>
      <c r="EL48" s="98">
        <v>4.6808510638297829E-2</v>
      </c>
      <c r="EM48" s="98">
        <v>-0.24442307692307691</v>
      </c>
      <c r="EN48" s="98">
        <v>-4.6279193301290489E-2</v>
      </c>
      <c r="EO48" s="98">
        <v>-0.11603053435114501</v>
      </c>
    </row>
    <row r="49" spans="1:145" x14ac:dyDescent="0.25">
      <c r="A49">
        <v>2024</v>
      </c>
      <c r="B49">
        <v>2</v>
      </c>
      <c r="C49" s="98">
        <v>5.2187033163398899E-2</v>
      </c>
      <c r="D49" s="98">
        <v>4.4449672913147156E-3</v>
      </c>
      <c r="E49" s="98">
        <v>2.5862068965517349E-2</v>
      </c>
      <c r="F49" s="98">
        <v>0.78931672660292973</v>
      </c>
      <c r="G49" s="98"/>
      <c r="H49" s="98">
        <v>1.0438777423588981</v>
      </c>
      <c r="I49" s="98">
        <v>0.17812500000000009</v>
      </c>
      <c r="J49" s="98">
        <v>-0.12724887556221889</v>
      </c>
      <c r="K49" s="98">
        <v>3.1775700934579383E-2</v>
      </c>
      <c r="L49" s="98">
        <v>5.6310679611650587E-2</v>
      </c>
      <c r="M49" s="98">
        <v>0.21228950197061991</v>
      </c>
      <c r="N49" s="98"/>
      <c r="O49" s="98">
        <v>-0.84559585492227973</v>
      </c>
      <c r="P49" s="98">
        <v>0.5355648535564852</v>
      </c>
      <c r="Q49" s="98">
        <v>0.1000000000000001</v>
      </c>
      <c r="R49" s="98">
        <v>0.10795180722891561</v>
      </c>
      <c r="S49" s="98">
        <v>1.0082493125572739E-2</v>
      </c>
      <c r="T49" s="98">
        <v>1.472920915476905E-3</v>
      </c>
      <c r="U49" s="98">
        <v>0.21451104100946369</v>
      </c>
      <c r="V49" s="98">
        <v>-0.11188325225851289</v>
      </c>
      <c r="W49" s="98">
        <v>3.6057692307692069E-2</v>
      </c>
      <c r="X49" s="98">
        <v>-9.6079084749527977E-2</v>
      </c>
      <c r="Y49" s="98">
        <v>5.8608058608058622E-2</v>
      </c>
      <c r="Z49" s="98">
        <v>-0.37015037593984967</v>
      </c>
      <c r="AA49" s="98"/>
      <c r="AB49" s="98">
        <v>3.8468230628943001E-2</v>
      </c>
      <c r="AC49" s="98">
        <v>0.56992084432717682</v>
      </c>
      <c r="AD49" s="98">
        <v>-0.41129032258064518</v>
      </c>
      <c r="AE49" s="98">
        <v>0.50318246110325315</v>
      </c>
      <c r="AF49" s="98">
        <v>-8.8105726872246826E-2</v>
      </c>
      <c r="AG49" s="98">
        <v>-0.56612903225806455</v>
      </c>
      <c r="AH49" s="98">
        <v>0.1199999999999999</v>
      </c>
      <c r="AI49" s="98">
        <v>0.12096774193548381</v>
      </c>
      <c r="AJ49" s="98">
        <v>0.1176470588235292</v>
      </c>
      <c r="AK49" s="98">
        <v>-0.10062893081761019</v>
      </c>
      <c r="AL49" s="98">
        <v>0.1137742718446602</v>
      </c>
      <c r="AM49" s="98">
        <v>0.1137440758293837</v>
      </c>
      <c r="AN49" s="98">
        <v>-0.20652173913043481</v>
      </c>
      <c r="AO49" s="98">
        <v>2.403846153846145E-2</v>
      </c>
      <c r="AP49" s="98">
        <v>0.2</v>
      </c>
      <c r="AQ49" s="98"/>
      <c r="AR49" s="98">
        <v>0.2371980676328502</v>
      </c>
      <c r="AS49" s="98">
        <v>-0.61318681318681323</v>
      </c>
      <c r="AT49" s="98">
        <v>0.76615384615384619</v>
      </c>
      <c r="AU49" s="98">
        <v>-0.18556701030927819</v>
      </c>
      <c r="AV49" s="98">
        <v>0.2313754463735993</v>
      </c>
      <c r="AW49" s="98">
        <v>7.8018995929443724E-2</v>
      </c>
      <c r="AX49" s="98">
        <v>1.719745222929947E-2</v>
      </c>
      <c r="AY49" s="98">
        <v>0.95417789757412375</v>
      </c>
      <c r="AZ49" s="98">
        <v>0.16863672182821121</v>
      </c>
      <c r="BA49" s="98">
        <v>0.1728971962616821</v>
      </c>
      <c r="BB49" s="98">
        <v>-4.7109207708779348E-2</v>
      </c>
      <c r="BC49" s="98">
        <v>-2.661764705882352E-2</v>
      </c>
      <c r="BD49" s="98">
        <v>-8.41278743690409E-2</v>
      </c>
      <c r="BE49" s="98">
        <v>0.18956043956043961</v>
      </c>
      <c r="BF49" s="98">
        <v>1.0397326401782481E-2</v>
      </c>
      <c r="BG49" s="98">
        <v>0.41412742382271478</v>
      </c>
      <c r="BH49" s="98">
        <v>0.1699604743083005</v>
      </c>
      <c r="BI49" s="98"/>
      <c r="BJ49" s="98">
        <v>0.56315789473684208</v>
      </c>
      <c r="BK49" s="98">
        <v>-9.5588235294117752E-2</v>
      </c>
      <c r="BL49" s="98">
        <v>1.775523145212432E-2</v>
      </c>
      <c r="BM49" s="98">
        <v>0.13588667366211959</v>
      </c>
      <c r="BN49" s="98"/>
      <c r="BO49" s="98">
        <v>0.18827586206896571</v>
      </c>
      <c r="BP49" s="98">
        <v>6.7164179104477473E-2</v>
      </c>
      <c r="BQ49" s="98">
        <v>-5.6790123456790131E-2</v>
      </c>
      <c r="BR49" s="98">
        <v>-3.244274809160308E-2</v>
      </c>
      <c r="BS49" s="98">
        <v>3.237303237303224E-2</v>
      </c>
      <c r="BT49" s="98">
        <v>-0.1948051948051949</v>
      </c>
      <c r="BU49" s="98">
        <v>0.57848837209302317</v>
      </c>
      <c r="BV49" s="98">
        <v>-0.42995169082125612</v>
      </c>
      <c r="BW49" s="98">
        <v>-3.1127770534550181E-2</v>
      </c>
      <c r="BX49" s="98">
        <v>2.3327067226252881E-2</v>
      </c>
      <c r="BY49" s="98"/>
      <c r="BZ49" s="98">
        <v>0.21469949312092701</v>
      </c>
      <c r="CA49" s="98">
        <v>1.315436241610739</v>
      </c>
      <c r="CB49" s="98">
        <v>8.5499316005472004E-2</v>
      </c>
      <c r="CC49" s="98">
        <v>0.16939598065936151</v>
      </c>
      <c r="CD49" s="98">
        <v>-2.3076923076922991E-2</v>
      </c>
      <c r="CE49" s="98">
        <v>0.107981220657277</v>
      </c>
      <c r="CF49" s="98">
        <v>0.15604395604395591</v>
      </c>
      <c r="CG49" s="98"/>
      <c r="CH49" s="98"/>
      <c r="CI49" s="98">
        <v>6.9148936170212671E-2</v>
      </c>
      <c r="CJ49" s="98">
        <v>5.2741157335602702E-2</v>
      </c>
      <c r="CK49" s="98">
        <v>-0.14860139860139859</v>
      </c>
      <c r="CL49" s="98">
        <v>0.3092384289138852</v>
      </c>
      <c r="CM49" s="98">
        <v>0.18322147651006701</v>
      </c>
      <c r="CN49" s="98">
        <v>-2.972972972972987E-2</v>
      </c>
      <c r="CO49" s="98">
        <v>-3.0651340996168619E-2</v>
      </c>
      <c r="CP49" s="98">
        <v>0.15432098765432101</v>
      </c>
      <c r="CQ49" s="98">
        <v>1.069958847736626</v>
      </c>
      <c r="CR49" s="98">
        <v>6.1470697148648279E-2</v>
      </c>
      <c r="CS49" s="98">
        <v>0.38888888888888878</v>
      </c>
      <c r="CT49" s="98">
        <v>0.41269841269841279</v>
      </c>
      <c r="CU49" s="98">
        <v>9.8497495826377346E-2</v>
      </c>
      <c r="CV49" s="98">
        <v>0.19611177454024359</v>
      </c>
      <c r="CW49" s="98">
        <v>0.13064673383165409</v>
      </c>
      <c r="CX49" s="98">
        <v>-8.8063823258668461E-2</v>
      </c>
      <c r="CY49" s="98">
        <v>4.2372881355932313E-2</v>
      </c>
      <c r="CZ49" s="98">
        <v>-1.9203388833323509E-2</v>
      </c>
      <c r="DA49" s="98">
        <v>0.59701492537313428</v>
      </c>
      <c r="DB49" s="98">
        <v>-0.11439732142857149</v>
      </c>
      <c r="DC49" s="98">
        <v>-0.18142009975258211</v>
      </c>
      <c r="DD49" s="98">
        <v>-7.8350515463917469E-2</v>
      </c>
      <c r="DE49" s="98">
        <v>0.42148760330578511</v>
      </c>
      <c r="DF49" s="98">
        <v>0.1502890173410405</v>
      </c>
      <c r="DG49" s="98">
        <v>8.092485549132955E-2</v>
      </c>
      <c r="DH49" s="98"/>
      <c r="DI49" s="98">
        <v>0.55852417302798973</v>
      </c>
      <c r="DJ49" s="98">
        <v>-1.8041237113402001E-2</v>
      </c>
      <c r="DK49" s="98">
        <v>-4.0501043841336022E-2</v>
      </c>
      <c r="DL49" s="98">
        <v>0.38414634146341481</v>
      </c>
      <c r="DM49" s="98">
        <v>0.2285714285714284</v>
      </c>
      <c r="DN49" s="98">
        <v>-0.21359223300970881</v>
      </c>
      <c r="DO49" s="98"/>
      <c r="DP49" s="98">
        <v>6.7628712001405633E-2</v>
      </c>
      <c r="DQ49" s="98">
        <v>0.1458598726114648</v>
      </c>
      <c r="DR49" s="98">
        <v>-0.2058346839546191</v>
      </c>
      <c r="DS49" s="98">
        <v>7.2976878612716733E-2</v>
      </c>
      <c r="DT49" s="98">
        <v>-3.601997146932967E-2</v>
      </c>
      <c r="DU49" s="98">
        <v>0.40308370044052882</v>
      </c>
      <c r="DV49" s="98"/>
      <c r="DW49" s="98">
        <v>0.41312741312741319</v>
      </c>
      <c r="DX49" s="98">
        <v>0.16955017301038081</v>
      </c>
      <c r="DY49" s="98">
        <v>0.30769230769230771</v>
      </c>
      <c r="DZ49" s="98">
        <v>-5.464480874316946E-2</v>
      </c>
      <c r="EA49" s="98">
        <v>-0.23777777777777781</v>
      </c>
      <c r="EB49" s="98">
        <v>0.1585903083700442</v>
      </c>
      <c r="EC49" s="98">
        <v>1.056338028169014</v>
      </c>
      <c r="ED49" s="98">
        <v>0.30208333333333348</v>
      </c>
      <c r="EE49" s="98">
        <v>6.1946902654867353E-2</v>
      </c>
      <c r="EF49" s="98">
        <v>0.24072175517736311</v>
      </c>
      <c r="EG49" s="98">
        <v>-6.7256637168141675E-2</v>
      </c>
      <c r="EH49" s="98">
        <v>-7.5151515151515191E-2</v>
      </c>
      <c r="EI49" s="98">
        <v>5.09780038690264E-2</v>
      </c>
      <c r="EJ49" s="98">
        <v>2.3554502369668251</v>
      </c>
      <c r="EK49" s="98">
        <v>0.30409356725146203</v>
      </c>
      <c r="EL49" s="98">
        <v>0.25</v>
      </c>
      <c r="EM49" s="98">
        <v>-0.14609315347416649</v>
      </c>
      <c r="EN49" s="98">
        <v>5.6014137934188968E-2</v>
      </c>
      <c r="EO49" s="98">
        <v>0.1640759930915372</v>
      </c>
    </row>
    <row r="50" spans="1:145" x14ac:dyDescent="0.25">
      <c r="A50">
        <v>2024</v>
      </c>
      <c r="B50">
        <v>3</v>
      </c>
      <c r="C50" s="98">
        <v>3.2723785751746171E-2</v>
      </c>
      <c r="D50" s="98">
        <v>4.1014947720869888E-3</v>
      </c>
      <c r="E50" s="98">
        <v>4.2016806722689148E-2</v>
      </c>
      <c r="F50" s="98">
        <v>-0.34803921568627449</v>
      </c>
      <c r="G50" s="98"/>
      <c r="H50" s="98">
        <v>1.412844036697247</v>
      </c>
      <c r="I50" s="98">
        <v>-0.84933687002652525</v>
      </c>
      <c r="J50" s="98">
        <v>-5.7118316512776553E-2</v>
      </c>
      <c r="K50" s="98">
        <v>9.7826086956521729E-2</v>
      </c>
      <c r="L50" s="98">
        <v>5.5147058823529438E-2</v>
      </c>
      <c r="M50" s="98">
        <v>2.157529185754381E-2</v>
      </c>
      <c r="N50" s="98"/>
      <c r="O50" s="98">
        <v>9.060402684563762E-2</v>
      </c>
      <c r="P50" s="98">
        <v>0.1607629427792916</v>
      </c>
      <c r="Q50" s="98">
        <v>-3.8961038961038967E-2</v>
      </c>
      <c r="R50" s="98">
        <v>-0.1022183558068724</v>
      </c>
      <c r="S50" s="98">
        <v>-4.5372050816683268E-4</v>
      </c>
      <c r="T50" s="98">
        <v>8.5303767394501628E-2</v>
      </c>
      <c r="U50" s="98">
        <v>-0.2883116883116883</v>
      </c>
      <c r="V50" s="98">
        <v>0.32159624413145549</v>
      </c>
      <c r="W50" s="98">
        <v>-6.2645011600927947E-2</v>
      </c>
      <c r="X50" s="98">
        <v>-1.9415089702629621E-2</v>
      </c>
      <c r="Y50" s="98">
        <v>5.1903114186851118E-2</v>
      </c>
      <c r="Z50" s="98">
        <v>0.83836695714456244</v>
      </c>
      <c r="AA50" s="98"/>
      <c r="AB50" s="98">
        <v>6.8571783176642143E-2</v>
      </c>
      <c r="AC50" s="98">
        <v>-2.521008403361347E-2</v>
      </c>
      <c r="AD50" s="98">
        <v>-5.0228310502283047E-2</v>
      </c>
      <c r="AE50" s="98">
        <v>7.0336391437308743E-2</v>
      </c>
      <c r="AF50" s="98">
        <v>-0.12077294685990329</v>
      </c>
      <c r="AG50" s="98">
        <v>-0.18215613382899629</v>
      </c>
      <c r="AH50" s="98">
        <v>9.2857142857142971E-2</v>
      </c>
      <c r="AI50" s="98">
        <v>0.30215827338129492</v>
      </c>
      <c r="AJ50" s="98">
        <v>0.2105263157894737</v>
      </c>
      <c r="AK50" s="98">
        <v>-2.0979020979021049E-2</v>
      </c>
      <c r="AL50" s="98">
        <v>5.7477526559520653E-2</v>
      </c>
      <c r="AM50" s="98">
        <v>7.1914893617021303E-2</v>
      </c>
      <c r="AN50" s="98">
        <v>1.671232876712336E-2</v>
      </c>
      <c r="AO50" s="98">
        <v>-0.21126760563380281</v>
      </c>
      <c r="AP50" s="98">
        <v>0.19774011299435029</v>
      </c>
      <c r="AQ50" s="98"/>
      <c r="AR50" s="98">
        <v>0.1679031628270207</v>
      </c>
      <c r="AS50" s="98">
        <v>-0.13352272727272729</v>
      </c>
      <c r="AT50" s="98">
        <v>-0.14599303135888511</v>
      </c>
      <c r="AU50" s="98">
        <v>-6.8354430379746867E-2</v>
      </c>
      <c r="AV50" s="98">
        <v>0.21</v>
      </c>
      <c r="AW50" s="98">
        <v>2.4543738200125901E-2</v>
      </c>
      <c r="AX50" s="98">
        <v>0.10144020037570441</v>
      </c>
      <c r="AY50" s="98">
        <v>-0.31034482758620691</v>
      </c>
      <c r="AZ50" s="98">
        <v>-5.5967633175994617E-2</v>
      </c>
      <c r="BA50" s="98">
        <v>6.7729083665338807E-2</v>
      </c>
      <c r="BB50" s="98">
        <v>-0.15730337078651691</v>
      </c>
      <c r="BC50" s="98">
        <v>-7.8410636047741344E-2</v>
      </c>
      <c r="BD50" s="98">
        <v>0.1169626454378445</v>
      </c>
      <c r="BE50" s="98">
        <v>-0.54457274826789837</v>
      </c>
      <c r="BF50" s="98">
        <v>-0.24035281146637269</v>
      </c>
      <c r="BG50" s="98">
        <v>-7.5416258570029537E-2</v>
      </c>
      <c r="BH50" s="98">
        <v>0.20045045045045029</v>
      </c>
      <c r="BI50" s="98"/>
      <c r="BJ50" s="98">
        <v>-0.16161616161616171</v>
      </c>
      <c r="BK50" s="98">
        <v>0.2357723577235773</v>
      </c>
      <c r="BL50" s="98">
        <v>4.6105919003115232E-2</v>
      </c>
      <c r="BM50" s="98">
        <v>0.22217090069284071</v>
      </c>
      <c r="BN50" s="98"/>
      <c r="BO50" s="98">
        <v>0.16076610562971561</v>
      </c>
      <c r="BP50" s="98">
        <v>-6.9930069930069783E-3</v>
      </c>
      <c r="BQ50" s="98">
        <v>-2.6178010471203939E-3</v>
      </c>
      <c r="BR50" s="98">
        <v>-0.2071005917159765</v>
      </c>
      <c r="BS50" s="98">
        <v>-4.60299194476399E-3</v>
      </c>
      <c r="BT50" s="98">
        <v>0.24193548387096769</v>
      </c>
      <c r="BU50" s="98">
        <v>-0.33885819521178639</v>
      </c>
      <c r="BV50" s="98">
        <v>0.52372881355932188</v>
      </c>
      <c r="BW50" s="98">
        <v>1.2783851976450711E-2</v>
      </c>
      <c r="BX50" s="98">
        <v>-1.9766731587817939E-2</v>
      </c>
      <c r="BY50" s="98"/>
      <c r="BZ50" s="98">
        <v>5.216095380029806E-2</v>
      </c>
      <c r="CA50" s="98">
        <v>5.2173913043478182E-2</v>
      </c>
      <c r="CB50" s="98">
        <v>-7.8764965343415261E-2</v>
      </c>
      <c r="CC50" s="98">
        <v>3.2215227615570718E-2</v>
      </c>
      <c r="CD50" s="98">
        <v>0.36482939632545941</v>
      </c>
      <c r="CE50" s="98">
        <v>4.1666666666666741E-2</v>
      </c>
      <c r="CF50" s="98">
        <v>0.18250950570342209</v>
      </c>
      <c r="CG50" s="98"/>
      <c r="CH50" s="98"/>
      <c r="CI50" s="98">
        <v>9.4527363184079727E-2</v>
      </c>
      <c r="CJ50" s="98">
        <v>4.4380957192552202E-2</v>
      </c>
      <c r="CK50" s="98">
        <v>-0.28338711254522342</v>
      </c>
      <c r="CL50" s="98">
        <v>0.31577464788732401</v>
      </c>
      <c r="CM50" s="98">
        <v>-0.22007941009642651</v>
      </c>
      <c r="CN50" s="98">
        <v>0.31448467966573829</v>
      </c>
      <c r="CO50" s="98">
        <v>0.78656126482213429</v>
      </c>
      <c r="CP50" s="98">
        <v>0.946524064171123</v>
      </c>
      <c r="CQ50" s="98">
        <v>-9.5427435387674064E-2</v>
      </c>
      <c r="CR50" s="98">
        <v>7.9840136116874572E-2</v>
      </c>
      <c r="CS50" s="98">
        <v>-0.23333333333333331</v>
      </c>
      <c r="CT50" s="98">
        <v>-0.1797752808988764</v>
      </c>
      <c r="CU50" s="98">
        <v>-0.1124620060790273</v>
      </c>
      <c r="CV50" s="98">
        <v>9.0732650176112983E-3</v>
      </c>
      <c r="CW50" s="98">
        <v>4.2828398965219838E-2</v>
      </c>
      <c r="CX50" s="98">
        <v>-1.6823687752355321E-2</v>
      </c>
      <c r="CY50" s="98">
        <v>-3.8617886178861638E-2</v>
      </c>
      <c r="CZ50" s="98">
        <v>4.4805425919483E-2</v>
      </c>
      <c r="DA50" s="98">
        <v>-7.4766355140186702E-3</v>
      </c>
      <c r="DB50" s="98">
        <v>-6.1121613106490107E-2</v>
      </c>
      <c r="DC50" s="98">
        <v>0.23721224042667169</v>
      </c>
      <c r="DD50" s="98">
        <v>0.44742729306487711</v>
      </c>
      <c r="DE50" s="98">
        <v>-0.13953488372093029</v>
      </c>
      <c r="DF50" s="98">
        <v>-0.12060301507537689</v>
      </c>
      <c r="DG50" s="98">
        <v>-0.16844919786096271</v>
      </c>
      <c r="DH50" s="98"/>
      <c r="DI50" s="98">
        <v>-0.24081632653061211</v>
      </c>
      <c r="DJ50" s="98">
        <v>-7.8740157480315931E-3</v>
      </c>
      <c r="DK50" s="98">
        <v>-0.1170583115752829</v>
      </c>
      <c r="DL50" s="98">
        <v>-0.29955947136563882</v>
      </c>
      <c r="DM50" s="98">
        <v>-0.16611295681063121</v>
      </c>
      <c r="DN50" s="98">
        <v>-9.2592592592592671E-2</v>
      </c>
      <c r="DO50" s="98"/>
      <c r="DP50" s="98">
        <v>0.76106322134671989</v>
      </c>
      <c r="DQ50" s="98">
        <v>-0.24124513618677029</v>
      </c>
      <c r="DR50" s="98">
        <v>0.13129251700680269</v>
      </c>
      <c r="DS50" s="98">
        <v>0.14848484848484839</v>
      </c>
      <c r="DT50" s="98">
        <v>-3.4406215316315159E-2</v>
      </c>
      <c r="DU50" s="98">
        <v>-4.8927263212977468E-2</v>
      </c>
      <c r="DV50" s="98"/>
      <c r="DW50" s="98">
        <v>-0.103825136612022</v>
      </c>
      <c r="DX50" s="98">
        <v>-6.9033530571992241E-2</v>
      </c>
      <c r="DY50" s="98">
        <v>-0.24264705882352941</v>
      </c>
      <c r="DZ50" s="98">
        <v>0.42774566473988451</v>
      </c>
      <c r="EA50" s="98">
        <v>-0.30320699708454812</v>
      </c>
      <c r="EB50" s="98">
        <v>0.28010139416983509</v>
      </c>
      <c r="EC50" s="98">
        <v>0.18150684931506869</v>
      </c>
      <c r="ED50" s="98">
        <v>-4.5333333333333337E-2</v>
      </c>
      <c r="EE50" s="98">
        <v>-4.5833333333333282E-2</v>
      </c>
      <c r="EF50" s="98">
        <v>0.15699884316641871</v>
      </c>
      <c r="EG50" s="98">
        <v>0.12333965844402291</v>
      </c>
      <c r="EH50" s="98">
        <v>0.39619921363040639</v>
      </c>
      <c r="EI50" s="98">
        <v>-2.5309336332958399E-2</v>
      </c>
      <c r="EJ50" s="98">
        <v>-0.2231638418079096</v>
      </c>
      <c r="EK50" s="98">
        <v>0.37668161434977582</v>
      </c>
      <c r="EL50" s="98">
        <v>-0.28130081300813009</v>
      </c>
      <c r="EM50" s="98">
        <v>0.38599105812220569</v>
      </c>
      <c r="EN50" s="98">
        <v>-0.14682635938914121</v>
      </c>
      <c r="EO50" s="98">
        <v>-0.1394658753709199</v>
      </c>
    </row>
    <row r="51" spans="1:145" x14ac:dyDescent="0.25">
      <c r="A51">
        <v>2024</v>
      </c>
      <c r="B51">
        <v>4</v>
      </c>
      <c r="C51" s="98">
        <v>-4.0319557897410707E-2</v>
      </c>
      <c r="D51" s="98">
        <v>4.3180243209059999E-3</v>
      </c>
      <c r="E51" s="98">
        <v>-2.4193548387096749E-2</v>
      </c>
      <c r="F51" s="98">
        <v>0.27819548872180427</v>
      </c>
      <c r="G51" s="98"/>
      <c r="H51" s="98">
        <v>0.3802281368821292</v>
      </c>
      <c r="I51" s="98">
        <v>-0.36267605633802807</v>
      </c>
      <c r="J51" s="98">
        <v>-6.0578455932589259E-2</v>
      </c>
      <c r="K51" s="98">
        <v>-1.6501650165016151E-3</v>
      </c>
      <c r="L51" s="98">
        <v>1.045296167247378E-2</v>
      </c>
      <c r="M51" s="98">
        <v>-4.5277014320844737E-2</v>
      </c>
      <c r="N51" s="98">
        <v>1.0423452768729691E-2</v>
      </c>
      <c r="O51" s="98">
        <v>-0.26153846153846161</v>
      </c>
      <c r="P51" s="98">
        <v>-0.21126760563380281</v>
      </c>
      <c r="Q51" s="98">
        <v>-7.0608108108108136E-2</v>
      </c>
      <c r="R51" s="98">
        <v>-0.23037790697674421</v>
      </c>
      <c r="S51" s="98">
        <v>1.225601452564673E-2</v>
      </c>
      <c r="T51" s="98">
        <v>-7.7348066298342566E-2</v>
      </c>
      <c r="U51" s="98">
        <v>-0.28102189781021902</v>
      </c>
      <c r="V51" s="98">
        <v>7.519242155121364E-2</v>
      </c>
      <c r="W51" s="98">
        <v>-8.4158415841584122E-2</v>
      </c>
      <c r="X51" s="98">
        <v>-7.5689223057644028E-2</v>
      </c>
      <c r="Y51" s="98">
        <v>-7.5657894736842146E-2</v>
      </c>
      <c r="Z51" s="98">
        <v>0.19480519480519479</v>
      </c>
      <c r="AA51" s="98"/>
      <c r="AB51" s="98">
        <v>-0.18028785195079211</v>
      </c>
      <c r="AC51" s="98">
        <v>-5.0000000000000037E-2</v>
      </c>
      <c r="AD51" s="98">
        <v>0.37740384615384631</v>
      </c>
      <c r="AE51" s="98">
        <v>-0.17373626373626369</v>
      </c>
      <c r="AF51" s="98">
        <v>4.9450549450549268E-2</v>
      </c>
      <c r="AG51" s="98">
        <v>-0.1662272727272727</v>
      </c>
      <c r="AH51" s="98">
        <v>-0.17647058823529421</v>
      </c>
      <c r="AI51" s="98">
        <v>-0.41616022099447508</v>
      </c>
      <c r="AJ51" s="98">
        <v>-2.5797101449275269E-2</v>
      </c>
      <c r="AK51" s="98">
        <v>0.10714285714285721</v>
      </c>
      <c r="AL51" s="98">
        <v>-4.8686244204018569E-2</v>
      </c>
      <c r="AM51" s="98">
        <v>-7.4235807860262071E-2</v>
      </c>
      <c r="AN51" s="98">
        <v>-0.17272972244677989</v>
      </c>
      <c r="AO51" s="98">
        <v>-4.7619047619047561E-2</v>
      </c>
      <c r="AP51" s="98">
        <v>0.23938679245283009</v>
      </c>
      <c r="AQ51" s="98"/>
      <c r="AR51" s="98">
        <v>-0.16828262565474211</v>
      </c>
      <c r="AS51" s="98">
        <v>-0.27868852459016402</v>
      </c>
      <c r="AT51" s="98">
        <v>-0.37270501835985298</v>
      </c>
      <c r="AU51" s="98">
        <v>2.7173913043476721E-3</v>
      </c>
      <c r="AV51" s="98">
        <v>-0.2069421487603306</v>
      </c>
      <c r="AW51" s="98">
        <v>-0.1916461916461917</v>
      </c>
      <c r="AX51" s="98">
        <v>-1.137009664582145E-2</v>
      </c>
      <c r="AY51" s="98">
        <v>-6.0000000000000053E-2</v>
      </c>
      <c r="AZ51" s="98">
        <v>-0.15928571428571439</v>
      </c>
      <c r="BA51" s="98">
        <v>-0.2649253731343284</v>
      </c>
      <c r="BB51" s="98">
        <v>-6.6666666666666652E-2</v>
      </c>
      <c r="BC51" s="98">
        <v>-0.26229508196721307</v>
      </c>
      <c r="BD51" s="98">
        <v>-1.6447368421052429E-2</v>
      </c>
      <c r="BE51" s="98">
        <v>-0.23833671399594311</v>
      </c>
      <c r="BF51" s="98">
        <v>-0.14852443154329939</v>
      </c>
      <c r="BG51" s="98">
        <v>-0.24470338983050841</v>
      </c>
      <c r="BH51" s="98">
        <v>2.8142589118198998E-2</v>
      </c>
      <c r="BI51" s="98"/>
      <c r="BJ51" s="98">
        <v>-0.45180722891566261</v>
      </c>
      <c r="BK51" s="98">
        <v>-0.20065789473684201</v>
      </c>
      <c r="BL51" s="98">
        <v>-7.9511614055985613E-2</v>
      </c>
      <c r="BM51" s="98">
        <v>-0.22978080120937269</v>
      </c>
      <c r="BN51" s="98"/>
      <c r="BO51" s="98">
        <v>0.35499999999999998</v>
      </c>
      <c r="BP51" s="98">
        <v>-7.0422535211267512E-2</v>
      </c>
      <c r="BQ51" s="98">
        <v>-8.5301837270341796E-3</v>
      </c>
      <c r="BR51" s="98">
        <v>-0.21144278606965169</v>
      </c>
      <c r="BS51" s="98">
        <v>3.7716763005780418E-2</v>
      </c>
      <c r="BT51" s="98">
        <v>-6.4935064935065512E-3</v>
      </c>
      <c r="BU51" s="98">
        <v>-0.1949860724233983</v>
      </c>
      <c r="BV51" s="98">
        <v>1.388209121245829</v>
      </c>
      <c r="BW51" s="98">
        <v>-8.0302275369539933E-2</v>
      </c>
      <c r="BX51" s="98">
        <v>-8.5972812295477263E-2</v>
      </c>
      <c r="BY51" s="98"/>
      <c r="BZ51" s="98">
        <v>-0.28810198300283302</v>
      </c>
      <c r="CA51" s="98">
        <v>-0.14876033057851251</v>
      </c>
      <c r="CB51" s="98">
        <v>-4.3912448700410327E-2</v>
      </c>
      <c r="CC51" s="98">
        <v>4.0362403795606294E-3</v>
      </c>
      <c r="CD51" s="98">
        <v>-0.1115384615384616</v>
      </c>
      <c r="CE51" s="98">
        <v>-0.128813559322034</v>
      </c>
      <c r="CF51" s="98">
        <v>-0.1704180064308681</v>
      </c>
      <c r="CG51" s="98"/>
      <c r="CH51" s="98"/>
      <c r="CI51" s="98">
        <v>-0.22736363636363641</v>
      </c>
      <c r="CJ51" s="98">
        <v>-2.0689622886622461E-2</v>
      </c>
      <c r="CK51" s="98">
        <v>-0.2282501910271805</v>
      </c>
      <c r="CL51" s="98">
        <v>0.56283451081138924</v>
      </c>
      <c r="CM51" s="98">
        <v>-0.33890909090909088</v>
      </c>
      <c r="CN51" s="98">
        <v>-0.45327399872854418</v>
      </c>
      <c r="CO51" s="98">
        <v>-0.23451327433628311</v>
      </c>
      <c r="CP51" s="98">
        <v>-0.17857142857142849</v>
      </c>
      <c r="CQ51" s="98">
        <v>-0.47912087912087908</v>
      </c>
      <c r="CR51" s="98">
        <v>-1.010576192797308E-2</v>
      </c>
      <c r="CS51" s="98">
        <v>-8.6956521739130488E-2</v>
      </c>
      <c r="CT51" s="98">
        <v>-0.43767123287671228</v>
      </c>
      <c r="CU51" s="98">
        <v>-0.20547945205479459</v>
      </c>
      <c r="CV51" s="98">
        <v>0.29157267352124028</v>
      </c>
      <c r="CW51" s="98">
        <v>-1.1025358324145531E-2</v>
      </c>
      <c r="CX51" s="98">
        <v>-0.1016427104722792</v>
      </c>
      <c r="CY51" s="98">
        <v>-7.8224101479915431E-2</v>
      </c>
      <c r="CZ51" s="98">
        <v>-7.6757902956025248E-2</v>
      </c>
      <c r="DA51" s="98">
        <v>-0.14971751412429379</v>
      </c>
      <c r="DB51" s="98">
        <v>-0.2067114093959731</v>
      </c>
      <c r="DC51" s="98">
        <v>1.4599908225455319E-2</v>
      </c>
      <c r="DD51" s="98">
        <v>-0.2874806800618237</v>
      </c>
      <c r="DE51" s="98">
        <v>-0.54324324324324325</v>
      </c>
      <c r="DF51" s="98">
        <v>8.577142857142861E-2</v>
      </c>
      <c r="DG51" s="98">
        <v>1.051446945337621</v>
      </c>
      <c r="DH51" s="98"/>
      <c r="DI51" s="98">
        <v>-0.21720430107526889</v>
      </c>
      <c r="DJ51" s="98">
        <v>-0.19047619047619049</v>
      </c>
      <c r="DK51" s="98">
        <v>9.1670773780187176E-2</v>
      </c>
      <c r="DL51" s="98">
        <v>-0.46339622641509443</v>
      </c>
      <c r="DM51" s="98">
        <v>-0.10956175298804779</v>
      </c>
      <c r="DN51" s="98">
        <v>0.1496598639455782</v>
      </c>
      <c r="DO51" s="98"/>
      <c r="DP51" s="98">
        <v>2.5700934579439231E-2</v>
      </c>
      <c r="DQ51" s="98">
        <v>0.1132600732600733</v>
      </c>
      <c r="DR51" s="98">
        <v>-4.4497895369813627E-2</v>
      </c>
      <c r="DS51" s="98">
        <v>-0.11756083260041041</v>
      </c>
      <c r="DT51" s="98">
        <v>-0.1195402298850574</v>
      </c>
      <c r="DU51" s="98">
        <v>-0.13535075653370021</v>
      </c>
      <c r="DV51" s="98">
        <v>0.28543689320388332</v>
      </c>
      <c r="DW51" s="98">
        <v>-0.23018292682926819</v>
      </c>
      <c r="DX51" s="98">
        <v>0.18008474576271191</v>
      </c>
      <c r="DY51" s="98">
        <v>0</v>
      </c>
      <c r="DZ51" s="98">
        <v>0</v>
      </c>
      <c r="EA51" s="98">
        <v>0.28870292887029292</v>
      </c>
      <c r="EB51" s="98">
        <v>-0.34653465346534651</v>
      </c>
      <c r="EC51" s="98">
        <v>-0.1507246376811594</v>
      </c>
      <c r="ED51" s="98">
        <v>-6.3547486033519562E-2</v>
      </c>
      <c r="EE51" s="98">
        <v>-0.17903930131004381</v>
      </c>
      <c r="EF51" s="98">
        <v>0.92829595772032603</v>
      </c>
      <c r="EG51" s="98">
        <v>0.1765202702702702</v>
      </c>
      <c r="EH51" s="98">
        <v>-0.37810945273631852</v>
      </c>
      <c r="EI51" s="98">
        <v>-3.099372256902555E-2</v>
      </c>
      <c r="EJ51" s="98">
        <v>-0.32</v>
      </c>
      <c r="EK51" s="98">
        <v>-0.17915309446254071</v>
      </c>
      <c r="EL51" s="98">
        <v>-0.20814479638009051</v>
      </c>
      <c r="EM51" s="98">
        <v>0.18279569892473119</v>
      </c>
      <c r="EN51" s="98">
        <v>-5.6265369032992507E-2</v>
      </c>
      <c r="EO51" s="98">
        <v>-0.2103448275862069</v>
      </c>
    </row>
    <row r="52" spans="1:145" x14ac:dyDescent="0.25">
      <c r="A52">
        <v>2024</v>
      </c>
      <c r="B52">
        <v>5</v>
      </c>
      <c r="C52" s="98">
        <v>5.0579598457093811E-2</v>
      </c>
      <c r="D52" s="98">
        <v>4.5670367207515383E-3</v>
      </c>
      <c r="E52" s="98">
        <v>-0.14876033057851229</v>
      </c>
      <c r="F52" s="98">
        <v>-0.1470588235294118</v>
      </c>
      <c r="G52" s="98"/>
      <c r="H52" s="98">
        <v>-0.15151515151515149</v>
      </c>
      <c r="I52" s="98">
        <v>-4.9723756906077443E-2</v>
      </c>
      <c r="J52" s="98">
        <v>2.618181818181808E-2</v>
      </c>
      <c r="K52" s="98">
        <v>0.1041322314049586</v>
      </c>
      <c r="L52" s="98">
        <v>-0.2931034482758621</v>
      </c>
      <c r="M52" s="98">
        <v>-1.6666666666666611E-2</v>
      </c>
      <c r="N52" s="98">
        <v>-0.2288845905867182</v>
      </c>
      <c r="O52" s="98">
        <v>-0.17083333333333331</v>
      </c>
      <c r="P52" s="98">
        <v>-0.1428571428571429</v>
      </c>
      <c r="Q52" s="98">
        <v>-3.9985459832786452E-3</v>
      </c>
      <c r="R52" s="98">
        <v>4.3122442555870277E-2</v>
      </c>
      <c r="S52" s="98">
        <v>8.9686098654708779E-3</v>
      </c>
      <c r="T52" s="98">
        <v>0.1239407976499831</v>
      </c>
      <c r="U52" s="98">
        <v>0.32994923857868019</v>
      </c>
      <c r="V52" s="98">
        <v>-0.12169603524229081</v>
      </c>
      <c r="W52" s="98">
        <v>-8.1081081081081363E-3</v>
      </c>
      <c r="X52" s="98">
        <v>-4.4739696312364741E-3</v>
      </c>
      <c r="Y52" s="98">
        <v>0.1209964412811388</v>
      </c>
      <c r="Z52" s="98">
        <v>-0.44021739130434778</v>
      </c>
      <c r="AA52" s="98"/>
      <c r="AB52" s="98">
        <v>-6.4862286309395945E-2</v>
      </c>
      <c r="AC52" s="98">
        <v>0.2087114337568059</v>
      </c>
      <c r="AD52" s="98">
        <v>-8.7260034904015349E-3</v>
      </c>
      <c r="AE52" s="98">
        <v>-0.1363213193243783</v>
      </c>
      <c r="AF52" s="98">
        <v>2.0942408376963369E-2</v>
      </c>
      <c r="AG52" s="98">
        <v>-0.23567573461265881</v>
      </c>
      <c r="AH52" s="98">
        <v>0.1111111111111109</v>
      </c>
      <c r="AI52" s="98">
        <v>2.2947717057014479E-2</v>
      </c>
      <c r="AJ52" s="98">
        <v>0.47277595953585227</v>
      </c>
      <c r="AK52" s="98">
        <v>0.45161290322580649</v>
      </c>
      <c r="AL52" s="98">
        <v>-0.1026265908475494</v>
      </c>
      <c r="AM52" s="98">
        <v>0.29373927958833618</v>
      </c>
      <c r="AN52" s="98">
        <v>-3.6156351791530983E-2</v>
      </c>
      <c r="AO52" s="98">
        <v>-7.5000000000000067E-2</v>
      </c>
      <c r="AP52" s="98">
        <v>2.8544243577544042E-3</v>
      </c>
      <c r="AQ52" s="98"/>
      <c r="AR52" s="98">
        <v>-6.5389253651346624E-2</v>
      </c>
      <c r="AS52" s="98">
        <v>7.1136363636363553E-2</v>
      </c>
      <c r="AT52" s="98">
        <v>0.33333333333333331</v>
      </c>
      <c r="AU52" s="98">
        <v>5.6910569105691033E-2</v>
      </c>
      <c r="AV52" s="98">
        <v>0.78199249687369732</v>
      </c>
      <c r="AW52" s="98">
        <v>0.34346504559270508</v>
      </c>
      <c r="AX52" s="98">
        <v>0.2978723404255319</v>
      </c>
      <c r="AY52" s="98">
        <v>-0.1702127659574468</v>
      </c>
      <c r="AZ52" s="98">
        <v>9.8555649957519087E-2</v>
      </c>
      <c r="BA52" s="98">
        <v>9.6446700507614391E-2</v>
      </c>
      <c r="BB52" s="98">
        <v>1.428571428571423E-2</v>
      </c>
      <c r="BC52" s="98">
        <v>5.555555555555558E-2</v>
      </c>
      <c r="BD52" s="98">
        <v>-4.5150501672240877E-2</v>
      </c>
      <c r="BE52" s="98">
        <v>7.5898801597869436E-2</v>
      </c>
      <c r="BF52" s="98">
        <v>-0.39147727272727267</v>
      </c>
      <c r="BG52" s="98">
        <v>0.10098176718092571</v>
      </c>
      <c r="BH52" s="98">
        <v>0.28558394160583922</v>
      </c>
      <c r="BI52" s="98"/>
      <c r="BJ52" s="98">
        <v>-7.6923076923076872E-2</v>
      </c>
      <c r="BK52" s="98">
        <v>-3.7037037037037202E-2</v>
      </c>
      <c r="BL52" s="98">
        <v>-4.8851504367518617E-2</v>
      </c>
      <c r="BM52" s="98">
        <v>0.76153091265947004</v>
      </c>
      <c r="BN52" s="98"/>
      <c r="BO52" s="98">
        <v>-0.1014760147601477</v>
      </c>
      <c r="BP52" s="98">
        <v>0.34090909090909077</v>
      </c>
      <c r="BQ52" s="98">
        <v>4.5003309066843127E-2</v>
      </c>
      <c r="BR52" s="98">
        <v>5.9936908517350229E-2</v>
      </c>
      <c r="BS52" s="98">
        <v>-6.3640161537390383E-2</v>
      </c>
      <c r="BT52" s="98">
        <v>-1.960784313725494E-2</v>
      </c>
      <c r="BU52" s="98">
        <v>-2.0761245674740469E-2</v>
      </c>
      <c r="BV52" s="98">
        <v>-0.67241111628629091</v>
      </c>
      <c r="BW52" s="98">
        <v>-4.966139954853277E-2</v>
      </c>
      <c r="BX52" s="98">
        <v>2.2701004800913749E-2</v>
      </c>
      <c r="BY52" s="98"/>
      <c r="BZ52" s="98">
        <v>-1.9100676482291971E-2</v>
      </c>
      <c r="CA52" s="98">
        <v>0.25889967637540462</v>
      </c>
      <c r="CB52" s="98">
        <v>0.21691229074259549</v>
      </c>
      <c r="CC52" s="98">
        <v>5.1971656416134097E-2</v>
      </c>
      <c r="CD52" s="98">
        <v>0.49783549783549769</v>
      </c>
      <c r="CE52" s="98">
        <v>1.5564202334630291E-3</v>
      </c>
      <c r="CF52" s="98">
        <v>-0.93643410852713183</v>
      </c>
      <c r="CG52" s="98"/>
      <c r="CH52" s="98"/>
      <c r="CI52" s="98">
        <v>-3.7298505706553693E-2</v>
      </c>
      <c r="CJ52" s="98">
        <v>-2.847809806077406E-2</v>
      </c>
      <c r="CK52" s="98">
        <v>0.21640735502121641</v>
      </c>
      <c r="CL52" s="98">
        <v>-0.1301369863013698</v>
      </c>
      <c r="CM52" s="98">
        <v>8.9108910891089188E-2</v>
      </c>
      <c r="CN52" s="98">
        <v>0.47674418604651159</v>
      </c>
      <c r="CO52" s="98">
        <v>0.57514450867052025</v>
      </c>
      <c r="CP52" s="98">
        <v>3.6789297658862852E-2</v>
      </c>
      <c r="CQ52" s="98">
        <v>0.20253164556962019</v>
      </c>
      <c r="CR52" s="98">
        <v>0.16187711493206461</v>
      </c>
      <c r="CS52" s="98">
        <v>6.6666666666666652E-2</v>
      </c>
      <c r="CT52" s="98">
        <v>0.31546894031668699</v>
      </c>
      <c r="CU52" s="98">
        <v>-6.034482758620674E-2</v>
      </c>
      <c r="CV52" s="98">
        <v>5.5688336520076431E-2</v>
      </c>
      <c r="CW52" s="98">
        <v>-0.1038182831661093</v>
      </c>
      <c r="CX52" s="98">
        <v>0.1554285714285715</v>
      </c>
      <c r="CY52" s="98">
        <v>-0.32110091743119268</v>
      </c>
      <c r="CZ52" s="98">
        <v>0.13533077123987919</v>
      </c>
      <c r="DA52" s="98">
        <v>4.3189368770764291E-2</v>
      </c>
      <c r="DB52" s="98">
        <v>2.622673434856182E-2</v>
      </c>
      <c r="DC52" s="98">
        <v>-0.1486215331303429</v>
      </c>
      <c r="DD52" s="98">
        <v>0.11713665943600859</v>
      </c>
      <c r="DE52" s="98">
        <v>-9.1420118343195411E-2</v>
      </c>
      <c r="DF52" s="98">
        <v>-1.584127151202552E-2</v>
      </c>
      <c r="DG52" s="98">
        <v>-0.13793103448275859</v>
      </c>
      <c r="DH52" s="98"/>
      <c r="DI52" s="98">
        <v>-0.17582417582417589</v>
      </c>
      <c r="DJ52" s="98">
        <v>-0.55228758169934644</v>
      </c>
      <c r="DK52" s="98">
        <v>-5.417607223476173E-3</v>
      </c>
      <c r="DL52" s="98">
        <v>0.26582278481012672</v>
      </c>
      <c r="DM52" s="98">
        <v>-0.12527964205816541</v>
      </c>
      <c r="DN52" s="98">
        <v>0.42899408284023682</v>
      </c>
      <c r="DO52" s="98"/>
      <c r="DP52" s="98">
        <v>-0.14806378132118439</v>
      </c>
      <c r="DQ52" s="98">
        <v>-1.368781258225849E-2</v>
      </c>
      <c r="DR52" s="98">
        <v>0.28823159219635008</v>
      </c>
      <c r="DS52" s="98">
        <v>-9.9003322259136217E-2</v>
      </c>
      <c r="DT52" s="98">
        <v>0.27067014795474309</v>
      </c>
      <c r="DU52" s="98">
        <v>4.8679605472478522E-2</v>
      </c>
      <c r="DV52" s="98">
        <v>-8.6102719033232633E-2</v>
      </c>
      <c r="DW52" s="98">
        <v>0.19009900990098999</v>
      </c>
      <c r="DX52" s="98">
        <v>0.1947935368043088</v>
      </c>
      <c r="DY52" s="98">
        <v>0</v>
      </c>
      <c r="DZ52" s="98">
        <v>-0.27125506072874489</v>
      </c>
      <c r="EA52" s="98">
        <v>-0.39610389610389612</v>
      </c>
      <c r="EB52" s="98">
        <v>-0.13030303030303039</v>
      </c>
      <c r="EC52" s="98">
        <v>-0.1228668941979523</v>
      </c>
      <c r="ED52" s="98">
        <v>-2.905294556301263E-2</v>
      </c>
      <c r="EE52" s="98">
        <v>0.1808510638297873</v>
      </c>
      <c r="EF52" s="98">
        <v>-0.25185185185185188</v>
      </c>
      <c r="EG52" s="98">
        <v>0.22182340272792531</v>
      </c>
      <c r="EH52" s="98">
        <v>-0.73584905660377364</v>
      </c>
      <c r="EI52" s="98">
        <v>-7.3389694405095907E-2</v>
      </c>
      <c r="EJ52" s="98">
        <v>0.27807486631016037</v>
      </c>
      <c r="EK52" s="98">
        <v>7.9365079365079083E-3</v>
      </c>
      <c r="EL52" s="98">
        <v>0.28857142857142848</v>
      </c>
      <c r="EM52" s="98">
        <v>-0.39636363636363642</v>
      </c>
      <c r="EN52" s="98">
        <v>6.4807794302119026E-2</v>
      </c>
      <c r="EO52" s="98">
        <v>1.528384279475992E-2</v>
      </c>
    </row>
    <row r="53" spans="1:145" x14ac:dyDescent="0.25">
      <c r="A53">
        <v>2024</v>
      </c>
      <c r="B53">
        <v>6</v>
      </c>
      <c r="C53" s="98">
        <v>3.5284796423379117E-2</v>
      </c>
      <c r="D53" s="98">
        <v>3.993149419502906E-3</v>
      </c>
      <c r="E53" s="98">
        <v>6.7961165048543659E-2</v>
      </c>
      <c r="F53" s="98">
        <v>-0.20689655172413801</v>
      </c>
      <c r="G53" s="98"/>
      <c r="H53" s="98">
        <v>-0.27272727272727271</v>
      </c>
      <c r="I53" s="98">
        <v>0.1046511627906976</v>
      </c>
      <c r="J53" s="98">
        <v>-5.5043704228679442E-2</v>
      </c>
      <c r="K53" s="98">
        <v>-4.9401197604790448E-2</v>
      </c>
      <c r="L53" s="98">
        <v>0.3317073170731708</v>
      </c>
      <c r="M53" s="98">
        <v>-1.8798151001540919E-2</v>
      </c>
      <c r="N53" s="98">
        <v>-0.1061872909698998</v>
      </c>
      <c r="O53" s="98">
        <v>8.040201005025116E-2</v>
      </c>
      <c r="P53" s="98">
        <v>-9.722222222222221E-2</v>
      </c>
      <c r="Q53" s="98">
        <v>-2.1897810218978079E-2</v>
      </c>
      <c r="R53" s="98">
        <v>-0.19674109837054921</v>
      </c>
      <c r="S53" s="98">
        <v>1.777777777777656E-3</v>
      </c>
      <c r="T53" s="98">
        <v>0.24648170486529961</v>
      </c>
      <c r="U53" s="98">
        <v>1.1450381679389171E-2</v>
      </c>
      <c r="V53" s="98">
        <v>-0.11849529780564259</v>
      </c>
      <c r="W53" s="98">
        <v>-9.8092643051771122E-2</v>
      </c>
      <c r="X53" s="98">
        <v>9.6282173498569934E-2</v>
      </c>
      <c r="Y53" s="98">
        <v>-7.3015873015872979E-2</v>
      </c>
      <c r="Z53" s="98">
        <v>-0.1281553398058253</v>
      </c>
      <c r="AA53" s="98"/>
      <c r="AB53" s="98">
        <v>1.070747629329394E-2</v>
      </c>
      <c r="AC53" s="98">
        <v>0.1216216216216215</v>
      </c>
      <c r="AD53" s="98">
        <v>-0.30281690140845058</v>
      </c>
      <c r="AE53" s="98">
        <v>-0.60271019402525405</v>
      </c>
      <c r="AF53" s="98">
        <v>-0.14871794871794869</v>
      </c>
      <c r="AG53" s="98">
        <v>-0.54350927246790304</v>
      </c>
      <c r="AH53" s="98">
        <v>-7.1428571428571286E-2</v>
      </c>
      <c r="AI53" s="98">
        <v>-0.85383903792784466</v>
      </c>
      <c r="AJ53" s="98">
        <v>1.2626262626262539E-2</v>
      </c>
      <c r="AK53" s="98">
        <v>3.5555555555555562E-2</v>
      </c>
      <c r="AL53" s="98">
        <v>-2.836451418225705E-2</v>
      </c>
      <c r="AM53" s="98">
        <v>7.6897580377858876E-2</v>
      </c>
      <c r="AN53" s="98">
        <v>-0.16018925312605611</v>
      </c>
      <c r="AO53" s="98">
        <v>3.3783783783783772E-2</v>
      </c>
      <c r="AP53" s="98">
        <v>-0.1783681214421251</v>
      </c>
      <c r="AQ53" s="98">
        <v>0.14947780678851161</v>
      </c>
      <c r="AR53" s="98">
        <v>-0.1631541218637993</v>
      </c>
      <c r="AS53" s="98">
        <v>-2.7583280288563379E-3</v>
      </c>
      <c r="AT53" s="98">
        <v>-0.18024390243902441</v>
      </c>
      <c r="AU53" s="98">
        <v>0.44615384615384612</v>
      </c>
      <c r="AV53" s="98">
        <v>-0.24561403508771931</v>
      </c>
      <c r="AW53" s="98">
        <v>-0.18382352941176469</v>
      </c>
      <c r="AX53" s="98">
        <v>3.5445281346920821E-2</v>
      </c>
      <c r="AY53" s="98">
        <v>-0.19717948717948711</v>
      </c>
      <c r="AZ53" s="98">
        <v>-0.16086620262954371</v>
      </c>
      <c r="BA53" s="98">
        <v>2.7777777777777901E-2</v>
      </c>
      <c r="BB53" s="98">
        <v>-7.3239436619718212E-2</v>
      </c>
      <c r="BC53" s="98">
        <v>0.1136842105263158</v>
      </c>
      <c r="BD53" s="98">
        <v>5.1371862230005887E-2</v>
      </c>
      <c r="BE53" s="98">
        <v>-0.2647277227722773</v>
      </c>
      <c r="BF53" s="98">
        <v>-0.18767507002801129</v>
      </c>
      <c r="BG53" s="98">
        <v>-0.2101910828025477</v>
      </c>
      <c r="BH53" s="98">
        <v>-0.17246273953158259</v>
      </c>
      <c r="BI53" s="98"/>
      <c r="BJ53" s="98">
        <v>-0.19039682539682529</v>
      </c>
      <c r="BK53" s="98">
        <v>-0.22282051282051271</v>
      </c>
      <c r="BL53" s="98">
        <v>2.6190476190476319E-2</v>
      </c>
      <c r="BM53" s="98">
        <v>0.16378830083565471</v>
      </c>
      <c r="BN53" s="98"/>
      <c r="BO53" s="98">
        <v>-0.1092402464065708</v>
      </c>
      <c r="BP53" s="98">
        <v>-6.7796610169491567E-2</v>
      </c>
      <c r="BQ53" s="98">
        <v>3.8632045598480103E-2</v>
      </c>
      <c r="BR53" s="98">
        <v>-8.9285714285714191E-2</v>
      </c>
      <c r="BS53" s="98">
        <v>1.8590124925639499E-2</v>
      </c>
      <c r="BT53" s="98">
        <v>-0.23666666666666669</v>
      </c>
      <c r="BU53" s="98">
        <v>3.8869257950530089E-2</v>
      </c>
      <c r="BV53" s="98">
        <v>-0.15165876777251189</v>
      </c>
      <c r="BW53" s="98">
        <v>1.406175771971507E-2</v>
      </c>
      <c r="BX53" s="98">
        <v>-3.477656302571464E-3</v>
      </c>
      <c r="BY53" s="98"/>
      <c r="BZ53" s="98">
        <v>-5.3414469235970263E-2</v>
      </c>
      <c r="CA53" s="98">
        <v>-0.28534704370179947</v>
      </c>
      <c r="CB53" s="98">
        <v>-9.2886537330980623E-3</v>
      </c>
      <c r="CC53" s="98">
        <v>0.10366426573441979</v>
      </c>
      <c r="CD53" s="98">
        <v>0.19075144508670519</v>
      </c>
      <c r="CE53" s="98">
        <v>-6.759906759906753E-2</v>
      </c>
      <c r="CF53" s="98">
        <v>-0.1564024390243903</v>
      </c>
      <c r="CG53" s="98"/>
      <c r="CH53" s="98"/>
      <c r="CI53" s="98">
        <v>-0.22146174529454901</v>
      </c>
      <c r="CJ53" s="98">
        <v>-7.9047331629756856E-3</v>
      </c>
      <c r="CK53" s="98">
        <v>-0.35755813953488369</v>
      </c>
      <c r="CL53" s="98">
        <v>-2.3622047244094561E-2</v>
      </c>
      <c r="CM53" s="98">
        <v>-7.0707070707071162E-3</v>
      </c>
      <c r="CN53" s="98">
        <v>-0.35958005249343838</v>
      </c>
      <c r="CO53" s="98">
        <v>-9.1743119266054496E-3</v>
      </c>
      <c r="CP53" s="98">
        <v>-5.8064516129032302E-2</v>
      </c>
      <c r="CQ53" s="98">
        <v>0.2</v>
      </c>
      <c r="CR53" s="98">
        <v>-2.9538297777974901E-2</v>
      </c>
      <c r="CS53" s="98">
        <v>0.20833333333333329</v>
      </c>
      <c r="CT53" s="98">
        <v>-3.7037037037036979E-2</v>
      </c>
      <c r="CU53" s="98">
        <v>0.17889908256880729</v>
      </c>
      <c r="CV53" s="98">
        <v>-4.2185495434306719E-2</v>
      </c>
      <c r="CW53" s="98">
        <v>7.0595552791167693E-2</v>
      </c>
      <c r="CX53" s="98">
        <v>-5.6709528519617518E-2</v>
      </c>
      <c r="CY53" s="98">
        <v>0.5135135135135136</v>
      </c>
      <c r="CZ53" s="98">
        <v>-2.372814512948607E-2</v>
      </c>
      <c r="DA53" s="98">
        <v>9.3418259023354544E-2</v>
      </c>
      <c r="DB53" s="98">
        <v>-0.113767518549052</v>
      </c>
      <c r="DC53" s="98">
        <v>-6.7199383485030406E-2</v>
      </c>
      <c r="DD53" s="98">
        <v>-0.18834951456310689</v>
      </c>
      <c r="DE53" s="98">
        <v>-0.255128622598502</v>
      </c>
      <c r="DF53" s="98">
        <v>3.2085561497326109E-2</v>
      </c>
      <c r="DG53" s="98">
        <v>-0.30909090909090908</v>
      </c>
      <c r="DH53" s="98"/>
      <c r="DI53" s="98">
        <v>0</v>
      </c>
      <c r="DJ53" s="98">
        <v>-6.5693430656934337E-2</v>
      </c>
      <c r="DK53" s="98">
        <v>-0.43940081706763512</v>
      </c>
      <c r="DL53" s="98">
        <v>0.78703703703703676</v>
      </c>
      <c r="DM53" s="98">
        <v>0.1125319693094629</v>
      </c>
      <c r="DN53" s="98">
        <v>-0.17184265010351971</v>
      </c>
      <c r="DO53" s="98"/>
      <c r="DP53" s="98">
        <v>1.4705882352941121E-2</v>
      </c>
      <c r="DQ53" s="98">
        <v>-0.2313851080864692</v>
      </c>
      <c r="DR53" s="98">
        <v>3.6638983878847009E-2</v>
      </c>
      <c r="DS53" s="98">
        <v>-1.3643067846607741E-2</v>
      </c>
      <c r="DT53" s="98">
        <v>-0.13390410958904109</v>
      </c>
      <c r="DU53" s="98">
        <v>-0.17536407766990289</v>
      </c>
      <c r="DV53" s="98">
        <v>-0.20495867768595041</v>
      </c>
      <c r="DW53" s="98">
        <v>0.13311148086522451</v>
      </c>
      <c r="DX53" s="98">
        <v>-2.3290758827948951E-2</v>
      </c>
      <c r="DY53" s="98">
        <v>-0.1359223300970874</v>
      </c>
      <c r="DZ53" s="98">
        <v>-7.7777777777777835E-2</v>
      </c>
      <c r="EA53" s="98">
        <v>-1.0752688172042999E-2</v>
      </c>
      <c r="EB53" s="98">
        <v>-0.2217770034843205</v>
      </c>
      <c r="EC53" s="98">
        <v>0.15953307392996119</v>
      </c>
      <c r="ED53" s="98">
        <v>-0.1444195262818346</v>
      </c>
      <c r="EE53" s="98">
        <v>-0.27477477477477469</v>
      </c>
      <c r="EF53" s="98">
        <v>-0.16702970297029701</v>
      </c>
      <c r="EG53" s="98">
        <v>-0.14336075205640419</v>
      </c>
      <c r="EH53" s="98">
        <v>-0.26100000000000001</v>
      </c>
      <c r="EI53" s="98">
        <v>2.8237860154431971E-3</v>
      </c>
      <c r="EJ53" s="98">
        <v>-0.51673640167364021</v>
      </c>
      <c r="EK53" s="98">
        <v>-0.22440944881889771</v>
      </c>
      <c r="EL53" s="98">
        <v>-2.2172949002217108E-3</v>
      </c>
      <c r="EM53" s="98">
        <v>-0.1114457831325302</v>
      </c>
      <c r="EN53" s="98">
        <v>2.241111634165938E-2</v>
      </c>
      <c r="EO53" s="98">
        <v>5.3763440860215013E-2</v>
      </c>
    </row>
    <row r="54" spans="1:145" x14ac:dyDescent="0.25">
      <c r="A54">
        <v>2024</v>
      </c>
      <c r="B54">
        <v>7</v>
      </c>
      <c r="C54" s="98">
        <v>1.2109035480193601E-2</v>
      </c>
      <c r="D54" s="98">
        <v>4.5089999367791123E-3</v>
      </c>
      <c r="E54" s="98">
        <v>0.21818181818181831</v>
      </c>
      <c r="F54" s="98">
        <v>-9.565217391304337E-2</v>
      </c>
      <c r="G54" s="98"/>
      <c r="H54" s="98">
        <v>-0.26339285714285721</v>
      </c>
      <c r="I54" s="98">
        <v>8.4210526315789513E-2</v>
      </c>
      <c r="J54" s="98">
        <v>8.8000000000000078E-2</v>
      </c>
      <c r="K54" s="98">
        <v>0.1543307086614174</v>
      </c>
      <c r="L54" s="98">
        <v>-0.12087912087912089</v>
      </c>
      <c r="M54" s="98">
        <v>3.2035175879397082E-2</v>
      </c>
      <c r="N54" s="98">
        <v>8.4190832553787676E-3</v>
      </c>
      <c r="O54" s="98">
        <v>0.18604651162790689</v>
      </c>
      <c r="P54" s="98">
        <v>0.47692307692307678</v>
      </c>
      <c r="Q54" s="98">
        <v>7.3880597014925886E-3</v>
      </c>
      <c r="R54" s="98">
        <v>3.3433508640120291E-2</v>
      </c>
      <c r="S54" s="98">
        <v>-1.765749778172121E-3</v>
      </c>
      <c r="T54" s="98">
        <v>0.12096774193548381</v>
      </c>
      <c r="U54" s="98">
        <v>0.2037735849056603</v>
      </c>
      <c r="V54" s="98">
        <v>0.16216216216216209</v>
      </c>
      <c r="W54" s="98">
        <v>0.15407854984894251</v>
      </c>
      <c r="X54" s="98">
        <v>8.4596273291925428E-2</v>
      </c>
      <c r="Y54" s="98">
        <v>-9.2465753424657571E-2</v>
      </c>
      <c r="Z54" s="98">
        <v>0.33619153674832952</v>
      </c>
      <c r="AA54" s="98"/>
      <c r="AB54" s="98">
        <v>0.16252108189143599</v>
      </c>
      <c r="AC54" s="98">
        <v>6.1579651941097817E-2</v>
      </c>
      <c r="AD54" s="98">
        <v>0.17929292929292931</v>
      </c>
      <c r="AE54" s="98">
        <v>0.34922480620155039</v>
      </c>
      <c r="AF54" s="98">
        <v>-0.39759036144578308</v>
      </c>
      <c r="AG54" s="98">
        <v>0.10343749999999979</v>
      </c>
      <c r="AH54" s="98">
        <v>-0.12307692307692319</v>
      </c>
      <c r="AI54" s="98">
        <v>-0.79949367088607592</v>
      </c>
      <c r="AJ54" s="98">
        <v>7.7306733167082475E-2</v>
      </c>
      <c r="AK54" s="98">
        <v>-0.1802575107296138</v>
      </c>
      <c r="AL54" s="98">
        <v>0.1978260869565216</v>
      </c>
      <c r="AM54" s="98">
        <v>0.19021237303785779</v>
      </c>
      <c r="AN54" s="98">
        <v>-0.21126760563380281</v>
      </c>
      <c r="AO54" s="98">
        <v>-6.5359477124183107E-2</v>
      </c>
      <c r="AP54" s="98">
        <v>5.773672055427248E-2</v>
      </c>
      <c r="AQ54" s="98">
        <v>0.13912549687677461</v>
      </c>
      <c r="AR54" s="98">
        <v>0.55045400034264191</v>
      </c>
      <c r="AS54" s="98">
        <v>-7.6382978723404271E-2</v>
      </c>
      <c r="AT54" s="98">
        <v>-0.1507983734999504</v>
      </c>
      <c r="AU54" s="98">
        <v>-1.595744680851063E-2</v>
      </c>
      <c r="AV54" s="98">
        <v>0.26356589147286802</v>
      </c>
      <c r="AW54" s="98">
        <v>-9.6327096327096351E-2</v>
      </c>
      <c r="AX54" s="98">
        <v>0.12879760376551119</v>
      </c>
      <c r="AY54" s="98">
        <v>-0.24960076652826579</v>
      </c>
      <c r="AZ54" s="98">
        <v>0.14470046082949309</v>
      </c>
      <c r="BA54" s="98">
        <v>4.0540540540540571E-2</v>
      </c>
      <c r="BB54" s="98">
        <v>9.4224924012157985E-2</v>
      </c>
      <c r="BC54" s="98">
        <v>-0.2436672967863894</v>
      </c>
      <c r="BD54" s="98">
        <v>-5.4414214325374848E-2</v>
      </c>
      <c r="BE54" s="98">
        <v>1.1040228917690631</v>
      </c>
      <c r="BF54" s="98">
        <v>0.1356321839080461</v>
      </c>
      <c r="BG54" s="98">
        <v>0.49677419354838692</v>
      </c>
      <c r="BH54" s="98">
        <v>6.3464837049742817E-2</v>
      </c>
      <c r="BI54" s="98"/>
      <c r="BJ54" s="98">
        <v>-0.2326242525242623</v>
      </c>
      <c r="BK54" s="98">
        <v>-0.24425382162102721</v>
      </c>
      <c r="BL54" s="98">
        <v>0.12230692741133579</v>
      </c>
      <c r="BM54" s="98">
        <v>0.2340832934418382</v>
      </c>
      <c r="BN54" s="98"/>
      <c r="BO54" s="98">
        <v>5.1636698939603543E-2</v>
      </c>
      <c r="BP54" s="98">
        <v>1.8181818181818299E-2</v>
      </c>
      <c r="BQ54" s="98">
        <v>0.14878048780487821</v>
      </c>
      <c r="BR54" s="98">
        <v>0.30065359477124193</v>
      </c>
      <c r="BS54" s="98">
        <v>0.149364870784056</v>
      </c>
      <c r="BT54" s="98">
        <v>4.366812227074246E-2</v>
      </c>
      <c r="BU54" s="98">
        <v>-0.35034013605442182</v>
      </c>
      <c r="BV54" s="98">
        <v>-0.65642458100558665</v>
      </c>
      <c r="BW54" s="98">
        <v>3.2980417876885548E-2</v>
      </c>
      <c r="BX54" s="98">
        <v>7.9980834860380323E-2</v>
      </c>
      <c r="BY54" s="98"/>
      <c r="BZ54" s="98">
        <v>0.1023809523809522</v>
      </c>
      <c r="CA54" s="98">
        <v>0.47122302158273383</v>
      </c>
      <c r="CB54" s="98">
        <v>0.29349632091146433</v>
      </c>
      <c r="CC54" s="98">
        <v>-0.1116768256271302</v>
      </c>
      <c r="CD54" s="98">
        <v>-0.36771844660194181</v>
      </c>
      <c r="CE54" s="98">
        <v>-5.833333333333357E-3</v>
      </c>
      <c r="CF54" s="98">
        <v>0.1760028912179257</v>
      </c>
      <c r="CG54" s="98"/>
      <c r="CH54" s="98"/>
      <c r="CI54" s="98">
        <v>2.296703296703297</v>
      </c>
      <c r="CJ54" s="98">
        <v>-8.6187556674604981E-2</v>
      </c>
      <c r="CK54" s="98">
        <v>-0.72773755656108596</v>
      </c>
      <c r="CL54" s="98">
        <v>8.0645161290322731E-2</v>
      </c>
      <c r="CM54" s="98">
        <v>0.30824008138351983</v>
      </c>
      <c r="CN54" s="98">
        <v>-6.1475409836065593E-2</v>
      </c>
      <c r="CO54" s="98">
        <v>0.1129629629629629</v>
      </c>
      <c r="CP54" s="98">
        <v>0.31164383561643838</v>
      </c>
      <c r="CQ54" s="98">
        <v>0.23684210526315799</v>
      </c>
      <c r="CR54" s="98">
        <v>5.6040501906778672E-2</v>
      </c>
      <c r="CS54" s="98">
        <v>0.32758620689655182</v>
      </c>
      <c r="CT54" s="98">
        <v>9.6153846153845812E-3</v>
      </c>
      <c r="CU54" s="98">
        <v>-7.7821011673151466E-3</v>
      </c>
      <c r="CV54" s="98">
        <v>0.1258212320298675</v>
      </c>
      <c r="CW54" s="98">
        <v>2.8467683369644229E-2</v>
      </c>
      <c r="CX54" s="98">
        <v>-0.27822439706396368</v>
      </c>
      <c r="CY54" s="98">
        <v>-6.25E-2</v>
      </c>
      <c r="CZ54" s="98">
        <v>0.10639451812952121</v>
      </c>
      <c r="DA54" s="98">
        <v>0.14757281553398061</v>
      </c>
      <c r="DB54" s="98">
        <v>0.3311627906976744</v>
      </c>
      <c r="DC54" s="98">
        <v>0.1008558388744958</v>
      </c>
      <c r="DD54" s="98">
        <v>-0.26794258373205743</v>
      </c>
      <c r="DE54" s="98">
        <v>-0.1125683060109289</v>
      </c>
      <c r="DF54" s="98">
        <v>0.1243523316062176</v>
      </c>
      <c r="DG54" s="98">
        <v>-0.25526315789473669</v>
      </c>
      <c r="DH54" s="98"/>
      <c r="DI54" s="98">
        <v>0.22</v>
      </c>
      <c r="DJ54" s="98">
        <v>-8.5937500000000111E-2</v>
      </c>
      <c r="DK54" s="98">
        <v>0.79919028340080978</v>
      </c>
      <c r="DL54" s="98">
        <v>-0.17616580310880819</v>
      </c>
      <c r="DM54" s="98">
        <v>0.15632183908045991</v>
      </c>
      <c r="DN54" s="98">
        <v>6.4999999999999947E-2</v>
      </c>
      <c r="DO54" s="98"/>
      <c r="DP54" s="98">
        <v>0.31488801054018462</v>
      </c>
      <c r="DQ54" s="98">
        <v>-0.20052083333333329</v>
      </c>
      <c r="DR54" s="98">
        <v>0.72007540056550434</v>
      </c>
      <c r="DS54" s="98">
        <v>0.114766355140187</v>
      </c>
      <c r="DT54" s="98">
        <v>-0.41676551996836703</v>
      </c>
      <c r="DU54" s="98">
        <v>-0.1063281824871229</v>
      </c>
      <c r="DV54" s="98">
        <v>-0.24948024948024949</v>
      </c>
      <c r="DW54" s="98">
        <v>0.13803230543318651</v>
      </c>
      <c r="DX54" s="98">
        <v>-6.6153846153846119E-2</v>
      </c>
      <c r="DY54" s="98">
        <v>0.1124719101123595</v>
      </c>
      <c r="DZ54" s="98">
        <v>0.2228915662650601</v>
      </c>
      <c r="EA54" s="98">
        <v>0.10326086956521729</v>
      </c>
      <c r="EB54" s="98">
        <v>-0.1132751287217373</v>
      </c>
      <c r="EC54" s="98">
        <v>6.7114093959731669E-2</v>
      </c>
      <c r="ED54" s="98">
        <v>4.6678635547576341E-2</v>
      </c>
      <c r="EE54" s="98">
        <v>8.6956521739130377E-2</v>
      </c>
      <c r="EF54" s="98">
        <v>0.1128016165458219</v>
      </c>
      <c r="EG54" s="98">
        <v>-9.6021947873799696E-2</v>
      </c>
      <c r="EH54" s="98">
        <v>1.358399381403441</v>
      </c>
      <c r="EI54" s="98">
        <v>0.13452893027410709</v>
      </c>
      <c r="EJ54" s="98">
        <v>4.3290043290042926E-3</v>
      </c>
      <c r="EK54" s="98">
        <v>-3.5532994923857857E-2</v>
      </c>
      <c r="EL54" s="98">
        <v>0.1022222222222222</v>
      </c>
      <c r="EM54" s="98">
        <v>-1.7118644067796621E-2</v>
      </c>
      <c r="EN54" s="98">
        <v>4.1035875797687187E-2</v>
      </c>
      <c r="EO54" s="98">
        <v>0.32448979591836719</v>
      </c>
    </row>
    <row r="55" spans="1:145" x14ac:dyDescent="0.25">
      <c r="A55">
        <v>2024</v>
      </c>
      <c r="B55">
        <v>8</v>
      </c>
      <c r="C55" s="98">
        <v>2.336552047692431E-2</v>
      </c>
      <c r="D55" s="98">
        <v>4.6191297155020461E-3</v>
      </c>
      <c r="E55" s="98">
        <v>-0.119402985074627</v>
      </c>
      <c r="F55" s="98">
        <v>-5.6730769230769251E-2</v>
      </c>
      <c r="G55" s="98">
        <v>3.2520325203251987E-2</v>
      </c>
      <c r="H55" s="98">
        <v>0.46060606060606069</v>
      </c>
      <c r="I55" s="98">
        <v>7.7669902912621325E-2</v>
      </c>
      <c r="J55" s="98">
        <v>0.11994485294117641</v>
      </c>
      <c r="K55" s="98">
        <v>0.1814461118690314</v>
      </c>
      <c r="L55" s="98">
        <v>-0.2</v>
      </c>
      <c r="M55" s="98">
        <v>-2.997565429093119E-2</v>
      </c>
      <c r="N55" s="98">
        <v>0.1883116883116884</v>
      </c>
      <c r="O55" s="98">
        <v>-0.55686274509803924</v>
      </c>
      <c r="P55" s="98">
        <v>0.1796875</v>
      </c>
      <c r="Q55" s="98">
        <v>-3.6965701163049203E-2</v>
      </c>
      <c r="R55" s="98">
        <v>-4.9073064340239947E-2</v>
      </c>
      <c r="S55" s="98">
        <v>-1.786650785326249E-3</v>
      </c>
      <c r="T55" s="98">
        <v>-0.1510791366906474</v>
      </c>
      <c r="U55" s="98">
        <v>-3.1347962382445187E-2</v>
      </c>
      <c r="V55" s="98">
        <v>-7.1603427172582612E-2</v>
      </c>
      <c r="W55" s="98">
        <v>7.8534031413612926E-3</v>
      </c>
      <c r="X55" s="98">
        <v>1.775283472683542E-2</v>
      </c>
      <c r="Y55" s="98">
        <v>-5.6603773584905648E-2</v>
      </c>
      <c r="Z55" s="98">
        <v>-9.1590965913826095E-2</v>
      </c>
      <c r="AA55" s="98"/>
      <c r="AB55" s="98">
        <v>5.0252541535022573E-2</v>
      </c>
      <c r="AC55" s="98">
        <v>-0.20807061790668349</v>
      </c>
      <c r="AD55" s="98">
        <v>-0.10706638115631691</v>
      </c>
      <c r="AE55" s="98">
        <v>3.4185578856650523E-2</v>
      </c>
      <c r="AF55" s="98">
        <v>-0.28860000000000002</v>
      </c>
      <c r="AG55" s="98">
        <v>0.86207873123760992</v>
      </c>
      <c r="AH55" s="98">
        <v>-0.1140350877192982</v>
      </c>
      <c r="AI55" s="98">
        <v>-0.50378787878787878</v>
      </c>
      <c r="AJ55" s="98">
        <v>0.13888888888888881</v>
      </c>
      <c r="AK55" s="98">
        <v>-5.7591623036649109E-2</v>
      </c>
      <c r="AL55" s="98">
        <v>-2.8519574799066309E-3</v>
      </c>
      <c r="AM55" s="98">
        <v>-8.7147659684510104E-2</v>
      </c>
      <c r="AN55" s="98">
        <v>3.0102040816326388E-2</v>
      </c>
      <c r="AO55" s="98">
        <v>-5.5944055944055833E-2</v>
      </c>
      <c r="AP55" s="98">
        <v>0.36244541484716158</v>
      </c>
      <c r="AQ55" s="98">
        <v>-2.8414755732801611E-2</v>
      </c>
      <c r="AR55" s="98">
        <v>-0.37016574585635359</v>
      </c>
      <c r="AS55" s="98">
        <v>0.16946940029179161</v>
      </c>
      <c r="AT55" s="98">
        <v>4.5255474452554838E-2</v>
      </c>
      <c r="AU55" s="98">
        <v>-0.1027027027027025</v>
      </c>
      <c r="AV55" s="98">
        <v>-9.2024539877300526E-2</v>
      </c>
      <c r="AW55" s="98">
        <v>0.1863496932515338</v>
      </c>
      <c r="AX55" s="98">
        <v>-0.17058377558756629</v>
      </c>
      <c r="AY55" s="98">
        <v>7.9804213662481471E-2</v>
      </c>
      <c r="AZ55" s="98">
        <v>0.27938808373591001</v>
      </c>
      <c r="BA55" s="98">
        <v>-0.20779220779220781</v>
      </c>
      <c r="BB55" s="98">
        <v>0.27777777777777768</v>
      </c>
      <c r="BC55" s="98">
        <v>-0.10647338165458629</v>
      </c>
      <c r="BD55" s="98">
        <v>0.1009982384028185</v>
      </c>
      <c r="BE55" s="98">
        <v>-0.55991999999999997</v>
      </c>
      <c r="BF55" s="98">
        <v>-9.4129554655870584E-2</v>
      </c>
      <c r="BG55" s="98">
        <v>-7.8663793103448176E-2</v>
      </c>
      <c r="BH55" s="98">
        <v>-0.15322580645161291</v>
      </c>
      <c r="BI55" s="98"/>
      <c r="BJ55" s="98">
        <v>7.0516096065406098E-2</v>
      </c>
      <c r="BK55" s="98">
        <v>9.7497089639113632E-3</v>
      </c>
      <c r="BL55" s="98">
        <v>6.2610750147666705E-2</v>
      </c>
      <c r="BM55" s="98">
        <v>0.56943366951124896</v>
      </c>
      <c r="BN55" s="98"/>
      <c r="BO55" s="98">
        <v>-0.2117492327926348</v>
      </c>
      <c r="BP55" s="98">
        <v>1.785714285714279E-2</v>
      </c>
      <c r="BQ55" s="98">
        <v>2.8662420382165491E-2</v>
      </c>
      <c r="BR55" s="98">
        <v>-0.37688442211055267</v>
      </c>
      <c r="BS55" s="98">
        <v>-6.9105691056910556E-2</v>
      </c>
      <c r="BT55" s="98">
        <v>-1.255230125523021E-2</v>
      </c>
      <c r="BU55" s="98">
        <v>-7.8534031413612482E-2</v>
      </c>
      <c r="BV55" s="98">
        <v>-7.3170731707317027E-2</v>
      </c>
      <c r="BW55" s="98">
        <v>5.197278911564629E-2</v>
      </c>
      <c r="BX55" s="98">
        <v>5.8740202831547128E-2</v>
      </c>
      <c r="BY55" s="98"/>
      <c r="BZ55" s="98">
        <v>-0.20086393088552909</v>
      </c>
      <c r="CA55" s="98">
        <v>-4.4009779951100232E-2</v>
      </c>
      <c r="CB55" s="98">
        <v>-2.9268740251399139E-2</v>
      </c>
      <c r="CC55" s="98">
        <v>0.1953195586073504</v>
      </c>
      <c r="CD55" s="98">
        <v>-0.29558541266794619</v>
      </c>
      <c r="CE55" s="98">
        <v>-0.20284995808885159</v>
      </c>
      <c r="CF55" s="98">
        <v>-1.137062077443163E-2</v>
      </c>
      <c r="CG55" s="98"/>
      <c r="CH55" s="98"/>
      <c r="CI55" s="98">
        <v>-8.0952380952380998E-2</v>
      </c>
      <c r="CJ55" s="98">
        <v>4.7025258459815637E-2</v>
      </c>
      <c r="CK55" s="98">
        <v>-0.19112514542130629</v>
      </c>
      <c r="CL55" s="98">
        <v>-4.4776119402985093E-2</v>
      </c>
      <c r="CM55" s="98">
        <v>-0.10575427682737169</v>
      </c>
      <c r="CN55" s="98">
        <v>-0.18340611353711789</v>
      </c>
      <c r="CO55" s="98">
        <v>-0.32113144758735429</v>
      </c>
      <c r="CP55" s="98">
        <v>-0.1592689295039165</v>
      </c>
      <c r="CQ55" s="98">
        <v>4.2553191489361541E-2</v>
      </c>
      <c r="CR55" s="98">
        <v>3.6482100353424807E-2</v>
      </c>
      <c r="CS55" s="98">
        <v>-0.2189239332096474</v>
      </c>
      <c r="CT55" s="98">
        <v>-9.523809523809601E-3</v>
      </c>
      <c r="CU55" s="98">
        <v>-6.2745098039215574E-2</v>
      </c>
      <c r="CV55" s="98">
        <v>0.1122870862852343</v>
      </c>
      <c r="CW55" s="98">
        <v>5.4088405592430437E-2</v>
      </c>
      <c r="CX55" s="98">
        <v>-0.24648910411622271</v>
      </c>
      <c r="CY55" s="98">
        <v>-0.34285714285714303</v>
      </c>
      <c r="CZ55" s="98">
        <v>-5.0098208580826809E-2</v>
      </c>
      <c r="DA55" s="98">
        <v>0.39763113367174258</v>
      </c>
      <c r="DB55" s="98">
        <v>-7.127882599580726E-2</v>
      </c>
      <c r="DC55" s="98">
        <v>3.9122895218110409E-2</v>
      </c>
      <c r="DD55" s="98">
        <v>-0.1209150326797386</v>
      </c>
      <c r="DE55" s="98">
        <v>-0.18054187192118229</v>
      </c>
      <c r="DF55" s="98">
        <v>-4.6082949308755783E-2</v>
      </c>
      <c r="DG55" s="98">
        <v>0.13074204946996471</v>
      </c>
      <c r="DH55" s="98">
        <v>-4.2693661971830887E-2</v>
      </c>
      <c r="DI55" s="98">
        <v>-0.23497267759562851</v>
      </c>
      <c r="DJ55" s="98">
        <v>-4.2735042735042583E-2</v>
      </c>
      <c r="DK55" s="98">
        <v>0.29207920792079212</v>
      </c>
      <c r="DL55" s="98">
        <v>-0.27672955974842772</v>
      </c>
      <c r="DM55" s="98">
        <v>1.192842942345917E-2</v>
      </c>
      <c r="DN55" s="98">
        <v>-0.31455399061032863</v>
      </c>
      <c r="DO55" s="98"/>
      <c r="DP55" s="98">
        <v>-9.5190380761523197E-2</v>
      </c>
      <c r="DQ55" s="98">
        <v>-0.31596091205211729</v>
      </c>
      <c r="DR55" s="98">
        <v>-0.54794520547945202</v>
      </c>
      <c r="DS55" s="98">
        <v>0.17907444668008041</v>
      </c>
      <c r="DT55" s="98">
        <v>-0.24293785310734459</v>
      </c>
      <c r="DU55" s="98">
        <v>0.11609715932482501</v>
      </c>
      <c r="DV55" s="98">
        <v>0.45152354570637132</v>
      </c>
      <c r="DW55" s="98">
        <v>-1.6774193548387051E-2</v>
      </c>
      <c r="DX55" s="98">
        <v>-4.8599670510708348E-2</v>
      </c>
      <c r="DY55" s="98">
        <v>5.0398949601050402E-2</v>
      </c>
      <c r="DZ55" s="98">
        <v>-0.15763546798029551</v>
      </c>
      <c r="EA55" s="98">
        <v>-0.16748768472906389</v>
      </c>
      <c r="EB55" s="98">
        <v>-6.4630143903054882E-2</v>
      </c>
      <c r="EC55" s="98">
        <v>-6.2893081761006284E-3</v>
      </c>
      <c r="ED55" s="98">
        <v>5.1457975986277882E-2</v>
      </c>
      <c r="EE55" s="98">
        <v>7.714285714285718E-2</v>
      </c>
      <c r="EF55" s="98">
        <v>-0.1258278145695364</v>
      </c>
      <c r="EG55" s="98">
        <v>-0.64339908952959024</v>
      </c>
      <c r="EH55" s="98">
        <v>-0.33180327868852472</v>
      </c>
      <c r="EI55" s="98">
        <v>1.187908664544168E-2</v>
      </c>
      <c r="EJ55" s="98">
        <v>-3.8793103448275801E-2</v>
      </c>
      <c r="EK55" s="98">
        <v>-4.2105263157894653E-2</v>
      </c>
      <c r="EL55" s="98">
        <v>0.13306451612903231</v>
      </c>
      <c r="EM55" s="98">
        <v>-6.1907225383686759E-2</v>
      </c>
      <c r="EN55" s="98">
        <v>1.916216753522049E-2</v>
      </c>
      <c r="EO55" s="98">
        <v>0.17873651771956861</v>
      </c>
    </row>
    <row r="56" spans="1:145" x14ac:dyDescent="0.25">
      <c r="A56">
        <v>2024</v>
      </c>
      <c r="B56">
        <v>9</v>
      </c>
      <c r="C56" s="98">
        <v>2.1009192663419048E-2</v>
      </c>
      <c r="D56" s="98">
        <v>4.2208867330133506E-3</v>
      </c>
      <c r="E56" s="98">
        <v>-2.5423728813559369E-2</v>
      </c>
      <c r="F56" s="98">
        <v>1.8348623853211121E-2</v>
      </c>
      <c r="G56" s="98">
        <v>-0.1590551181102362</v>
      </c>
      <c r="H56" s="98">
        <v>-0.26556016597510379</v>
      </c>
      <c r="I56" s="98">
        <v>0.45945945945945937</v>
      </c>
      <c r="J56" s="98">
        <v>-4.3085761181781423E-3</v>
      </c>
      <c r="K56" s="98">
        <v>-3.9260969976905313E-2</v>
      </c>
      <c r="L56" s="98">
        <v>5.2083333333332593E-3</v>
      </c>
      <c r="M56" s="98">
        <v>-6.4156862745098131E-2</v>
      </c>
      <c r="N56" s="98">
        <v>-0.1069476971116317</v>
      </c>
      <c r="O56" s="98">
        <v>-5.3097345132743223E-2</v>
      </c>
      <c r="P56" s="98">
        <v>9.9337748344370924E-2</v>
      </c>
      <c r="Q56" s="98">
        <v>-0.13830769230769219</v>
      </c>
      <c r="R56" s="98">
        <v>-5.8486238532110102E-2</v>
      </c>
      <c r="S56" s="98">
        <v>8.7266251113089943E-2</v>
      </c>
      <c r="T56" s="98">
        <v>0</v>
      </c>
      <c r="U56" s="98">
        <v>-0.85566343042071202</v>
      </c>
      <c r="V56" s="98">
        <v>-0.13546473302570861</v>
      </c>
      <c r="W56" s="98">
        <v>-0.12987012987012991</v>
      </c>
      <c r="X56" s="98">
        <v>1.1366194013054279E-2</v>
      </c>
      <c r="Y56" s="98">
        <v>-5.9999999999999942E-2</v>
      </c>
      <c r="Z56" s="98">
        <v>0.22018348623853209</v>
      </c>
      <c r="AA56" s="98"/>
      <c r="AB56" s="98">
        <v>3.5837438171619551E-2</v>
      </c>
      <c r="AC56" s="98">
        <v>-0.1114649681528662</v>
      </c>
      <c r="AD56" s="98">
        <v>6.2350119904076802E-2</v>
      </c>
      <c r="AE56" s="98">
        <v>-0.14444444444444449</v>
      </c>
      <c r="AF56" s="98">
        <v>-0.34129884734326682</v>
      </c>
      <c r="AG56" s="98">
        <v>-0.36121673003802279</v>
      </c>
      <c r="AH56" s="98">
        <v>0.25742574257425738</v>
      </c>
      <c r="AI56" s="98">
        <v>-0.16984732824427479</v>
      </c>
      <c r="AJ56" s="98">
        <v>-0.2032520325203252</v>
      </c>
      <c r="AK56" s="98">
        <v>-2.2222222222222251E-2</v>
      </c>
      <c r="AL56" s="98">
        <v>4.6801872074881956E-3</v>
      </c>
      <c r="AM56" s="98">
        <v>0.31104815864022672</v>
      </c>
      <c r="AN56" s="98">
        <v>0.170381376919267</v>
      </c>
      <c r="AO56" s="98">
        <v>-5.1851851851851927E-2</v>
      </c>
      <c r="AP56" s="98">
        <v>0.29487179487179488</v>
      </c>
      <c r="AQ56" s="98">
        <v>-1.7957927142124071E-2</v>
      </c>
      <c r="AR56" s="98">
        <v>-0.1217543859649123</v>
      </c>
      <c r="AS56" s="98">
        <v>0.79251477347340771</v>
      </c>
      <c r="AT56" s="98">
        <v>-9.4972067039106101E-2</v>
      </c>
      <c r="AU56" s="98">
        <v>0.13453815261044169</v>
      </c>
      <c r="AV56" s="98">
        <v>-9.4594594594594517E-2</v>
      </c>
      <c r="AW56" s="98">
        <v>-5.0420168067226927E-2</v>
      </c>
      <c r="AX56" s="98">
        <v>0.1672760511882998</v>
      </c>
      <c r="AY56" s="98">
        <v>-6.5825778478517893E-2</v>
      </c>
      <c r="AZ56" s="98">
        <v>1.9509125235997349E-2</v>
      </c>
      <c r="BA56" s="98">
        <v>-9.8360655737705027E-2</v>
      </c>
      <c r="BB56" s="98">
        <v>0.30434782608695649</v>
      </c>
      <c r="BC56" s="98">
        <v>0.1095571095571095</v>
      </c>
      <c r="BD56" s="98">
        <v>0.42346666666666671</v>
      </c>
      <c r="BE56" s="98">
        <v>-6.089801854208321E-2</v>
      </c>
      <c r="BF56" s="98">
        <v>-0.10726256983240209</v>
      </c>
      <c r="BG56" s="98">
        <v>-0.58245614035087723</v>
      </c>
      <c r="BH56" s="98">
        <v>-0.36285714285714282</v>
      </c>
      <c r="BI56" s="98"/>
      <c r="BJ56" s="98">
        <v>-0.20047732696897369</v>
      </c>
      <c r="BK56" s="98">
        <v>0.2681942643032138</v>
      </c>
      <c r="BL56" s="98">
        <v>0.1117287381878822</v>
      </c>
      <c r="BM56" s="98">
        <v>0.111220958971824</v>
      </c>
      <c r="BN56" s="98"/>
      <c r="BO56" s="98">
        <v>0.18715239154616259</v>
      </c>
      <c r="BP56" s="98">
        <v>1.169590643274865E-2</v>
      </c>
      <c r="BQ56" s="98">
        <v>-3.6119711042311708E-3</v>
      </c>
      <c r="BR56" s="98">
        <v>5.6451612903225763E-2</v>
      </c>
      <c r="BS56" s="98">
        <v>-1.501091703056789E-3</v>
      </c>
      <c r="BT56" s="98">
        <v>-7.6271186440677874E-2</v>
      </c>
      <c r="BU56" s="98">
        <v>0.13068181818181809</v>
      </c>
      <c r="BV56" s="98">
        <v>0.18421052631578941</v>
      </c>
      <c r="BW56" s="98">
        <v>-3.9403345404380168E-2</v>
      </c>
      <c r="BX56" s="98">
        <v>-2.2910724262651842E-2</v>
      </c>
      <c r="BY56" s="98"/>
      <c r="BZ56" s="98">
        <v>-1.081081081081081E-2</v>
      </c>
      <c r="CA56" s="98">
        <v>-0.21994884910485951</v>
      </c>
      <c r="CB56" s="98">
        <v>-5.3969754253308078E-2</v>
      </c>
      <c r="CC56" s="98">
        <v>-7.7165050942836322E-2</v>
      </c>
      <c r="CD56" s="98">
        <v>0.22343324250681221</v>
      </c>
      <c r="CE56" s="98">
        <v>5.1524710830704652E-2</v>
      </c>
      <c r="CF56" s="98">
        <v>-0.20111905502020511</v>
      </c>
      <c r="CG56" s="98"/>
      <c r="CH56" s="98"/>
      <c r="CI56" s="98">
        <v>-0.32642487046632118</v>
      </c>
      <c r="CJ56" s="98">
        <v>-3.5024454049626841E-2</v>
      </c>
      <c r="CK56" s="98">
        <v>0.41586192726525573</v>
      </c>
      <c r="CL56" s="98">
        <v>1.5625E-2</v>
      </c>
      <c r="CM56" s="98">
        <v>0.14869565217391309</v>
      </c>
      <c r="CN56" s="98">
        <v>-9.6256684491978661E-2</v>
      </c>
      <c r="CO56" s="98">
        <v>0.4828431372549018</v>
      </c>
      <c r="CP56" s="98">
        <v>-0.28881987577639762</v>
      </c>
      <c r="CQ56" s="98">
        <v>-1.3605442176870869E-2</v>
      </c>
      <c r="CR56" s="98">
        <v>-0.14407196407363421</v>
      </c>
      <c r="CS56" s="98">
        <v>-5.700712589073631E-2</v>
      </c>
      <c r="CT56" s="98">
        <v>-0.35576923076923073</v>
      </c>
      <c r="CU56" s="98">
        <v>2.0920502092050208E-2</v>
      </c>
      <c r="CV56" s="98">
        <v>7.8929791785648629E-2</v>
      </c>
      <c r="CW56" s="98">
        <v>-3.4030010718113728E-2</v>
      </c>
      <c r="CX56" s="98">
        <v>-3.2776349614395912E-2</v>
      </c>
      <c r="CY56" s="98">
        <v>-7.246376811594013E-3</v>
      </c>
      <c r="CZ56" s="98">
        <v>-2.4129831304718912E-3</v>
      </c>
      <c r="DA56" s="98">
        <v>9.4430992736077357E-2</v>
      </c>
      <c r="DB56" s="98">
        <v>-0.1565086531226485</v>
      </c>
      <c r="DC56" s="98">
        <v>-9.862463319461634E-2</v>
      </c>
      <c r="DD56" s="98">
        <v>-0.1003717472118959</v>
      </c>
      <c r="DE56" s="98">
        <v>7.3038773669972912E-2</v>
      </c>
      <c r="DF56" s="98">
        <v>3.3816425120773097E-2</v>
      </c>
      <c r="DG56" s="98">
        <v>-0.32500000000000001</v>
      </c>
      <c r="DH56" s="98">
        <v>-5.8390804597701178E-2</v>
      </c>
      <c r="DI56" s="98">
        <v>0.15714285714285731</v>
      </c>
      <c r="DJ56" s="98">
        <v>0.28571428571428559</v>
      </c>
      <c r="DK56" s="98">
        <v>2.5078369905956022E-2</v>
      </c>
      <c r="DL56" s="98">
        <v>-0.19600000000000001</v>
      </c>
      <c r="DM56" s="98">
        <v>-0.1041257367387034</v>
      </c>
      <c r="DN56" s="98">
        <v>2.0547945205479531E-2</v>
      </c>
      <c r="DO56" s="98"/>
      <c r="DP56" s="98">
        <v>-0.25249169435215951</v>
      </c>
      <c r="DQ56" s="98">
        <v>-0.18095238095238089</v>
      </c>
      <c r="DR56" s="98">
        <v>-6.9696969696969702E-2</v>
      </c>
      <c r="DS56" s="98">
        <v>-0.1131968145620021</v>
      </c>
      <c r="DT56" s="98">
        <v>-6.7164179104477584E-2</v>
      </c>
      <c r="DU56" s="98">
        <v>0.2132054592401329</v>
      </c>
      <c r="DV56" s="98">
        <v>0.2251908396946565</v>
      </c>
      <c r="DW56" s="98">
        <v>9.4488188976378007E-2</v>
      </c>
      <c r="DX56" s="98">
        <v>0.1731601731601731</v>
      </c>
      <c r="DY56" s="98">
        <v>-0.17634615384615379</v>
      </c>
      <c r="DZ56" s="98">
        <v>2.9239766081871291E-2</v>
      </c>
      <c r="EA56" s="98">
        <v>-4.1420118343195138E-2</v>
      </c>
      <c r="EB56" s="98">
        <v>-0.3651821862348178</v>
      </c>
      <c r="EC56" s="98">
        <v>5.6962025316455563E-2</v>
      </c>
      <c r="ED56" s="98">
        <v>-0.1402936378466558</v>
      </c>
      <c r="EE56" s="98">
        <v>-0.1193633952254642</v>
      </c>
      <c r="EF56" s="98">
        <v>-6.0361681329423211E-2</v>
      </c>
      <c r="EG56" s="98">
        <v>-0.38297872340425532</v>
      </c>
      <c r="EH56" s="98">
        <v>-0.14818449460255151</v>
      </c>
      <c r="EI56" s="98">
        <v>-3.8906556600581843E-2</v>
      </c>
      <c r="EJ56" s="98">
        <v>-2.242152466367708E-2</v>
      </c>
      <c r="EK56" s="98">
        <v>3.296703296703285E-2</v>
      </c>
      <c r="EL56" s="98">
        <v>1.423487544483981E-2</v>
      </c>
      <c r="EM56" s="98">
        <v>-0.13602941176470601</v>
      </c>
      <c r="EN56" s="98">
        <v>6.4798934812030584E-2</v>
      </c>
      <c r="EO56" s="98">
        <v>-9.2810457516339873E-2</v>
      </c>
    </row>
    <row r="57" spans="1:145" x14ac:dyDescent="0.25">
      <c r="A57">
        <v>2024</v>
      </c>
      <c r="B57">
        <v>10</v>
      </c>
      <c r="C57" s="98">
        <v>-8.9235272812419053E-3</v>
      </c>
      <c r="D57" s="98">
        <v>3.9502663032036089E-3</v>
      </c>
      <c r="E57" s="98">
        <v>0.57391304347826111</v>
      </c>
      <c r="F57" s="98">
        <v>1.001001001001089E-3</v>
      </c>
      <c r="G57" s="98">
        <v>5.9925093632958948E-2</v>
      </c>
      <c r="H57" s="98">
        <v>0.40112994350282483</v>
      </c>
      <c r="I57" s="98">
        <v>0.66666666666666674</v>
      </c>
      <c r="J57" s="98">
        <v>4.1211621677313071E-2</v>
      </c>
      <c r="K57" s="98">
        <v>1.802884615384626E-2</v>
      </c>
      <c r="L57" s="98">
        <v>-2.5906735751295321E-2</v>
      </c>
      <c r="M57" s="98">
        <v>-4.0479383171304062E-2</v>
      </c>
      <c r="N57" s="98">
        <v>-0.659965034965035</v>
      </c>
      <c r="O57" s="98">
        <v>9.3457943925234765E-3</v>
      </c>
      <c r="P57" s="98">
        <v>0.10240963855421679</v>
      </c>
      <c r="Q57" s="98">
        <v>3.008391358685936E-2</v>
      </c>
      <c r="R57" s="98">
        <v>7.3081607795371539E-2</v>
      </c>
      <c r="S57" s="98">
        <v>-6.3063063063063196E-2</v>
      </c>
      <c r="T57" s="98">
        <v>-0.12711864406779649</v>
      </c>
      <c r="U57" s="98">
        <v>-4.0134529147982101E-2</v>
      </c>
      <c r="V57" s="98">
        <v>0.179565383149066</v>
      </c>
      <c r="W57" s="98">
        <v>-3.2835820895522387E-2</v>
      </c>
      <c r="X57" s="98">
        <v>-9.3468343162346201E-3</v>
      </c>
      <c r="Y57" s="98">
        <v>-0.18297872340425539</v>
      </c>
      <c r="Z57" s="98">
        <v>-7.5187969924812137E-2</v>
      </c>
      <c r="AA57" s="98"/>
      <c r="AB57" s="98">
        <v>8.9874210481603711E-2</v>
      </c>
      <c r="AC57" s="98">
        <v>-8.6021505376344121E-2</v>
      </c>
      <c r="AD57" s="98">
        <v>-0.16478555304740389</v>
      </c>
      <c r="AE57" s="98">
        <v>7.7922077922076838E-3</v>
      </c>
      <c r="AF57" s="98">
        <v>7.4690567648314499E-3</v>
      </c>
      <c r="AG57" s="98">
        <v>-0.1984126984126984</v>
      </c>
      <c r="AH57" s="98">
        <v>-0.19685039370078741</v>
      </c>
      <c r="AI57" s="98">
        <v>-0.14482758620689659</v>
      </c>
      <c r="AJ57" s="98">
        <v>0.1122448979591837</v>
      </c>
      <c r="AK57" s="98">
        <v>5.6818181818181213E-3</v>
      </c>
      <c r="AL57" s="98">
        <v>-0.1164596273291926</v>
      </c>
      <c r="AM57" s="98">
        <v>5.8124459809852917E-2</v>
      </c>
      <c r="AN57" s="98">
        <v>9.3948370715192464E-2</v>
      </c>
      <c r="AO57" s="98">
        <v>-0.1249999999999999</v>
      </c>
      <c r="AP57" s="98">
        <v>0.24443069306930701</v>
      </c>
      <c r="AQ57" s="98">
        <v>-0.12434691745036559</v>
      </c>
      <c r="AR57" s="98">
        <v>-0.25549340791050729</v>
      </c>
      <c r="AS57" s="98">
        <v>0.24249084249084249</v>
      </c>
      <c r="AT57" s="98">
        <v>0.30555555555555558</v>
      </c>
      <c r="AU57" s="98">
        <v>1.7699115044247819E-2</v>
      </c>
      <c r="AV57" s="98">
        <v>-1.49253731343284E-2</v>
      </c>
      <c r="AW57" s="98">
        <v>-0.13955071477195369</v>
      </c>
      <c r="AX57" s="98">
        <v>9.0446358653093251E-2</v>
      </c>
      <c r="AY57" s="98">
        <v>5.3164556962025378E-2</v>
      </c>
      <c r="AZ57" s="98">
        <v>7.4074074074075291E-3</v>
      </c>
      <c r="BA57" s="98">
        <v>0.23636363636363661</v>
      </c>
      <c r="BB57" s="98">
        <v>0.41166666666666679</v>
      </c>
      <c r="BC57" s="98">
        <v>0.22899159663865551</v>
      </c>
      <c r="BD57" s="98">
        <v>0.25777444735856131</v>
      </c>
      <c r="BE57" s="98">
        <v>-5.0716221447928873E-2</v>
      </c>
      <c r="BF57" s="98">
        <v>0.47183979974968698</v>
      </c>
      <c r="BG57" s="98">
        <v>-0.11484593837535011</v>
      </c>
      <c r="BH57" s="98">
        <v>0.21076233183856499</v>
      </c>
      <c r="BI57" s="98"/>
      <c r="BJ57" s="98">
        <v>-1.6343283582089582E-2</v>
      </c>
      <c r="BK57" s="98">
        <v>-3.4090909090909172E-2</v>
      </c>
      <c r="BL57" s="98">
        <v>-0.19675000000000001</v>
      </c>
      <c r="BM57" s="98">
        <v>2.2241992882563451E-3</v>
      </c>
      <c r="BN57" s="98"/>
      <c r="BO57" s="98">
        <v>-8.6671351604591162E-2</v>
      </c>
      <c r="BP57" s="98">
        <v>-1.156069364161849E-2</v>
      </c>
      <c r="BQ57" s="98">
        <v>1.294665976178155E-2</v>
      </c>
      <c r="BR57" s="98">
        <v>-8.3969465648854991E-2</v>
      </c>
      <c r="BS57" s="98">
        <v>0.15826158261582621</v>
      </c>
      <c r="BT57" s="98">
        <v>0.1834862385321101</v>
      </c>
      <c r="BU57" s="98">
        <v>0.14070351758793961</v>
      </c>
      <c r="BV57" s="98">
        <v>-0.22222222222222221</v>
      </c>
      <c r="BW57" s="98">
        <v>-1.238667983125386E-2</v>
      </c>
      <c r="BX57" s="98">
        <v>-1.3575449327810849E-2</v>
      </c>
      <c r="BY57" s="98"/>
      <c r="BZ57" s="98">
        <v>-1.092896174863389E-2</v>
      </c>
      <c r="CA57" s="98">
        <v>-0.29508196721311469</v>
      </c>
      <c r="CB57" s="98">
        <v>5.6049555400139887E-2</v>
      </c>
      <c r="CC57" s="98">
        <v>-6.3435378946382404E-2</v>
      </c>
      <c r="CD57" s="98">
        <v>0.23385300668151429</v>
      </c>
      <c r="CE57" s="98">
        <v>8.4999999999999964E-2</v>
      </c>
      <c r="CF57" s="98">
        <v>6.9649805447470792E-2</v>
      </c>
      <c r="CG57" s="98"/>
      <c r="CH57" s="98"/>
      <c r="CI57" s="98">
        <v>0.68461538461538463</v>
      </c>
      <c r="CJ57" s="98">
        <v>-9.8978724851983557E-2</v>
      </c>
      <c r="CK57" s="98">
        <v>3.9036424321578833E-2</v>
      </c>
      <c r="CL57" s="98">
        <v>-8.4615384615384648E-2</v>
      </c>
      <c r="CM57" s="98">
        <v>-0.13323239969719919</v>
      </c>
      <c r="CN57" s="98">
        <v>-0.18934911242603539</v>
      </c>
      <c r="CO57" s="98">
        <v>2.3140495867768781E-2</v>
      </c>
      <c r="CP57" s="98">
        <v>-3.4934497816593968E-2</v>
      </c>
      <c r="CQ57" s="98">
        <v>0.21034482758620701</v>
      </c>
      <c r="CR57" s="98">
        <v>-1.8298400515997511E-2</v>
      </c>
      <c r="CS57" s="98">
        <v>1.7632241813601901E-2</v>
      </c>
      <c r="CT57" s="98">
        <v>2.9850746268656581E-2</v>
      </c>
      <c r="CU57" s="98">
        <v>-2.459016393442626E-2</v>
      </c>
      <c r="CV57" s="98">
        <v>2.6646091457998681E-2</v>
      </c>
      <c r="CW57" s="98">
        <v>2.2884882108183069E-2</v>
      </c>
      <c r="CX57" s="98">
        <v>0.1029900332225915</v>
      </c>
      <c r="CY57" s="98">
        <v>-0.15693430656934321</v>
      </c>
      <c r="CZ57" s="98">
        <v>-2.2115432640509192E-2</v>
      </c>
      <c r="DA57" s="98">
        <v>-5.1438053097345171E-2</v>
      </c>
      <c r="DB57" s="98">
        <v>0.25512934879571803</v>
      </c>
      <c r="DC57" s="98">
        <v>-2.2874190010190532E-2</v>
      </c>
      <c r="DD57" s="98">
        <v>-5.3719008264462742E-2</v>
      </c>
      <c r="DE57" s="98">
        <v>3.6414565826330618E-2</v>
      </c>
      <c r="DF57" s="98">
        <v>2.8037383177570211E-2</v>
      </c>
      <c r="DG57" s="98">
        <v>6.0185185185185119E-2</v>
      </c>
      <c r="DH57" s="98">
        <v>0.19775390625</v>
      </c>
      <c r="DI57" s="98">
        <v>7.4074074074073959E-2</v>
      </c>
      <c r="DJ57" s="98">
        <v>-0.2222222222222221</v>
      </c>
      <c r="DK57" s="98">
        <v>-0.1231736323479443</v>
      </c>
      <c r="DL57" s="98">
        <v>3.8611291369240908E-2</v>
      </c>
      <c r="DM57" s="98">
        <v>-8.9912280701754277E-2</v>
      </c>
      <c r="DN57" s="98">
        <v>-8.7248322147650881E-2</v>
      </c>
      <c r="DO57" s="98"/>
      <c r="DP57" s="98">
        <v>6.9629629629629486E-2</v>
      </c>
      <c r="DQ57" s="98">
        <v>8.5271317829457294E-2</v>
      </c>
      <c r="DR57" s="98">
        <v>-0.12703583061889251</v>
      </c>
      <c r="DS57" s="98">
        <v>9.2687620269403581E-2</v>
      </c>
      <c r="DT57" s="98">
        <v>-0.38319999999999999</v>
      </c>
      <c r="DU57" s="98">
        <v>0.35269078747339622</v>
      </c>
      <c r="DV57" s="98">
        <v>-0.36760124610591899</v>
      </c>
      <c r="DW57" s="98">
        <v>-0.17745803357314141</v>
      </c>
      <c r="DX57" s="98">
        <v>1.77121771217712E-2</v>
      </c>
      <c r="DY57" s="98">
        <v>9.5727293952836856E-2</v>
      </c>
      <c r="DZ57" s="98">
        <v>-6.8181818181818232E-2</v>
      </c>
      <c r="EA57" s="98">
        <v>-0.12345679012345689</v>
      </c>
      <c r="EB57" s="98">
        <v>-0.14285714285714279</v>
      </c>
      <c r="EC57" s="98">
        <v>-0.1182634730538922</v>
      </c>
      <c r="ED57" s="98">
        <v>-0.2428842504743832</v>
      </c>
      <c r="EE57" s="98">
        <v>-6.6265060240963791E-2</v>
      </c>
      <c r="EF57" s="98">
        <v>-1.7815344603381082E-2</v>
      </c>
      <c r="EG57" s="98">
        <v>-3.4482758620689717E-2</v>
      </c>
      <c r="EH57" s="98">
        <v>5.558755760368661E-2</v>
      </c>
      <c r="EI57" s="98">
        <v>-8.6243311743172679E-4</v>
      </c>
      <c r="EJ57" s="98">
        <v>-9.1743119266055606E-3</v>
      </c>
      <c r="EK57" s="98">
        <v>0.44680851063829802</v>
      </c>
      <c r="EL57" s="98">
        <v>0.1298245614035087</v>
      </c>
      <c r="EM57" s="98">
        <v>8.5106382978723527E-2</v>
      </c>
      <c r="EN57" s="98">
        <v>-8.2751416412372936E-2</v>
      </c>
      <c r="EO57" s="98">
        <v>0.17435158501440931</v>
      </c>
    </row>
    <row r="58" spans="1:145" x14ac:dyDescent="0.25">
      <c r="A58">
        <v>2024</v>
      </c>
      <c r="B58">
        <v>11</v>
      </c>
      <c r="C58" s="98">
        <v>5.9633474015355681E-2</v>
      </c>
      <c r="D58" s="98">
        <v>3.700592649635404E-3</v>
      </c>
      <c r="E58" s="98">
        <v>1.2486187845303871</v>
      </c>
      <c r="F58" s="98">
        <v>0</v>
      </c>
      <c r="G58" s="98">
        <v>-0.18197879858657251</v>
      </c>
      <c r="H58" s="98">
        <v>-6.8548387096774133E-2</v>
      </c>
      <c r="I58" s="98">
        <v>2.5925925925925911E-2</v>
      </c>
      <c r="J58" s="98">
        <v>-0.10567979418167429</v>
      </c>
      <c r="K58" s="98">
        <v>-2.3612750885478321E-2</v>
      </c>
      <c r="L58" s="98">
        <v>-0.23404255319148939</v>
      </c>
      <c r="M58" s="98">
        <v>-2.6203161848192819E-4</v>
      </c>
      <c r="N58" s="98">
        <v>0.13367609254498711</v>
      </c>
      <c r="O58" s="98">
        <v>0.54629629629629606</v>
      </c>
      <c r="P58" s="98">
        <v>-7.2859744990892539E-2</v>
      </c>
      <c r="Q58" s="98">
        <v>-9.0042464684981227E-2</v>
      </c>
      <c r="R58" s="98">
        <v>1.0972379871358349E-2</v>
      </c>
      <c r="S58" s="98">
        <v>4.8076923076922906E-3</v>
      </c>
      <c r="T58" s="98">
        <v>-2.9126213592233E-2</v>
      </c>
      <c r="U58" s="98">
        <v>0.53001635131978531</v>
      </c>
      <c r="V58" s="98">
        <v>-0.28506787330316741</v>
      </c>
      <c r="W58" s="98">
        <v>5.5555555555555358E-2</v>
      </c>
      <c r="X58" s="98">
        <v>0.1032236324834326</v>
      </c>
      <c r="Y58" s="98">
        <v>-0.16145833333333329</v>
      </c>
      <c r="Z58" s="98">
        <v>-0.26829268292682928</v>
      </c>
      <c r="AA58" s="98">
        <v>-0.20338983050847459</v>
      </c>
      <c r="AB58" s="98">
        <v>6.1861239110021948E-2</v>
      </c>
      <c r="AC58" s="98">
        <v>0.29607843137254908</v>
      </c>
      <c r="AD58" s="98">
        <v>-6.7567567567567544E-2</v>
      </c>
      <c r="AE58" s="98">
        <v>-2.0618556701030969E-2</v>
      </c>
      <c r="AF58" s="98">
        <v>-0.1484854903622114</v>
      </c>
      <c r="AG58" s="98">
        <v>7.9207920792079278E-2</v>
      </c>
      <c r="AH58" s="98">
        <v>2.941176470588247E-2</v>
      </c>
      <c r="AI58" s="98">
        <v>3.584229390680926E-3</v>
      </c>
      <c r="AJ58" s="98">
        <v>-0.30275229357798172</v>
      </c>
      <c r="AK58" s="98">
        <v>0.16949152542372881</v>
      </c>
      <c r="AL58" s="98">
        <v>-0.10661980082015229</v>
      </c>
      <c r="AM58" s="98">
        <v>0.17786399836634681</v>
      </c>
      <c r="AN58" s="98">
        <v>-0.2263056092843326</v>
      </c>
      <c r="AO58" s="98">
        <v>0.24999999999999981</v>
      </c>
      <c r="AP58" s="98">
        <v>-1.9393336648433679E-2</v>
      </c>
      <c r="AQ58" s="98">
        <v>-0.110381861575179</v>
      </c>
      <c r="AR58" s="98">
        <v>-0.64368124496914414</v>
      </c>
      <c r="AS58" s="98">
        <v>-0.10436320754716991</v>
      </c>
      <c r="AT58" s="98">
        <v>-0.19030732860520111</v>
      </c>
      <c r="AU58" s="98">
        <v>5.2173913043478404E-3</v>
      </c>
      <c r="AV58" s="98">
        <v>-0.33333333333333343</v>
      </c>
      <c r="AW58" s="98">
        <v>4.5094936708860889E-2</v>
      </c>
      <c r="AX58" s="98">
        <v>-0.1245960502692999</v>
      </c>
      <c r="AY58" s="98">
        <v>-0.33894230769230771</v>
      </c>
      <c r="AZ58" s="98">
        <v>-0.16115196078431379</v>
      </c>
      <c r="BA58" s="98">
        <v>0.37254901960784292</v>
      </c>
      <c r="BB58" s="98">
        <v>0.59740259740259716</v>
      </c>
      <c r="BC58" s="98">
        <v>-0.24273504273504279</v>
      </c>
      <c r="BD58" s="98">
        <v>-1.6979445933869571E-2</v>
      </c>
      <c r="BE58" s="98">
        <v>-0.79812398042414356</v>
      </c>
      <c r="BF58" s="98">
        <v>-0.24744897959183679</v>
      </c>
      <c r="BG58" s="98">
        <v>0.21835443037974689</v>
      </c>
      <c r="BH58" s="98">
        <v>0.10246913580246921</v>
      </c>
      <c r="BI58" s="98"/>
      <c r="BJ58" s="98">
        <v>1.358015325089146E-2</v>
      </c>
      <c r="BK58" s="98">
        <v>-1.1764705882352899E-2</v>
      </c>
      <c r="BL58" s="98">
        <v>7.9053843759726128E-2</v>
      </c>
      <c r="BM58" s="98">
        <v>-6.9906790945406194E-2</v>
      </c>
      <c r="BN58" s="98">
        <v>0.2977777777777777</v>
      </c>
      <c r="BO58" s="98">
        <v>-5.1038727878943368E-2</v>
      </c>
      <c r="BP58" s="98">
        <v>1.169590643274865E-2</v>
      </c>
      <c r="BQ58" s="98">
        <v>-2.9141104294478581E-2</v>
      </c>
      <c r="BR58" s="98">
        <v>-7.4999999999999845E-2</v>
      </c>
      <c r="BS58" s="98">
        <v>1.0619469026548639E-2</v>
      </c>
      <c r="BT58" s="98">
        <v>0.56589147286821695</v>
      </c>
      <c r="BU58" s="98">
        <v>-0.21585903083700439</v>
      </c>
      <c r="BV58" s="98">
        <v>-9.52380952380949E-3</v>
      </c>
      <c r="BW58" s="98">
        <v>0.1050622557484322</v>
      </c>
      <c r="BX58" s="98">
        <v>-2.2557246425634059E-2</v>
      </c>
      <c r="BY58" s="98"/>
      <c r="BZ58" s="98">
        <v>-9.9447513812154775E-2</v>
      </c>
      <c r="CA58" s="98">
        <v>-3.2558139534883623E-2</v>
      </c>
      <c r="CB58" s="98">
        <v>0.1491958372753075</v>
      </c>
      <c r="CC58" s="98">
        <v>-3.977683387596942E-2</v>
      </c>
      <c r="CD58" s="98">
        <v>-0.18050541516245491</v>
      </c>
      <c r="CE58" s="98">
        <v>6.4516129032258229E-2</v>
      </c>
      <c r="CF58" s="98">
        <v>-0.2469989086940706</v>
      </c>
      <c r="CG58" s="98"/>
      <c r="CH58" s="98">
        <v>-0.1117903930131003</v>
      </c>
      <c r="CI58" s="98">
        <v>-0.41095890410958902</v>
      </c>
      <c r="CJ58" s="98">
        <v>-6.6455746514253464E-3</v>
      </c>
      <c r="CK58" s="98">
        <v>-0.16201117318435751</v>
      </c>
      <c r="CL58" s="98">
        <v>-4.2016806722689148E-2</v>
      </c>
      <c r="CM58" s="98">
        <v>-0.13187772925764199</v>
      </c>
      <c r="CN58" s="98">
        <v>-4.3795620437956262E-2</v>
      </c>
      <c r="CO58" s="98">
        <v>-0.22455573505654289</v>
      </c>
      <c r="CP58" s="98">
        <v>0.31221719457013569</v>
      </c>
      <c r="CQ58" s="98">
        <v>-6.0778727445394032E-2</v>
      </c>
      <c r="CR58" s="98">
        <v>-0.1397629209202689</v>
      </c>
      <c r="CS58" s="98">
        <v>1.809405940594059</v>
      </c>
      <c r="CT58" s="98">
        <v>-0.27536231884057971</v>
      </c>
      <c r="CU58" s="98">
        <v>-4.2016806722687816E-3</v>
      </c>
      <c r="CV58" s="98">
        <v>1.595284494586258E-2</v>
      </c>
      <c r="CW58" s="98">
        <v>0.14942372881355939</v>
      </c>
      <c r="CX58" s="98">
        <v>1.8674698795180689E-2</v>
      </c>
      <c r="CY58" s="98">
        <v>8.6580086580068105E-4</v>
      </c>
      <c r="CZ58" s="98">
        <v>-5.929522843602586E-2</v>
      </c>
      <c r="DA58" s="98">
        <v>-0.48279883381924188</v>
      </c>
      <c r="DB58" s="98">
        <v>-1.91897654584221E-2</v>
      </c>
      <c r="DC58" s="98">
        <v>0.124304894893341</v>
      </c>
      <c r="DD58" s="98">
        <v>-0.66375545851528384</v>
      </c>
      <c r="DE58" s="98">
        <v>-0.25945945945945942</v>
      </c>
      <c r="DF58" s="98">
        <v>2.0181818181818181</v>
      </c>
      <c r="DG58" s="98">
        <v>-0.11790393013100441</v>
      </c>
      <c r="DH58" s="98">
        <v>-6.8895230330207946E-2</v>
      </c>
      <c r="DI58" s="98">
        <v>-0.13218390804597699</v>
      </c>
      <c r="DJ58" s="98">
        <v>0.107142857142857</v>
      </c>
      <c r="DK58" s="98">
        <v>-0.85119162952916105</v>
      </c>
      <c r="DL58" s="98">
        <v>-0.32937623659273141</v>
      </c>
      <c r="DM58" s="98">
        <v>-0.127710843373494</v>
      </c>
      <c r="DN58" s="98">
        <v>7.3529411764705621E-3</v>
      </c>
      <c r="DO58" s="98"/>
      <c r="DP58" s="98">
        <v>8.3102493074793671E-3</v>
      </c>
      <c r="DQ58" s="98">
        <v>-0.1964285714285714</v>
      </c>
      <c r="DR58" s="98">
        <v>4.1044776119402833E-2</v>
      </c>
      <c r="DS58" s="98">
        <v>7.3378338714411573E-2</v>
      </c>
      <c r="DT58" s="98">
        <v>0.3748378728923476</v>
      </c>
      <c r="DU58" s="98">
        <v>0.17891661047426391</v>
      </c>
      <c r="DV58" s="98">
        <v>-1.9704433497536811E-2</v>
      </c>
      <c r="DW58" s="98">
        <v>-9.0379008746355738E-2</v>
      </c>
      <c r="DX58" s="98">
        <v>-7.4691805656272647E-2</v>
      </c>
      <c r="DY58" s="98">
        <v>-0.24355422970381421</v>
      </c>
      <c r="DZ58" s="98">
        <v>-0.1829268292682926</v>
      </c>
      <c r="EA58" s="98">
        <v>-0.20422535211267609</v>
      </c>
      <c r="EB58" s="98">
        <v>-9.1269841269841279E-2</v>
      </c>
      <c r="EC58" s="98">
        <v>-2.2071307300509321E-2</v>
      </c>
      <c r="ED58" s="98">
        <v>-5.2631578947368467E-2</v>
      </c>
      <c r="EE58" s="98">
        <v>-8.3870967741935587E-2</v>
      </c>
      <c r="EF58" s="98">
        <v>-5.9976168409903392E-2</v>
      </c>
      <c r="EG58" s="98">
        <v>-8.5714285714285632E-2</v>
      </c>
      <c r="EH58" s="98">
        <v>-0.37107776261937242</v>
      </c>
      <c r="EI58" s="98">
        <v>0.13857522856589211</v>
      </c>
      <c r="EJ58" s="98">
        <v>0.2407407407407407</v>
      </c>
      <c r="EK58" s="98">
        <v>8.8235294117646967E-2</v>
      </c>
      <c r="EL58" s="98">
        <v>1.8633540372670732E-2</v>
      </c>
      <c r="EM58" s="98">
        <v>-3.3333333333333333E-2</v>
      </c>
      <c r="EN58" s="98">
        <v>-1.9744962075310731E-2</v>
      </c>
      <c r="EO58" s="98">
        <v>0.14478527607361971</v>
      </c>
    </row>
    <row r="59" spans="1:145" x14ac:dyDescent="0.25">
      <c r="A59">
        <v>2024</v>
      </c>
      <c r="B59">
        <v>12</v>
      </c>
      <c r="C59" s="98">
        <v>-2.4099749963716222E-2</v>
      </c>
      <c r="D59" s="98">
        <v>4.0230304397141916E-3</v>
      </c>
      <c r="E59" s="98">
        <v>-0.39066339066339067</v>
      </c>
      <c r="F59" s="98">
        <v>1.0000000000000011E-2</v>
      </c>
      <c r="G59" s="98">
        <v>-0.15118790496760259</v>
      </c>
      <c r="H59" s="98">
        <v>1.0129870129870131</v>
      </c>
      <c r="I59" s="98">
        <v>-0.31768953068592071</v>
      </c>
      <c r="J59" s="98">
        <v>-0.1783580438150032</v>
      </c>
      <c r="K59" s="98">
        <v>-4.2321644498186213E-2</v>
      </c>
      <c r="L59" s="98">
        <v>0.16666666666666671</v>
      </c>
      <c r="M59" s="98">
        <v>-3.4073038616110329E-2</v>
      </c>
      <c r="N59" s="98">
        <v>-4.0816326530612179E-2</v>
      </c>
      <c r="O59" s="98">
        <v>-0.17365269461077851</v>
      </c>
      <c r="P59" s="98">
        <v>-0.3005893909626719</v>
      </c>
      <c r="Q59" s="98">
        <v>9.52380952380949E-3</v>
      </c>
      <c r="R59" s="98">
        <v>-0.28255988023952078</v>
      </c>
      <c r="S59" s="98">
        <v>4.349717268379294E-4</v>
      </c>
      <c r="T59" s="98">
        <v>-0.12889999999999999</v>
      </c>
      <c r="U59" s="98">
        <v>-0.1042748091603054</v>
      </c>
      <c r="V59" s="98">
        <v>-4.9728752260397857E-2</v>
      </c>
      <c r="W59" s="98">
        <v>-2.0467836257309861E-2</v>
      </c>
      <c r="X59" s="98">
        <v>-0.1385664834046019</v>
      </c>
      <c r="Y59" s="98">
        <v>5.5900621118012417E-2</v>
      </c>
      <c r="Z59" s="98">
        <v>0.21111111111111119</v>
      </c>
      <c r="AA59" s="98">
        <v>-0.69202127659574475</v>
      </c>
      <c r="AB59" s="98">
        <v>-4.4917887261429201E-2</v>
      </c>
      <c r="AC59" s="98">
        <v>-6.5052950075643046E-2</v>
      </c>
      <c r="AD59" s="98">
        <v>2.608695652173898E-2</v>
      </c>
      <c r="AE59" s="98">
        <v>0.67763157894736836</v>
      </c>
      <c r="AF59" s="98">
        <v>0.74452736318407964</v>
      </c>
      <c r="AG59" s="98">
        <v>0.13073394495412829</v>
      </c>
      <c r="AH59" s="98">
        <v>-9.5238095238095344E-2</v>
      </c>
      <c r="AI59" s="98">
        <v>7.4999999999999956E-2</v>
      </c>
      <c r="AJ59" s="98">
        <v>-0.30921052631578949</v>
      </c>
      <c r="AK59" s="98">
        <v>-2.4154589371980562E-2</v>
      </c>
      <c r="AL59" s="98">
        <v>-6.0655737704918063E-2</v>
      </c>
      <c r="AM59" s="98">
        <v>-0.1263869625520111</v>
      </c>
      <c r="AN59" s="98">
        <v>0.16250000000000009</v>
      </c>
      <c r="AO59" s="98">
        <v>0.69285714285714306</v>
      </c>
      <c r="AP59" s="98">
        <v>-0.17849898580121701</v>
      </c>
      <c r="AQ59" s="98">
        <v>-1.7437961099932901E-2</v>
      </c>
      <c r="AR59" s="98">
        <v>0.20481927710843381</v>
      </c>
      <c r="AS59" s="98">
        <v>-4.6082949308755672E-2</v>
      </c>
      <c r="AT59" s="98">
        <v>-8.9051094890510885E-2</v>
      </c>
      <c r="AU59" s="98">
        <v>-0.32352941176470579</v>
      </c>
      <c r="AV59" s="98">
        <v>-0.14772727272727271</v>
      </c>
      <c r="AW59" s="98">
        <v>-8.3270249810749486E-2</v>
      </c>
      <c r="AX59" s="98">
        <v>-7.7112387202625032E-2</v>
      </c>
      <c r="AY59" s="98">
        <v>8.6060606060606171E-2</v>
      </c>
      <c r="AZ59" s="98">
        <v>-0.19357195032870711</v>
      </c>
      <c r="BA59" s="98">
        <v>-0.21428571428571419</v>
      </c>
      <c r="BB59" s="98">
        <v>-1.552106430155209E-2</v>
      </c>
      <c r="BC59" s="98">
        <v>-2.257336343115091E-3</v>
      </c>
      <c r="BD59" s="98">
        <v>-0.19090909090909089</v>
      </c>
      <c r="BE59" s="98">
        <v>0.4747474747474747</v>
      </c>
      <c r="BF59" s="98">
        <v>-0.15819209039548021</v>
      </c>
      <c r="BG59" s="98">
        <v>0.22077922077922069</v>
      </c>
      <c r="BH59" s="98">
        <v>-0.21612541993281081</v>
      </c>
      <c r="BI59" s="98">
        <v>0.1130952380952381</v>
      </c>
      <c r="BJ59" s="98">
        <v>-0.29625748502994009</v>
      </c>
      <c r="BK59" s="98">
        <v>-0.10940476190476189</v>
      </c>
      <c r="BL59" s="98">
        <v>-7.4992789154890724E-3</v>
      </c>
      <c r="BM59" s="98">
        <v>-0.19947506561679801</v>
      </c>
      <c r="BN59" s="98">
        <v>-0.50342465753424659</v>
      </c>
      <c r="BO59" s="98">
        <v>-9.1891891891891841E-2</v>
      </c>
      <c r="BP59" s="98">
        <v>-5.2023121387283273E-2</v>
      </c>
      <c r="BQ59" s="98">
        <v>-8.6361242759346868E-2</v>
      </c>
      <c r="BR59" s="98">
        <v>7.2072072072072002E-2</v>
      </c>
      <c r="BS59" s="98">
        <v>-2.4868651488616611E-2</v>
      </c>
      <c r="BT59" s="98">
        <v>-0.1237623762376238</v>
      </c>
      <c r="BU59" s="98">
        <v>0.1910112359550562</v>
      </c>
      <c r="BV59" s="98">
        <v>-2.8846153846153851E-2</v>
      </c>
      <c r="BW59" s="98">
        <v>1.2830002467308249E-2</v>
      </c>
      <c r="BX59" s="98">
        <v>-6.7028352897033794E-2</v>
      </c>
      <c r="BY59" s="98"/>
      <c r="BZ59" s="98">
        <v>1.2269938650306679E-2</v>
      </c>
      <c r="CA59" s="98">
        <v>9.6153846153845812E-3</v>
      </c>
      <c r="CB59" s="98">
        <v>-0.1178891907466864</v>
      </c>
      <c r="CC59" s="98">
        <v>-2.935816008123537E-2</v>
      </c>
      <c r="CD59" s="98">
        <v>7.4889867841409608E-2</v>
      </c>
      <c r="CE59" s="98">
        <v>1.818181818181808E-2</v>
      </c>
      <c r="CF59" s="98">
        <v>-2.898550724637627E-3</v>
      </c>
      <c r="CG59" s="98"/>
      <c r="CH59" s="98">
        <v>-9.3903638151425772E-2</v>
      </c>
      <c r="CI59" s="98">
        <v>-0.116279069767442</v>
      </c>
      <c r="CJ59" s="98">
        <v>-1.3329052031817669E-2</v>
      </c>
      <c r="CK59" s="98">
        <v>1.6666666666667049E-3</v>
      </c>
      <c r="CL59" s="98">
        <v>-0.18421052631578941</v>
      </c>
      <c r="CM59" s="98">
        <v>6.6398390342052416E-2</v>
      </c>
      <c r="CN59" s="98">
        <v>0.67938931297709937</v>
      </c>
      <c r="CO59" s="98">
        <v>-1.874999999999993E-2</v>
      </c>
      <c r="CP59" s="98">
        <v>-8.2758620689655116E-2</v>
      </c>
      <c r="CQ59" s="98">
        <v>-0.13650151668351879</v>
      </c>
      <c r="CR59" s="98">
        <v>-5.9862522223006698E-2</v>
      </c>
      <c r="CS59" s="98">
        <v>-0.1295154185022025</v>
      </c>
      <c r="CT59" s="98">
        <v>-0.10933333333333339</v>
      </c>
      <c r="CU59" s="98">
        <v>2.1097046413502071E-2</v>
      </c>
      <c r="CV59" s="98">
        <v>-0.10140938356134931</v>
      </c>
      <c r="CW59" s="98">
        <v>-7.8801462781644349E-2</v>
      </c>
      <c r="CX59" s="98">
        <v>0.11413364872856289</v>
      </c>
      <c r="CY59" s="98">
        <v>-0.23546712802768149</v>
      </c>
      <c r="CZ59" s="98">
        <v>1.2208648439014921E-2</v>
      </c>
      <c r="DA59" s="98">
        <v>-8.4554678692220997E-2</v>
      </c>
      <c r="DB59" s="98">
        <v>-4.5652173913043548E-2</v>
      </c>
      <c r="DC59" s="98">
        <v>-9.9157724049297458E-2</v>
      </c>
      <c r="DD59" s="98">
        <v>-1.6753246753246739E-2</v>
      </c>
      <c r="DE59" s="98">
        <v>0.43759124087591222</v>
      </c>
      <c r="DF59" s="98">
        <v>5.1204819277108633E-2</v>
      </c>
      <c r="DG59" s="98">
        <v>-0.32178217821782168</v>
      </c>
      <c r="DH59" s="98">
        <v>-0.22329246935201411</v>
      </c>
      <c r="DI59" s="98">
        <v>-0.82781456953642385</v>
      </c>
      <c r="DJ59" s="98">
        <v>0.45967741935483869</v>
      </c>
      <c r="DK59" s="98">
        <v>-0.38541666666666657</v>
      </c>
      <c r="DL59" s="98">
        <v>-0.33788819875776399</v>
      </c>
      <c r="DM59" s="98">
        <v>-2.2099447513812209E-2</v>
      </c>
      <c r="DN59" s="98">
        <v>-0.1167883211678833</v>
      </c>
      <c r="DO59" s="98">
        <v>-9.4503756425464602E-2</v>
      </c>
      <c r="DP59" s="98">
        <v>-0.1744505494505495</v>
      </c>
      <c r="DQ59" s="98">
        <v>0.47111111111111098</v>
      </c>
      <c r="DR59" s="98">
        <v>-3.5842293906810041E-2</v>
      </c>
      <c r="DS59" s="98">
        <v>-1.1211375444353361E-2</v>
      </c>
      <c r="DT59" s="98">
        <v>0.21698113207547179</v>
      </c>
      <c r="DU59" s="98">
        <v>5.5672068636796863E-2</v>
      </c>
      <c r="DV59" s="98">
        <v>3.5175879396984973E-2</v>
      </c>
      <c r="DW59" s="98">
        <v>-0.1121794871794872</v>
      </c>
      <c r="DX59" s="98">
        <v>-0.19357366771159881</v>
      </c>
      <c r="DY59" s="98">
        <v>-0.26183098591549292</v>
      </c>
      <c r="DZ59" s="98">
        <v>-7.4626865671642006E-3</v>
      </c>
      <c r="EA59" s="98">
        <v>1.7699115044247819E-2</v>
      </c>
      <c r="EB59" s="98">
        <v>0.93886462882096078</v>
      </c>
      <c r="EC59" s="98">
        <v>0.43055555555555558</v>
      </c>
      <c r="ED59" s="98">
        <v>-0.13756613756613759</v>
      </c>
      <c r="EE59" s="98">
        <v>-0.39436619718309862</v>
      </c>
      <c r="EF59" s="98">
        <v>-8.380281690140845E-2</v>
      </c>
      <c r="EG59" s="98">
        <v>-0.453125</v>
      </c>
      <c r="EH59" s="98">
        <v>-0.17592190889370929</v>
      </c>
      <c r="EI59" s="98">
        <v>-4.8891054948285273E-2</v>
      </c>
      <c r="EJ59" s="98">
        <v>-0.18283582089552239</v>
      </c>
      <c r="EK59" s="98">
        <v>0.1317567567567568</v>
      </c>
      <c r="EL59" s="98">
        <v>3.3536585365853799E-2</v>
      </c>
      <c r="EM59" s="98">
        <v>-0.23935091277890461</v>
      </c>
      <c r="EN59" s="98">
        <v>-7.0299350134637395E-2</v>
      </c>
      <c r="EO59" s="98">
        <v>-0.10610932475884249</v>
      </c>
    </row>
    <row r="60" spans="1:145" x14ac:dyDescent="0.25">
      <c r="A60">
        <v>2025</v>
      </c>
      <c r="B60">
        <v>1</v>
      </c>
      <c r="C60" s="98">
        <v>2.68563653032492E-2</v>
      </c>
      <c r="D60" s="98">
        <v>3.4993024518241711E-3</v>
      </c>
      <c r="E60" s="98">
        <v>0</v>
      </c>
      <c r="F60" s="98">
        <v>-0.17821782178217829</v>
      </c>
      <c r="G60" s="98">
        <v>-4.8346055979643698E-2</v>
      </c>
      <c r="H60" s="98">
        <v>0.41935483870967732</v>
      </c>
      <c r="I60" s="98">
        <v>-3.4391534391534417E-2</v>
      </c>
      <c r="J60" s="98">
        <v>-6.0867223269593478E-2</v>
      </c>
      <c r="K60" s="98">
        <v>4.2929292929292817E-2</v>
      </c>
      <c r="L60" s="98">
        <v>-8.5892857142857104E-2</v>
      </c>
      <c r="M60" s="98">
        <v>6.0781476121563038E-2</v>
      </c>
      <c r="N60" s="98">
        <v>1.4184397163120369E-2</v>
      </c>
      <c r="O60" s="98">
        <v>-0.17391304347826089</v>
      </c>
      <c r="P60" s="98">
        <v>-0.151685393258427</v>
      </c>
      <c r="Q60" s="98">
        <v>0.13207547169811321</v>
      </c>
      <c r="R60" s="98">
        <v>-8.1377151799687075E-2</v>
      </c>
      <c r="S60" s="98">
        <v>0.1252173913043477</v>
      </c>
      <c r="T60" s="98">
        <v>-7.8636207094478272E-2</v>
      </c>
      <c r="U60" s="98">
        <v>-0.10465314470768711</v>
      </c>
      <c r="V60" s="98">
        <v>-0.24833491912464309</v>
      </c>
      <c r="W60" s="98">
        <v>-8.6567164179104483E-2</v>
      </c>
      <c r="X60" s="98">
        <v>0.25824370641768102</v>
      </c>
      <c r="Y60" s="98">
        <v>-2.058823529411757E-2</v>
      </c>
      <c r="Z60" s="98">
        <v>3.6697247706421798E-2</v>
      </c>
      <c r="AA60" s="98">
        <v>-0.20725388601036279</v>
      </c>
      <c r="AB60" s="98">
        <v>5.3679567017237861E-2</v>
      </c>
      <c r="AC60" s="98">
        <v>-0.1763754045307443</v>
      </c>
      <c r="AD60" s="98">
        <v>-0.2768361581920904</v>
      </c>
      <c r="AE60" s="98">
        <v>-0.20915032679738571</v>
      </c>
      <c r="AF60" s="98">
        <v>3.0942535291601288E-2</v>
      </c>
      <c r="AG60" s="98">
        <v>-7.7079107505070965E-2</v>
      </c>
      <c r="AH60" s="98">
        <v>-2.1052631578947319E-2</v>
      </c>
      <c r="AI60" s="98">
        <v>-0.21013289036544849</v>
      </c>
      <c r="AJ60" s="98">
        <v>-0.13019047619047619</v>
      </c>
      <c r="AK60" s="98">
        <v>-1.4851485148514859E-2</v>
      </c>
      <c r="AL60" s="98">
        <v>0.1211169284467712</v>
      </c>
      <c r="AM60" s="98">
        <v>0.32804127803135552</v>
      </c>
      <c r="AN60" s="98">
        <v>-6.1075268817204383E-2</v>
      </c>
      <c r="AO60" s="98">
        <v>-4.6413502109704741E-2</v>
      </c>
      <c r="AP60" s="98">
        <v>0.26790123456790133</v>
      </c>
      <c r="AQ60" s="98">
        <v>-0.33174061433447111</v>
      </c>
      <c r="AR60" s="98">
        <v>-0.32750000000000001</v>
      </c>
      <c r="AS60" s="98">
        <v>0.36438923395445122</v>
      </c>
      <c r="AT60" s="98">
        <v>4.1666666666666741E-2</v>
      </c>
      <c r="AU60" s="98">
        <v>0.16368286445012781</v>
      </c>
      <c r="AV60" s="98">
        <v>2.0000000000000021E-2</v>
      </c>
      <c r="AW60" s="98">
        <v>-6.6061106523533919E-3</v>
      </c>
      <c r="AX60" s="98">
        <v>-2.8444444444444491E-2</v>
      </c>
      <c r="AY60" s="98">
        <v>-0.61123511904761907</v>
      </c>
      <c r="AZ60" s="98">
        <v>0.26539855072463792</v>
      </c>
      <c r="BA60" s="98">
        <v>-0.1863636363636364</v>
      </c>
      <c r="BB60" s="98">
        <v>0.32732732732732739</v>
      </c>
      <c r="BC60" s="98">
        <v>0.1244117647058824</v>
      </c>
      <c r="BD60" s="98">
        <v>4.9438202247191088E-2</v>
      </c>
      <c r="BE60" s="98">
        <v>-0.76301369863013702</v>
      </c>
      <c r="BF60" s="98">
        <v>2.6845637583892579E-2</v>
      </c>
      <c r="BG60" s="98">
        <v>-0.1574468085106383</v>
      </c>
      <c r="BH60" s="98">
        <v>0.51428571428571423</v>
      </c>
      <c r="BI60" s="98">
        <v>-0.11764705882352949</v>
      </c>
      <c r="BJ60" s="98">
        <v>-0.61816634758562006</v>
      </c>
      <c r="BK60" s="98">
        <v>0.68426680925010031</v>
      </c>
      <c r="BL60" s="98">
        <v>0.1267073525138043</v>
      </c>
      <c r="BM60" s="98">
        <v>-8.4351713859910582E-2</v>
      </c>
      <c r="BN60" s="98">
        <v>0.2068275862068967</v>
      </c>
      <c r="BO60" s="98">
        <v>-4.8214285714285883E-2</v>
      </c>
      <c r="BP60" s="98">
        <v>-9.7560975609756073E-2</v>
      </c>
      <c r="BQ60" s="98">
        <v>7.4351585014409194E-2</v>
      </c>
      <c r="BR60" s="98">
        <v>-6.7226890756302393E-2</v>
      </c>
      <c r="BS60" s="98">
        <v>0.52155172413793105</v>
      </c>
      <c r="BT60" s="98">
        <v>-9.6045197740112997E-2</v>
      </c>
      <c r="BU60" s="98">
        <v>-0.21226415094339629</v>
      </c>
      <c r="BV60" s="98">
        <v>-0.1243564356435644</v>
      </c>
      <c r="BW60" s="98">
        <v>9.9066179455948866E-3</v>
      </c>
      <c r="BX60" s="98">
        <v>5.2067963039503777E-2</v>
      </c>
      <c r="BY60" s="98"/>
      <c r="BZ60" s="98">
        <v>0.22121212121212139</v>
      </c>
      <c r="CA60" s="98">
        <v>-0.15714285714285711</v>
      </c>
      <c r="CB60" s="98">
        <v>8.7727484834344338E-2</v>
      </c>
      <c r="CC60" s="98">
        <v>5.062177634218612E-2</v>
      </c>
      <c r="CD60" s="98">
        <v>-0.1147540983606556</v>
      </c>
      <c r="CE60" s="98">
        <v>0.21003401360544219</v>
      </c>
      <c r="CF60" s="98">
        <v>-0.11434108527131789</v>
      </c>
      <c r="CG60" s="98"/>
      <c r="CH60" s="98">
        <v>-0.4568638090070537</v>
      </c>
      <c r="CI60" s="98">
        <v>5.2631578947368363E-2</v>
      </c>
      <c r="CJ60" s="98">
        <v>-6.6344205172294002E-3</v>
      </c>
      <c r="CK60" s="98">
        <v>0.1073211314475873</v>
      </c>
      <c r="CL60" s="98">
        <v>-0.1104301075268818</v>
      </c>
      <c r="CM60" s="98">
        <v>-0.81792452830188678</v>
      </c>
      <c r="CN60" s="98">
        <v>0.37272727272727257</v>
      </c>
      <c r="CO60" s="98">
        <v>0.76008492569002106</v>
      </c>
      <c r="CP60" s="98">
        <v>-0.1315789473684211</v>
      </c>
      <c r="CQ60" s="98">
        <v>-9.8360655737704805E-2</v>
      </c>
      <c r="CR60" s="98">
        <v>4.2900054614964489E-2</v>
      </c>
      <c r="CS60" s="98">
        <v>-0.12753036437246981</v>
      </c>
      <c r="CT60" s="98">
        <v>-0.1137724550898204</v>
      </c>
      <c r="CU60" s="98">
        <v>-7.4380165289256062E-2</v>
      </c>
      <c r="CV60" s="98">
        <v>3.8567203040194682E-2</v>
      </c>
      <c r="CW60" s="98">
        <v>-1.6903572800614719E-2</v>
      </c>
      <c r="CX60" s="98">
        <v>0.39755838641188951</v>
      </c>
      <c r="CY60" s="98">
        <v>-0.2645394885720751</v>
      </c>
      <c r="CZ60" s="98">
        <v>1.6099740227894621E-2</v>
      </c>
      <c r="DA60" s="98">
        <v>-0.26231527093596052</v>
      </c>
      <c r="DB60" s="98">
        <v>-0.18375094912680329</v>
      </c>
      <c r="DC60" s="98">
        <v>-3.1115146084372821E-2</v>
      </c>
      <c r="DD60" s="98">
        <v>-0.65222559767534016</v>
      </c>
      <c r="DE60" s="98">
        <v>-0.28992129982228992</v>
      </c>
      <c r="DF60" s="98">
        <v>0.1031518624641834</v>
      </c>
      <c r="DG60" s="98">
        <v>1.459854014598516E-2</v>
      </c>
      <c r="DH60" s="98">
        <v>-7.4971815107102491E-2</v>
      </c>
      <c r="DI60" s="98">
        <v>-0.3288461538461539</v>
      </c>
      <c r="DJ60" s="98">
        <v>4.4198895027624203E-2</v>
      </c>
      <c r="DK60" s="98">
        <v>8.4745762711864181E-3</v>
      </c>
      <c r="DL60" s="98">
        <v>-3.4005628517823627E-2</v>
      </c>
      <c r="DM60" s="98">
        <v>-6.2146892655367332E-2</v>
      </c>
      <c r="DN60" s="98">
        <v>-0.1157024793388429</v>
      </c>
      <c r="DO60" s="98">
        <v>-0.26157205240174658</v>
      </c>
      <c r="DP60" s="98">
        <v>-4.991680532445808E-3</v>
      </c>
      <c r="DQ60" s="98">
        <v>-0.14501510574018131</v>
      </c>
      <c r="DR60" s="98">
        <v>0</v>
      </c>
      <c r="DS60" s="98">
        <v>6.1117256637168271E-2</v>
      </c>
      <c r="DT60" s="98">
        <v>-0.43697674418604648</v>
      </c>
      <c r="DU60" s="98">
        <v>-2.907711757269282E-2</v>
      </c>
      <c r="DV60" s="98">
        <v>0.17961165048543701</v>
      </c>
      <c r="DW60" s="98">
        <v>-0.19494584837545131</v>
      </c>
      <c r="DX60" s="98">
        <v>-0.48882410106899898</v>
      </c>
      <c r="DY60" s="98">
        <v>0.21160083953444001</v>
      </c>
      <c r="DZ60" s="98">
        <v>-0.2105263157894737</v>
      </c>
      <c r="EA60" s="98">
        <v>-0.234695652173913</v>
      </c>
      <c r="EB60" s="98">
        <v>-0.1801801801801802</v>
      </c>
      <c r="EC60" s="98">
        <v>-4.3689320388349613E-2</v>
      </c>
      <c r="ED60" s="98">
        <v>-3.067484662576669E-3</v>
      </c>
      <c r="EE60" s="98">
        <v>0.2558139534883721</v>
      </c>
      <c r="EF60" s="98">
        <v>-0.14573405073020751</v>
      </c>
      <c r="EG60" s="98">
        <v>-7.4857142857142844E-2</v>
      </c>
      <c r="EH60" s="98">
        <v>-0.17846801789944719</v>
      </c>
      <c r="EI60" s="98">
        <v>-9.3975452837401496E-2</v>
      </c>
      <c r="EJ60" s="98">
        <v>-8.2191780821917915E-2</v>
      </c>
      <c r="EK60" s="98">
        <v>-0.29850746268656708</v>
      </c>
      <c r="EL60" s="98">
        <v>5.0147492625368661E-2</v>
      </c>
      <c r="EM60" s="98">
        <v>0.52533333333333321</v>
      </c>
      <c r="EN60" s="98">
        <v>5.2047090341850621E-2</v>
      </c>
      <c r="EO60" s="98">
        <v>-5.9952038369304517E-2</v>
      </c>
    </row>
    <row r="61" spans="1:145" x14ac:dyDescent="0.25">
      <c r="A61">
        <v>2025</v>
      </c>
      <c r="B61">
        <v>2</v>
      </c>
      <c r="C61" s="98">
        <v>-1.2694826022168541E-2</v>
      </c>
      <c r="D61" s="98">
        <v>3.234729672938919E-3</v>
      </c>
      <c r="E61" s="98">
        <v>-0.1975806451612904</v>
      </c>
      <c r="F61" s="98">
        <v>-5.4216867469879422E-2</v>
      </c>
      <c r="G61" s="98">
        <v>-0.37834224598930483</v>
      </c>
      <c r="H61" s="98">
        <v>-8.3333333333333259E-2</v>
      </c>
      <c r="I61" s="98">
        <v>-0.1013698630136987</v>
      </c>
      <c r="J61" s="98">
        <v>-0.18468597648408369</v>
      </c>
      <c r="K61" s="98">
        <v>4.9636803874091973E-2</v>
      </c>
      <c r="L61" s="98">
        <v>-0.24464413622452311</v>
      </c>
      <c r="M61" s="98">
        <v>5.5422919508867567E-2</v>
      </c>
      <c r="N61" s="98">
        <v>-0.34731934731934733</v>
      </c>
      <c r="O61" s="98">
        <v>0</v>
      </c>
      <c r="P61" s="98">
        <v>-7.2847682119205337E-2</v>
      </c>
      <c r="Q61" s="98">
        <v>-0.1083333333333333</v>
      </c>
      <c r="R61" s="98">
        <v>5.110732538330387E-3</v>
      </c>
      <c r="S61" s="98">
        <v>-0.884080370942813</v>
      </c>
      <c r="T61" s="98">
        <v>-3.3266882631447732E-2</v>
      </c>
      <c r="U61" s="98">
        <v>-0.2181610508280982</v>
      </c>
      <c r="V61" s="98">
        <v>1.2658227848101329E-3</v>
      </c>
      <c r="W61" s="98">
        <v>-9.8039215686275272E-3</v>
      </c>
      <c r="X61" s="98">
        <v>0.19800864174337801</v>
      </c>
      <c r="Y61" s="98">
        <v>-0.22522522522522531</v>
      </c>
      <c r="Z61" s="98">
        <v>-0.13690265486725661</v>
      </c>
      <c r="AA61" s="98">
        <v>8.7145969498911846E-3</v>
      </c>
      <c r="AB61" s="98">
        <v>1.136556403731959E-2</v>
      </c>
      <c r="AC61" s="98">
        <v>-0.14145383104125731</v>
      </c>
      <c r="AD61" s="98">
        <v>-0.13281249999999989</v>
      </c>
      <c r="AE61" s="98">
        <v>-1.239669421487599E-2</v>
      </c>
      <c r="AF61" s="98">
        <v>-0.37081604426002762</v>
      </c>
      <c r="AG61" s="98">
        <v>-9.4505494505494392E-2</v>
      </c>
      <c r="AH61" s="98">
        <v>-7.5591397849462338E-2</v>
      </c>
      <c r="AI61" s="98">
        <v>-0.48895899053627762</v>
      </c>
      <c r="AJ61" s="98">
        <v>-2.8139713128216389E-2</v>
      </c>
      <c r="AK61" s="98">
        <v>-0.1306532663316583</v>
      </c>
      <c r="AL61" s="98">
        <v>-9.5579078455790722E-2</v>
      </c>
      <c r="AM61" s="98">
        <v>-9.4739988045427381E-2</v>
      </c>
      <c r="AN61" s="98">
        <v>-3.8479157123224923E-2</v>
      </c>
      <c r="AO61" s="98">
        <v>1.1504424778761071</v>
      </c>
      <c r="AP61" s="98">
        <v>8.7633885102238462E-3</v>
      </c>
      <c r="AQ61" s="98">
        <v>-0.28089887640449429</v>
      </c>
      <c r="AR61" s="98">
        <v>-0.38661710037174718</v>
      </c>
      <c r="AS61" s="98">
        <v>-3.8947900859888751E-2</v>
      </c>
      <c r="AT61" s="98">
        <v>-3.3846153846153859E-2</v>
      </c>
      <c r="AU61" s="98">
        <v>0.23736263736263741</v>
      </c>
      <c r="AV61" s="98">
        <v>4.3137254901960853E-2</v>
      </c>
      <c r="AW61" s="98">
        <v>-7.1487946799667412E-2</v>
      </c>
      <c r="AX61" s="98">
        <v>-4.7118023787740222E-2</v>
      </c>
      <c r="AY61" s="98">
        <v>0.33971291866028719</v>
      </c>
      <c r="AZ61" s="98">
        <v>4.4380816034359283E-2</v>
      </c>
      <c r="BA61" s="98">
        <v>-5.027932960893855E-2</v>
      </c>
      <c r="BB61" s="98">
        <v>-0.1119909502262444</v>
      </c>
      <c r="BC61" s="98">
        <v>-6.2355379383891019E-2</v>
      </c>
      <c r="BD61" s="98">
        <v>-6.6024268379728746E-2</v>
      </c>
      <c r="BE61" s="98">
        <v>-0.38945086705202309</v>
      </c>
      <c r="BF61" s="98">
        <v>-0.18039215686274521</v>
      </c>
      <c r="BG61" s="98">
        <v>-9.3434343434343425E-2</v>
      </c>
      <c r="BH61" s="98">
        <v>-4.4339622641509369E-2</v>
      </c>
      <c r="BI61" s="98">
        <v>-8.181818181818179E-2</v>
      </c>
      <c r="BJ61" s="98">
        <v>-0.29805013927576601</v>
      </c>
      <c r="BK61" s="98">
        <v>-0.27317460317460318</v>
      </c>
      <c r="BL61" s="98">
        <v>-0.12690224400309519</v>
      </c>
      <c r="BM61" s="98">
        <v>-8.59375E-2</v>
      </c>
      <c r="BN61" s="98">
        <v>-9.709126235784904E-2</v>
      </c>
      <c r="BO61" s="98">
        <v>-9.3183239524702977E-2</v>
      </c>
      <c r="BP61" s="98">
        <v>-9.4594594594594517E-2</v>
      </c>
      <c r="BQ61" s="98">
        <v>-3.8626609442059978E-2</v>
      </c>
      <c r="BR61" s="98">
        <v>-7.2072072072072113E-2</v>
      </c>
      <c r="BS61" s="98">
        <v>8.8133459238275424E-3</v>
      </c>
      <c r="BT61" s="98">
        <v>-0.12812499999999999</v>
      </c>
      <c r="BU61" s="98">
        <v>-0.23952095808383231</v>
      </c>
      <c r="BV61" s="98">
        <v>-0.3025780189959294</v>
      </c>
      <c r="BW61" s="98">
        <v>0.15405644448017999</v>
      </c>
      <c r="BX61" s="98">
        <v>9.3264715547122679E-2</v>
      </c>
      <c r="BY61" s="98">
        <v>-0.3679611650485437</v>
      </c>
      <c r="BZ61" s="98">
        <v>-0.19354838709677419</v>
      </c>
      <c r="CA61" s="98">
        <v>-0.16949152542372881</v>
      </c>
      <c r="CB61" s="98">
        <v>4.8734448734448772E-2</v>
      </c>
      <c r="CC61" s="98">
        <v>0.13708351165299709</v>
      </c>
      <c r="CD61" s="98">
        <v>-0.28935185185185203</v>
      </c>
      <c r="CE61" s="98">
        <v>8.8545326774420285E-2</v>
      </c>
      <c r="CF61" s="98">
        <v>0.17067833698030641</v>
      </c>
      <c r="CG61" s="98"/>
      <c r="CH61" s="98">
        <v>-4.0959040959041022E-2</v>
      </c>
      <c r="CI61" s="98">
        <v>-0.1666666666666666</v>
      </c>
      <c r="CJ61" s="98">
        <v>-6.6484185473558055E-2</v>
      </c>
      <c r="CK61" s="98">
        <v>-9.0909090909090939E-2</v>
      </c>
      <c r="CL61" s="98">
        <v>1.535114227003498E-2</v>
      </c>
      <c r="CM61" s="98">
        <v>-0.1917098445595854</v>
      </c>
      <c r="CN61" s="98">
        <v>-0.2483443708609272</v>
      </c>
      <c r="CO61" s="98">
        <v>-0.1230398069963812</v>
      </c>
      <c r="CP61" s="98">
        <v>-0.1471861471861472</v>
      </c>
      <c r="CQ61" s="98">
        <v>-7.2727272727272751E-2</v>
      </c>
      <c r="CR61" s="98">
        <v>-2.3984708439161121E-2</v>
      </c>
      <c r="CS61" s="98">
        <v>-2.4361948955916372E-2</v>
      </c>
      <c r="CT61" s="98">
        <v>-1.8581081081081141E-2</v>
      </c>
      <c r="CU61" s="98">
        <v>-6.696428571428592E-2</v>
      </c>
      <c r="CV61" s="98">
        <v>4.2642125055301523E-2</v>
      </c>
      <c r="CW61" s="98">
        <v>0.10394685423993751</v>
      </c>
      <c r="CX61" s="98">
        <v>-8.6593239650588627E-2</v>
      </c>
      <c r="CY61" s="98">
        <v>-0.15538461538461529</v>
      </c>
      <c r="CZ61" s="98">
        <v>-3.3936651583710291E-3</v>
      </c>
      <c r="DA61" s="98">
        <v>-7.8464106844741366E-2</v>
      </c>
      <c r="DB61" s="98">
        <v>-0.67999999999999994</v>
      </c>
      <c r="DC61" s="98">
        <v>0.16419024439711991</v>
      </c>
      <c r="DD61" s="98">
        <v>0.70451955943790368</v>
      </c>
      <c r="DE61" s="98">
        <v>-0.65033964962459778</v>
      </c>
      <c r="DF61" s="98">
        <v>4.9350649350649263E-2</v>
      </c>
      <c r="DG61" s="98">
        <v>0.10071942446043169</v>
      </c>
      <c r="DH61" s="98">
        <v>-0.38878732480195011</v>
      </c>
      <c r="DI61" s="98">
        <v>-0.2550143266475644</v>
      </c>
      <c r="DJ61" s="98">
        <v>-0.23809523809523811</v>
      </c>
      <c r="DK61" s="98">
        <v>8.4033613445377853E-3</v>
      </c>
      <c r="DL61" s="98">
        <v>-0.42704539936877878</v>
      </c>
      <c r="DM61" s="98">
        <v>-1.204819277108438E-2</v>
      </c>
      <c r="DN61" s="98">
        <v>-3.7383177570093462E-2</v>
      </c>
      <c r="DO61" s="98">
        <v>-0.6173861620342993</v>
      </c>
      <c r="DP61" s="98">
        <v>-8.1939799331103735E-2</v>
      </c>
      <c r="DQ61" s="98">
        <v>2.4734982332155431E-2</v>
      </c>
      <c r="DR61" s="98">
        <v>-0.1561338289962825</v>
      </c>
      <c r="DS61" s="98">
        <v>-0.16445139431847791</v>
      </c>
      <c r="DT61" s="98">
        <v>-0.50158336775437151</v>
      </c>
      <c r="DU61" s="98">
        <v>-0.1726190476190477</v>
      </c>
      <c r="DV61" s="98">
        <v>-0.17695473251028809</v>
      </c>
      <c r="DW61" s="98">
        <v>-0.17264573991031401</v>
      </c>
      <c r="DX61" s="98">
        <v>-0.34410646387832688</v>
      </c>
      <c r="DY61" s="98">
        <v>-0.1188976377952756</v>
      </c>
      <c r="DZ61" s="98">
        <v>-0.3</v>
      </c>
      <c r="EA61" s="98">
        <v>-0.52494034768776277</v>
      </c>
      <c r="EB61" s="98">
        <v>-0.54532967032967039</v>
      </c>
      <c r="EC61" s="98">
        <v>0.14720812182741111</v>
      </c>
      <c r="ED61" s="98">
        <v>0.22461538461538469</v>
      </c>
      <c r="EE61" s="98">
        <v>-0.13888888888888901</v>
      </c>
      <c r="EF61" s="98">
        <v>-6.4783156379341178E-2</v>
      </c>
      <c r="EG61" s="98">
        <v>2.3162445954294508E-3</v>
      </c>
      <c r="EH61" s="98">
        <v>-0.23101570009612299</v>
      </c>
      <c r="EI61" s="98">
        <v>-0.1817349384611241</v>
      </c>
      <c r="EJ61" s="98">
        <v>-0.21393034825870641</v>
      </c>
      <c r="EK61" s="98">
        <v>7.2340425531914887E-2</v>
      </c>
      <c r="EL61" s="98">
        <v>7.5842696629213391E-2</v>
      </c>
      <c r="EM61" s="98">
        <v>-0.30454545454545462</v>
      </c>
      <c r="EN61" s="98">
        <v>-2.1416032767700429E-2</v>
      </c>
      <c r="EO61" s="98">
        <v>2.168367346938771E-2</v>
      </c>
    </row>
    <row r="62" spans="1:145" outlineLevel="1" x14ac:dyDescent="0.25"/>
    <row r="63" spans="1:145" outlineLevel="1" x14ac:dyDescent="0.25">
      <c r="A63" t="s">
        <v>981</v>
      </c>
    </row>
    <row r="64" spans="1:145" outlineLevel="1" x14ac:dyDescent="0.25">
      <c r="A64" s="109" t="s">
        <v>977</v>
      </c>
      <c r="B64" s="109" t="s">
        <v>978</v>
      </c>
      <c r="C64" s="109" t="s">
        <v>979</v>
      </c>
      <c r="D64" s="109" t="s">
        <v>980</v>
      </c>
      <c r="E64" s="109" t="s">
        <v>740</v>
      </c>
      <c r="F64" s="109" t="s">
        <v>519</v>
      </c>
      <c r="G64" s="109" t="s">
        <v>751</v>
      </c>
      <c r="H64" s="109" t="s">
        <v>507</v>
      </c>
      <c r="I64" s="109" t="s">
        <v>731</v>
      </c>
      <c r="J64" s="109" t="s">
        <v>622</v>
      </c>
      <c r="K64" s="109" t="s">
        <v>661</v>
      </c>
      <c r="L64" s="109" t="s">
        <v>520</v>
      </c>
      <c r="M64" s="109" t="s">
        <v>630</v>
      </c>
      <c r="N64" s="109" t="s">
        <v>488</v>
      </c>
      <c r="O64" s="109" t="s">
        <v>769</v>
      </c>
      <c r="P64" s="109" t="s">
        <v>734</v>
      </c>
      <c r="Q64" s="109" t="s">
        <v>521</v>
      </c>
      <c r="R64" s="109" t="s">
        <v>634</v>
      </c>
      <c r="S64" s="109" t="s">
        <v>752</v>
      </c>
      <c r="T64" s="109" t="s">
        <v>490</v>
      </c>
      <c r="U64" s="109" t="s">
        <v>754</v>
      </c>
      <c r="V64" s="109" t="s">
        <v>728</v>
      </c>
      <c r="W64" s="109" t="s">
        <v>753</v>
      </c>
      <c r="X64" s="109" t="s">
        <v>602</v>
      </c>
      <c r="Y64" s="109" t="s">
        <v>492</v>
      </c>
      <c r="Z64" s="109" t="s">
        <v>495</v>
      </c>
      <c r="AA64" s="109" t="s">
        <v>755</v>
      </c>
      <c r="AB64" s="109" t="s">
        <v>480</v>
      </c>
      <c r="AC64" s="109" t="s">
        <v>727</v>
      </c>
      <c r="AD64" s="109" t="s">
        <v>523</v>
      </c>
      <c r="AE64" s="109" t="s">
        <v>506</v>
      </c>
      <c r="AF64" s="109" t="s">
        <v>528</v>
      </c>
      <c r="AG64" s="109" t="s">
        <v>545</v>
      </c>
      <c r="AH64" s="109" t="s">
        <v>742</v>
      </c>
      <c r="AI64" s="109" t="s">
        <v>526</v>
      </c>
      <c r="AJ64" s="109" t="s">
        <v>529</v>
      </c>
      <c r="AK64" s="109" t="s">
        <v>527</v>
      </c>
      <c r="AL64" s="109" t="s">
        <v>638</v>
      </c>
      <c r="AM64" s="109" t="s">
        <v>489</v>
      </c>
      <c r="AN64" s="109" t="s">
        <v>744</v>
      </c>
      <c r="AO64" s="109" t="s">
        <v>737</v>
      </c>
      <c r="AP64" s="109" t="s">
        <v>689</v>
      </c>
      <c r="AQ64" s="109" t="s">
        <v>756</v>
      </c>
      <c r="AR64" s="109" t="s">
        <v>525</v>
      </c>
      <c r="AS64" s="109" t="s">
        <v>522</v>
      </c>
      <c r="AT64" s="109" t="s">
        <v>511</v>
      </c>
      <c r="AU64" s="109" t="s">
        <v>493</v>
      </c>
      <c r="AV64" s="109" t="s">
        <v>509</v>
      </c>
      <c r="AW64" s="109" t="s">
        <v>484</v>
      </c>
      <c r="AX64" s="109" t="s">
        <v>696</v>
      </c>
      <c r="AY64" s="109" t="s">
        <v>530</v>
      </c>
      <c r="AZ64" s="109" t="s">
        <v>669</v>
      </c>
      <c r="BA64" s="109" t="s">
        <v>700</v>
      </c>
      <c r="BB64" s="109" t="s">
        <v>736</v>
      </c>
      <c r="BC64" s="109" t="s">
        <v>503</v>
      </c>
      <c r="BD64" s="109" t="s">
        <v>646</v>
      </c>
      <c r="BE64" s="109" t="s">
        <v>518</v>
      </c>
      <c r="BF64" s="109" t="s">
        <v>704</v>
      </c>
      <c r="BG64" s="109" t="s">
        <v>732</v>
      </c>
      <c r="BH64" s="109" t="s">
        <v>757</v>
      </c>
      <c r="BI64" s="109" t="s">
        <v>531</v>
      </c>
      <c r="BJ64" s="109" t="s">
        <v>532</v>
      </c>
      <c r="BK64" s="109" t="s">
        <v>533</v>
      </c>
      <c r="BL64" s="109" t="s">
        <v>618</v>
      </c>
      <c r="BM64" s="109" t="s">
        <v>642</v>
      </c>
      <c r="BN64" s="109" t="s">
        <v>759</v>
      </c>
      <c r="BO64" s="109" t="s">
        <v>747</v>
      </c>
      <c r="BP64" s="109" t="s">
        <v>758</v>
      </c>
      <c r="BQ64" s="109" t="s">
        <v>657</v>
      </c>
      <c r="BR64" s="109" t="s">
        <v>504</v>
      </c>
      <c r="BS64" s="109" t="s">
        <v>726</v>
      </c>
      <c r="BT64" s="109" t="s">
        <v>534</v>
      </c>
      <c r="BU64" s="109" t="s">
        <v>750</v>
      </c>
      <c r="BV64" s="109" t="s">
        <v>502</v>
      </c>
      <c r="BW64" s="109" t="s">
        <v>610</v>
      </c>
      <c r="BX64" s="109" t="s">
        <v>477</v>
      </c>
      <c r="BY64" s="109" t="s">
        <v>535</v>
      </c>
      <c r="BZ64" s="109" t="s">
        <v>497</v>
      </c>
      <c r="CA64" s="109" t="s">
        <v>515</v>
      </c>
      <c r="CB64" s="109" t="s">
        <v>650</v>
      </c>
      <c r="CC64" s="109" t="s">
        <v>481</v>
      </c>
      <c r="CD64" s="109" t="s">
        <v>501</v>
      </c>
      <c r="CE64" s="109" t="s">
        <v>498</v>
      </c>
      <c r="CF64" s="109" t="s">
        <v>513</v>
      </c>
      <c r="CG64" s="109" t="s">
        <v>729</v>
      </c>
      <c r="CH64" s="109" t="s">
        <v>760</v>
      </c>
      <c r="CI64" s="109" t="s">
        <v>536</v>
      </c>
      <c r="CJ64" s="109" t="s">
        <v>478</v>
      </c>
      <c r="CK64" s="109" t="s">
        <v>741</v>
      </c>
      <c r="CL64" s="109" t="s">
        <v>491</v>
      </c>
      <c r="CM64" s="109" t="s">
        <v>761</v>
      </c>
      <c r="CN64" s="109" t="s">
        <v>537</v>
      </c>
      <c r="CO64" s="109" t="s">
        <v>510</v>
      </c>
      <c r="CP64" s="109" t="s">
        <v>487</v>
      </c>
      <c r="CQ64" s="109" t="s">
        <v>677</v>
      </c>
      <c r="CR64" s="109" t="s">
        <v>483</v>
      </c>
      <c r="CS64" s="109" t="s">
        <v>685</v>
      </c>
      <c r="CT64" s="109" t="s">
        <v>733</v>
      </c>
      <c r="CU64" s="109" t="s">
        <v>538</v>
      </c>
      <c r="CV64" s="109" t="s">
        <v>708</v>
      </c>
      <c r="CW64" s="109" t="s">
        <v>486</v>
      </c>
      <c r="CX64" s="109" t="s">
        <v>614</v>
      </c>
      <c r="CY64" s="109" t="s">
        <v>539</v>
      </c>
      <c r="CZ64" s="109" t="s">
        <v>479</v>
      </c>
      <c r="DA64" s="109" t="s">
        <v>735</v>
      </c>
      <c r="DB64" s="109" t="s">
        <v>762</v>
      </c>
      <c r="DC64" s="109" t="s">
        <v>485</v>
      </c>
      <c r="DD64" s="109" t="s">
        <v>500</v>
      </c>
      <c r="DE64" s="109" t="s">
        <v>508</v>
      </c>
      <c r="DF64" s="109" t="s">
        <v>505</v>
      </c>
      <c r="DG64" s="109" t="s">
        <v>763</v>
      </c>
      <c r="DH64" s="109" t="s">
        <v>764</v>
      </c>
      <c r="DI64" s="109" t="s">
        <v>765</v>
      </c>
      <c r="DJ64" s="109" t="s">
        <v>540</v>
      </c>
      <c r="DK64" s="109" t="s">
        <v>524</v>
      </c>
      <c r="DL64" s="109" t="s">
        <v>494</v>
      </c>
      <c r="DM64" s="109" t="s">
        <v>738</v>
      </c>
      <c r="DN64" s="109" t="s">
        <v>745</v>
      </c>
      <c r="DO64" s="109" t="s">
        <v>748</v>
      </c>
      <c r="DP64" s="109" t="s">
        <v>730</v>
      </c>
      <c r="DQ64" s="109" t="s">
        <v>512</v>
      </c>
      <c r="DR64" s="109" t="s">
        <v>499</v>
      </c>
      <c r="DS64" s="109" t="s">
        <v>626</v>
      </c>
      <c r="DT64" s="109" t="s">
        <v>516</v>
      </c>
      <c r="DU64" s="109" t="s">
        <v>567</v>
      </c>
      <c r="DV64" s="109" t="s">
        <v>541</v>
      </c>
      <c r="DW64" s="109" t="s">
        <v>766</v>
      </c>
      <c r="DX64" s="109" t="s">
        <v>770</v>
      </c>
      <c r="DY64" s="109" t="s">
        <v>749</v>
      </c>
      <c r="DZ64" s="109" t="s">
        <v>725</v>
      </c>
      <c r="EA64" s="109" t="s">
        <v>543</v>
      </c>
      <c r="EB64" s="109" t="s">
        <v>517</v>
      </c>
      <c r="EC64" s="109" t="s">
        <v>767</v>
      </c>
      <c r="ED64" s="109" t="s">
        <v>542</v>
      </c>
      <c r="EE64" s="109" t="s">
        <v>746</v>
      </c>
      <c r="EF64" s="109" t="s">
        <v>496</v>
      </c>
      <c r="EG64" s="109" t="s">
        <v>743</v>
      </c>
      <c r="EH64" s="109" t="s">
        <v>544</v>
      </c>
      <c r="EI64" s="109" t="s">
        <v>606</v>
      </c>
      <c r="EJ64" s="109" t="s">
        <v>768</v>
      </c>
      <c r="EK64" s="109" t="s">
        <v>514</v>
      </c>
      <c r="EL64" s="109" t="s">
        <v>681</v>
      </c>
      <c r="EM64" s="109" t="s">
        <v>739</v>
      </c>
      <c r="EN64" s="109" t="s">
        <v>482</v>
      </c>
      <c r="EO64" s="109" t="s">
        <v>712</v>
      </c>
    </row>
    <row r="65" spans="1:145" outlineLevel="1" x14ac:dyDescent="0.25">
      <c r="A65">
        <v>2020</v>
      </c>
      <c r="B65">
        <v>3</v>
      </c>
      <c r="C65" s="97">
        <f>IF(ISBLANK(C2),"",C2-$D2)</f>
        <v>-0.12668973511022014</v>
      </c>
      <c r="D65" s="97">
        <f t="shared" ref="D65:BO69" si="0">IF(ISBLANK(D2),"",D2-$D2)</f>
        <v>0</v>
      </c>
      <c r="E65" s="97">
        <f t="shared" si="0"/>
        <v>-8.9766661402204018E-2</v>
      </c>
      <c r="F65" s="97">
        <f t="shared" si="0"/>
        <v>-9.9269585378812253E-2</v>
      </c>
      <c r="G65" s="97" t="str">
        <f t="shared" si="0"/>
        <v/>
      </c>
      <c r="H65" s="97">
        <f t="shared" si="0"/>
        <v>-0.36204736315659003</v>
      </c>
      <c r="I65" s="97" t="str">
        <f t="shared" si="0"/>
        <v/>
      </c>
      <c r="J65" s="97">
        <f t="shared" si="0"/>
        <v>-3.7784855034432852E-2</v>
      </c>
      <c r="K65" s="97">
        <f t="shared" si="0"/>
        <v>-9.8151259260486179E-2</v>
      </c>
      <c r="L65" s="97" t="str">
        <f t="shared" si="0"/>
        <v/>
      </c>
      <c r="M65" s="97">
        <f t="shared" si="0"/>
        <v>-0.15347414924282193</v>
      </c>
      <c r="N65" s="97" t="str">
        <f t="shared" si="0"/>
        <v/>
      </c>
      <c r="O65" s="97" t="str">
        <f t="shared" si="0"/>
        <v/>
      </c>
      <c r="P65" s="97">
        <f t="shared" si="0"/>
        <v>-0.41491599586436495</v>
      </c>
      <c r="Q65" s="97">
        <f t="shared" si="0"/>
        <v>-0.10485110147434705</v>
      </c>
      <c r="R65" s="97">
        <f t="shared" si="0"/>
        <v>-0.14696567421112014</v>
      </c>
      <c r="S65" s="97" t="str">
        <f t="shared" si="0"/>
        <v/>
      </c>
      <c r="T65" s="97">
        <f t="shared" si="0"/>
        <v>-0.40019551130473813</v>
      </c>
      <c r="U65" s="97" t="str">
        <f t="shared" si="0"/>
        <v/>
      </c>
      <c r="V65" s="97">
        <f t="shared" si="0"/>
        <v>-0.20725256836179515</v>
      </c>
      <c r="W65" s="97" t="str">
        <f t="shared" si="0"/>
        <v/>
      </c>
      <c r="X65" s="97">
        <f t="shared" si="0"/>
        <v>-0.24781659392582076</v>
      </c>
      <c r="Y65" s="97">
        <f t="shared" si="0"/>
        <v>1.828141316088693</v>
      </c>
      <c r="Z65" s="97" t="str">
        <f t="shared" si="0"/>
        <v/>
      </c>
      <c r="AA65" s="97" t="str">
        <f t="shared" si="0"/>
        <v/>
      </c>
      <c r="AB65" s="97">
        <f t="shared" si="0"/>
        <v>-5.826258215651902E-2</v>
      </c>
      <c r="AC65" s="97" t="str">
        <f t="shared" si="0"/>
        <v/>
      </c>
      <c r="AD65" s="97" t="str">
        <f t="shared" si="0"/>
        <v/>
      </c>
      <c r="AE65" s="97">
        <f t="shared" si="0"/>
        <v>-0.12313851418786084</v>
      </c>
      <c r="AF65" s="97" t="str">
        <f t="shared" si="0"/>
        <v/>
      </c>
      <c r="AG65" s="97" t="str">
        <f t="shared" si="0"/>
        <v/>
      </c>
      <c r="AH65" s="97">
        <f t="shared" si="0"/>
        <v>-0.24311879172801873</v>
      </c>
      <c r="AI65" s="97">
        <f t="shared" si="0"/>
        <v>-0.43753123412433192</v>
      </c>
      <c r="AJ65" s="97" t="str">
        <f t="shared" si="0"/>
        <v/>
      </c>
      <c r="AK65" s="97">
        <f t="shared" si="0"/>
        <v>-0.46821277669042477</v>
      </c>
      <c r="AL65" s="97">
        <f t="shared" si="0"/>
        <v>-0.31446841578816903</v>
      </c>
      <c r="AM65" s="97">
        <f t="shared" si="0"/>
        <v>-5.9892054123309446E-2</v>
      </c>
      <c r="AN65" s="97">
        <f t="shared" si="0"/>
        <v>-0.12485438070044974</v>
      </c>
      <c r="AO65" s="97">
        <f t="shared" si="0"/>
        <v>-0.10130294628314096</v>
      </c>
      <c r="AP65" s="97">
        <f t="shared" si="0"/>
        <v>-0.31166274777197467</v>
      </c>
      <c r="AQ65" s="97" t="str">
        <f t="shared" si="0"/>
        <v/>
      </c>
      <c r="AR65" s="97">
        <f t="shared" si="0"/>
        <v>-0.15935073394310695</v>
      </c>
      <c r="AS65" s="97" t="str">
        <f t="shared" si="0"/>
        <v/>
      </c>
      <c r="AT65" s="97">
        <f t="shared" si="0"/>
        <v>-0.22223084939512214</v>
      </c>
      <c r="AU65" s="97" t="str">
        <f t="shared" si="0"/>
        <v/>
      </c>
      <c r="AV65" s="97">
        <f t="shared" si="0"/>
        <v>-0.12634114846732444</v>
      </c>
      <c r="AW65" s="97">
        <f t="shared" si="0"/>
        <v>-0.18489407848505715</v>
      </c>
      <c r="AX65" s="97" t="str">
        <f t="shared" si="0"/>
        <v/>
      </c>
      <c r="AY65" s="97">
        <f t="shared" si="0"/>
        <v>-0.16508136490026926</v>
      </c>
      <c r="AZ65" s="97">
        <f t="shared" si="0"/>
        <v>-0.5189274562881383</v>
      </c>
      <c r="BA65" s="97">
        <f t="shared" si="0"/>
        <v>-0.37756726808825963</v>
      </c>
      <c r="BB65" s="97">
        <f t="shared" si="0"/>
        <v>-0.24278810389733085</v>
      </c>
      <c r="BC65" s="97">
        <f t="shared" si="0"/>
        <v>-5.8957932262281181E-2</v>
      </c>
      <c r="BD65" s="97" t="str">
        <f t="shared" si="0"/>
        <v/>
      </c>
      <c r="BE65" s="97">
        <f t="shared" si="0"/>
        <v>-0.41230377341300023</v>
      </c>
      <c r="BF65" s="97">
        <f t="shared" si="0"/>
        <v>-0.21134968873798543</v>
      </c>
      <c r="BG65" s="97">
        <f t="shared" si="0"/>
        <v>-0.37096913905511025</v>
      </c>
      <c r="BH65" s="97" t="str">
        <f t="shared" si="0"/>
        <v/>
      </c>
      <c r="BI65" s="97" t="str">
        <f t="shared" si="0"/>
        <v/>
      </c>
      <c r="BJ65" s="97">
        <f t="shared" si="0"/>
        <v>-0.50763395533536104</v>
      </c>
      <c r="BK65" s="97">
        <f t="shared" si="0"/>
        <v>-0.27225962168270507</v>
      </c>
      <c r="BL65" s="97" t="str">
        <f t="shared" si="0"/>
        <v/>
      </c>
      <c r="BM65" s="97">
        <f t="shared" si="0"/>
        <v>-0.31001837764934354</v>
      </c>
      <c r="BN65" s="97" t="str">
        <f t="shared" si="0"/>
        <v/>
      </c>
      <c r="BO65" s="97">
        <f t="shared" si="0"/>
        <v>0.11158900047977345</v>
      </c>
      <c r="BP65" s="97" t="str">
        <f t="shared" ref="BP65:EA68" si="1">IF(ISBLANK(BP2),"",BP2-$D2)</f>
        <v/>
      </c>
      <c r="BQ65" s="97">
        <f t="shared" si="1"/>
        <v>-0.12899613821226943</v>
      </c>
      <c r="BR65" s="97">
        <f t="shared" si="1"/>
        <v>-0.22951517431538834</v>
      </c>
      <c r="BS65" s="97">
        <f t="shared" si="1"/>
        <v>-0.27361134419924416</v>
      </c>
      <c r="BT65" s="97">
        <f t="shared" si="1"/>
        <v>0.12711930351007666</v>
      </c>
      <c r="BU65" s="97" t="str">
        <f t="shared" si="1"/>
        <v/>
      </c>
      <c r="BV65" s="97">
        <f t="shared" si="1"/>
        <v>-0.15994209999869535</v>
      </c>
      <c r="BW65" s="97">
        <f t="shared" si="1"/>
        <v>-0.13156385818189983</v>
      </c>
      <c r="BX65" s="97">
        <f t="shared" si="1"/>
        <v>-2.6958163769220892E-2</v>
      </c>
      <c r="BY65" s="97" t="str">
        <f t="shared" si="1"/>
        <v/>
      </c>
      <c r="BZ65" s="97">
        <f t="shared" si="1"/>
        <v>-9.7699537069633524E-2</v>
      </c>
      <c r="CA65" s="97">
        <f t="shared" si="1"/>
        <v>-0.12325948436871134</v>
      </c>
      <c r="CB65" s="97">
        <f t="shared" si="1"/>
        <v>-0.22512428623351313</v>
      </c>
      <c r="CC65" s="97">
        <f t="shared" si="1"/>
        <v>9.7770888552990209E-2</v>
      </c>
      <c r="CD65" s="97">
        <f t="shared" si="1"/>
        <v>-3.6252594544920025E-2</v>
      </c>
      <c r="CE65" s="97">
        <f t="shared" si="1"/>
        <v>0.13838847219449946</v>
      </c>
      <c r="CF65" s="97" t="str">
        <f t="shared" si="1"/>
        <v/>
      </c>
      <c r="CG65" s="97" t="str">
        <f t="shared" si="1"/>
        <v/>
      </c>
      <c r="CH65" s="97" t="str">
        <f t="shared" si="1"/>
        <v/>
      </c>
      <c r="CI65" s="97" t="str">
        <f t="shared" si="1"/>
        <v/>
      </c>
      <c r="CJ65" s="97">
        <f t="shared" si="1"/>
        <v>1.0903688493245857E-2</v>
      </c>
      <c r="CK65" s="97">
        <f t="shared" si="1"/>
        <v>5.058421579077832E-2</v>
      </c>
      <c r="CL65" s="97">
        <f t="shared" si="1"/>
        <v>-0.14428667118157795</v>
      </c>
      <c r="CM65" s="97" t="str">
        <f t="shared" si="1"/>
        <v/>
      </c>
      <c r="CN65" s="97">
        <f t="shared" si="1"/>
        <v>9.2202424772127572E-3</v>
      </c>
      <c r="CO65" s="97">
        <f t="shared" si="1"/>
        <v>0.49795846686334855</v>
      </c>
      <c r="CP65" s="97" t="str">
        <f t="shared" si="1"/>
        <v/>
      </c>
      <c r="CQ65" s="97">
        <f t="shared" si="1"/>
        <v>5.0024900392825478E-2</v>
      </c>
      <c r="CR65" s="97" t="str">
        <f t="shared" si="1"/>
        <v/>
      </c>
      <c r="CS65" s="97">
        <f t="shared" si="1"/>
        <v>0.12053869897607146</v>
      </c>
      <c r="CT65" s="97">
        <f t="shared" si="1"/>
        <v>-0.25989860282601163</v>
      </c>
      <c r="CU65" s="97">
        <f t="shared" si="1"/>
        <v>-0.25694932394090375</v>
      </c>
      <c r="CV65" s="97">
        <f t="shared" si="1"/>
        <v>-4.0317346463926484E-2</v>
      </c>
      <c r="CW65" s="97">
        <f t="shared" si="1"/>
        <v>-2.0248647953163942E-2</v>
      </c>
      <c r="CX65" s="97">
        <f t="shared" si="1"/>
        <v>-0.22911052590440004</v>
      </c>
      <c r="CY65" s="97">
        <f t="shared" si="1"/>
        <v>2.3593662484435507E-2</v>
      </c>
      <c r="CZ65" s="97">
        <f t="shared" si="1"/>
        <v>-2.5386546698353381E-2</v>
      </c>
      <c r="DA65" s="97">
        <f t="shared" si="1"/>
        <v>-0.28720793901484026</v>
      </c>
      <c r="DB65" s="97" t="str">
        <f t="shared" si="1"/>
        <v/>
      </c>
      <c r="DC65" s="97">
        <f t="shared" si="1"/>
        <v>-5.3339078362510846E-2</v>
      </c>
      <c r="DD65" s="97">
        <f t="shared" si="1"/>
        <v>-2.7775746615236522E-2</v>
      </c>
      <c r="DE65" s="97" t="str">
        <f t="shared" si="1"/>
        <v/>
      </c>
      <c r="DF65" s="97">
        <f t="shared" si="1"/>
        <v>-0.37079736315659007</v>
      </c>
      <c r="DG65" s="97" t="str">
        <f t="shared" si="1"/>
        <v/>
      </c>
      <c r="DH65" s="97" t="str">
        <f t="shared" si="1"/>
        <v/>
      </c>
      <c r="DI65" s="97">
        <f t="shared" si="1"/>
        <v>-0.30278537053666382</v>
      </c>
      <c r="DJ65" s="97">
        <f t="shared" si="1"/>
        <v>-5.8352419444689385E-3</v>
      </c>
      <c r="DK65" s="97">
        <f t="shared" si="1"/>
        <v>-0.26942704230097503</v>
      </c>
      <c r="DL65" s="97" t="str">
        <f t="shared" si="1"/>
        <v/>
      </c>
      <c r="DM65" s="97">
        <f t="shared" si="1"/>
        <v>-0.16588917106619455</v>
      </c>
      <c r="DN65" s="97">
        <f t="shared" si="1"/>
        <v>-0.16942476187727254</v>
      </c>
      <c r="DO65" s="97" t="str">
        <f t="shared" si="1"/>
        <v/>
      </c>
      <c r="DP65" s="97">
        <f t="shared" si="1"/>
        <v>-4.6047853412748974E-2</v>
      </c>
      <c r="DQ65" s="97">
        <f t="shared" si="1"/>
        <v>-0.37855338725297566</v>
      </c>
      <c r="DR65" s="97">
        <f t="shared" si="1"/>
        <v>-7.2256091809341561E-2</v>
      </c>
      <c r="DS65" s="97">
        <f t="shared" si="1"/>
        <v>-2.047363156590043E-3</v>
      </c>
      <c r="DT65" s="97" t="str">
        <f t="shared" si="1"/>
        <v/>
      </c>
      <c r="DU65" s="97" t="str">
        <f t="shared" si="1"/>
        <v/>
      </c>
      <c r="DV65" s="97" t="str">
        <f t="shared" si="1"/>
        <v/>
      </c>
      <c r="DW65" s="97" t="str">
        <f t="shared" si="1"/>
        <v/>
      </c>
      <c r="DX65" s="97" t="str">
        <f t="shared" si="1"/>
        <v/>
      </c>
      <c r="DY65" s="97">
        <f t="shared" si="1"/>
        <v>-0.10810796921719604</v>
      </c>
      <c r="DZ65" s="97">
        <f t="shared" si="1"/>
        <v>-0.52526288637211327</v>
      </c>
      <c r="EA65" s="97">
        <f t="shared" si="1"/>
        <v>-0.23406175164579873</v>
      </c>
      <c r="EB65" s="97">
        <f t="shared" ref="EB65:EO67" si="2">IF(ISBLANK(EB2),"",EB2-$D2)</f>
        <v>-0.30437294455193886</v>
      </c>
      <c r="EC65" s="97">
        <f t="shared" si="2"/>
        <v>-0.36813599514117573</v>
      </c>
      <c r="ED65" s="97">
        <f t="shared" si="2"/>
        <v>-0.11743197854120545</v>
      </c>
      <c r="EE65" s="97">
        <f t="shared" si="2"/>
        <v>-0.37482842824534746</v>
      </c>
      <c r="EF65" s="97">
        <f t="shared" si="2"/>
        <v>-0.21027980867717114</v>
      </c>
      <c r="EG65" s="97">
        <f t="shared" si="2"/>
        <v>-8.123860157276519E-2</v>
      </c>
      <c r="EH65" s="97" t="str">
        <f t="shared" si="2"/>
        <v/>
      </c>
      <c r="EI65" s="97" t="str">
        <f t="shared" si="2"/>
        <v/>
      </c>
      <c r="EJ65" s="97" t="str">
        <f t="shared" si="2"/>
        <v/>
      </c>
      <c r="EK65" s="97">
        <f t="shared" si="2"/>
        <v>-9.3572786885403603E-2</v>
      </c>
      <c r="EL65" s="97">
        <f t="shared" si="2"/>
        <v>-0.45429455416782605</v>
      </c>
      <c r="EM65" s="97">
        <f t="shared" si="2"/>
        <v>-9.028265727423701E-2</v>
      </c>
      <c r="EN65" s="97">
        <f t="shared" si="2"/>
        <v>-0.11868788756253654</v>
      </c>
      <c r="EO65" s="97">
        <f t="shared" si="2"/>
        <v>-0.25947310573084742</v>
      </c>
    </row>
    <row r="66" spans="1:145" outlineLevel="1" x14ac:dyDescent="0.25">
      <c r="A66">
        <v>2020</v>
      </c>
      <c r="B66">
        <v>4</v>
      </c>
      <c r="C66" s="97">
        <f t="shared" ref="C66:R81" si="3">IF(ISBLANK(C3),"",C3-$D3)</f>
        <v>0.12717645977958089</v>
      </c>
      <c r="D66" s="97">
        <f t="shared" si="3"/>
        <v>0</v>
      </c>
      <c r="E66" s="97">
        <f t="shared" si="3"/>
        <v>0.27903939436659891</v>
      </c>
      <c r="F66" s="97">
        <f t="shared" si="3"/>
        <v>0.13865477898198331</v>
      </c>
      <c r="G66" s="97" t="str">
        <f t="shared" si="3"/>
        <v/>
      </c>
      <c r="H66" s="97">
        <f t="shared" si="3"/>
        <v>0.1653718119490161</v>
      </c>
      <c r="I66" s="97" t="str">
        <f t="shared" si="3"/>
        <v/>
      </c>
      <c r="J66" s="97">
        <f t="shared" si="3"/>
        <v>0.14237652893014829</v>
      </c>
      <c r="K66" s="97">
        <f t="shared" si="3"/>
        <v>4.3296688796306992E-2</v>
      </c>
      <c r="L66" s="97" t="str">
        <f t="shared" si="3"/>
        <v/>
      </c>
      <c r="M66" s="97">
        <f t="shared" si="3"/>
        <v>-1.7725267088784417E-2</v>
      </c>
      <c r="N66" s="97" t="str">
        <f t="shared" si="3"/>
        <v/>
      </c>
      <c r="O66" s="97" t="str">
        <f t="shared" si="3"/>
        <v/>
      </c>
      <c r="P66" s="97">
        <f t="shared" si="3"/>
        <v>0.96822977020081014</v>
      </c>
      <c r="Q66" s="97">
        <f t="shared" si="3"/>
        <v>0.22935990718711138</v>
      </c>
      <c r="R66" s="97">
        <f t="shared" si="3"/>
        <v>0.30292276905642518</v>
      </c>
      <c r="S66" s="97" t="str">
        <f t="shared" si="0"/>
        <v/>
      </c>
      <c r="T66" s="97">
        <f t="shared" si="0"/>
        <v>0.35403939436659859</v>
      </c>
      <c r="U66" s="97" t="str">
        <f t="shared" si="0"/>
        <v/>
      </c>
      <c r="V66" s="97">
        <f t="shared" si="0"/>
        <v>0.30749802641465152</v>
      </c>
      <c r="W66" s="97" t="str">
        <f t="shared" si="0"/>
        <v/>
      </c>
      <c r="X66" s="97">
        <f t="shared" si="0"/>
        <v>0.61552555396596598</v>
      </c>
      <c r="Y66" s="97">
        <f t="shared" si="0"/>
        <v>9.3526573853778161E-2</v>
      </c>
      <c r="Z66" s="97" t="str">
        <f t="shared" si="0"/>
        <v/>
      </c>
      <c r="AA66" s="97" t="str">
        <f t="shared" si="0"/>
        <v/>
      </c>
      <c r="AB66" s="97">
        <f t="shared" si="0"/>
        <v>0.10004373543383493</v>
      </c>
      <c r="AC66" s="97" t="str">
        <f t="shared" si="0"/>
        <v/>
      </c>
      <c r="AD66" s="97" t="str">
        <f t="shared" si="0"/>
        <v/>
      </c>
      <c r="AE66" s="97">
        <f t="shared" si="0"/>
        <v>0.1220706061525417</v>
      </c>
      <c r="AF66" s="97" t="str">
        <f t="shared" si="0"/>
        <v/>
      </c>
      <c r="AG66" s="97" t="str">
        <f t="shared" si="0"/>
        <v/>
      </c>
      <c r="AH66" s="97">
        <f t="shared" si="0"/>
        <v>0.16489912287338621</v>
      </c>
      <c r="AI66" s="97">
        <f t="shared" si="0"/>
        <v>0.36685990718711159</v>
      </c>
      <c r="AJ66" s="97" t="str">
        <f t="shared" si="0"/>
        <v/>
      </c>
      <c r="AK66" s="97">
        <f t="shared" si="0"/>
        <v>0.32413690249227589</v>
      </c>
      <c r="AL66" s="97">
        <f t="shared" si="0"/>
        <v>0.2665741345804572</v>
      </c>
      <c r="AM66" s="97">
        <f t="shared" si="0"/>
        <v>6.4953543295886429E-2</v>
      </c>
      <c r="AN66" s="97">
        <f t="shared" si="0"/>
        <v>-3.980675947955515E-2</v>
      </c>
      <c r="AO66" s="97">
        <f t="shared" si="0"/>
        <v>9.1102331429535721E-2</v>
      </c>
      <c r="AP66" s="97">
        <f t="shared" si="0"/>
        <v>0.1561820984591637</v>
      </c>
      <c r="AQ66" s="97" t="str">
        <f t="shared" si="0"/>
        <v/>
      </c>
      <c r="AR66" s="97">
        <f t="shared" si="0"/>
        <v>0.53185990718711162</v>
      </c>
      <c r="AS66" s="97" t="str">
        <f t="shared" si="0"/>
        <v/>
      </c>
      <c r="AT66" s="97">
        <f t="shared" si="0"/>
        <v>0.30607559346162139</v>
      </c>
      <c r="AU66" s="97" t="str">
        <f t="shared" si="0"/>
        <v/>
      </c>
      <c r="AV66" s="97">
        <f t="shared" si="0"/>
        <v>0.37438678890754168</v>
      </c>
      <c r="AW66" s="97">
        <f t="shared" si="0"/>
        <v>0.10381092698761789</v>
      </c>
      <c r="AX66" s="97" t="str">
        <f t="shared" si="0"/>
        <v/>
      </c>
      <c r="AY66" s="97">
        <f t="shared" si="0"/>
        <v>-5.1890092812888478E-2</v>
      </c>
      <c r="AZ66" s="97">
        <f t="shared" si="0"/>
        <v>2.6028790746616126E-3</v>
      </c>
      <c r="BA66" s="97">
        <f t="shared" si="0"/>
        <v>0.25613995793243338</v>
      </c>
      <c r="BB66" s="97">
        <f t="shared" si="0"/>
        <v>0.26360787466678637</v>
      </c>
      <c r="BC66" s="97">
        <f t="shared" si="0"/>
        <v>0.14674496465837589</v>
      </c>
      <c r="BD66" s="97" t="str">
        <f t="shared" si="0"/>
        <v/>
      </c>
      <c r="BE66" s="97">
        <f t="shared" si="0"/>
        <v>0.59149758834653199</v>
      </c>
      <c r="BF66" s="97">
        <f t="shared" si="0"/>
        <v>-4.882636732269241E-2</v>
      </c>
      <c r="BG66" s="97">
        <f t="shared" si="0"/>
        <v>5.7144664306039483E-2</v>
      </c>
      <c r="BH66" s="97" t="str">
        <f t="shared" si="0"/>
        <v/>
      </c>
      <c r="BI66" s="97" t="str">
        <f t="shared" si="0"/>
        <v/>
      </c>
      <c r="BJ66" s="97">
        <f t="shared" si="0"/>
        <v>5.6690415661687754E-2</v>
      </c>
      <c r="BK66" s="97">
        <f t="shared" si="0"/>
        <v>0.16032395947469338</v>
      </c>
      <c r="BL66" s="97" t="str">
        <f t="shared" si="0"/>
        <v/>
      </c>
      <c r="BM66" s="97">
        <f t="shared" si="0"/>
        <v>0.1755859106775132</v>
      </c>
      <c r="BN66" s="97" t="str">
        <f t="shared" si="0"/>
        <v/>
      </c>
      <c r="BO66" s="97">
        <f t="shared" si="0"/>
        <v>0.10223405684697559</v>
      </c>
      <c r="BP66" s="97" t="str">
        <f t="shared" si="1"/>
        <v/>
      </c>
      <c r="BQ66" s="97">
        <f t="shared" si="1"/>
        <v>0.205975553445615</v>
      </c>
      <c r="BR66" s="97">
        <f t="shared" si="1"/>
        <v>5.5748796076000473E-2</v>
      </c>
      <c r="BS66" s="97">
        <f t="shared" si="1"/>
        <v>0.14983540057249459</v>
      </c>
      <c r="BT66" s="97">
        <f t="shared" si="1"/>
        <v>0.29170615564959618</v>
      </c>
      <c r="BU66" s="97" t="str">
        <f t="shared" si="1"/>
        <v/>
      </c>
      <c r="BV66" s="97">
        <f t="shared" si="1"/>
        <v>-4.9806759479555145E-2</v>
      </c>
      <c r="BW66" s="97">
        <f t="shared" si="1"/>
        <v>0.10556721284849779</v>
      </c>
      <c r="BX66" s="97">
        <f t="shared" si="1"/>
        <v>0.14440058755663948</v>
      </c>
      <c r="BY66" s="97" t="str">
        <f t="shared" si="1"/>
        <v/>
      </c>
      <c r="BZ66" s="97">
        <f t="shared" si="1"/>
        <v>2.1163174435218086E-3</v>
      </c>
      <c r="CA66" s="97">
        <f t="shared" si="1"/>
        <v>1.9324052044489279E-4</v>
      </c>
      <c r="CB66" s="97">
        <f t="shared" si="1"/>
        <v>0.3556662878251754</v>
      </c>
      <c r="CC66" s="97">
        <f t="shared" si="1"/>
        <v>0.1149567125508343</v>
      </c>
      <c r="CD66" s="97">
        <f t="shared" si="1"/>
        <v>0.15435990718711148</v>
      </c>
      <c r="CE66" s="97">
        <f t="shared" si="1"/>
        <v>5.7518081284776312E-2</v>
      </c>
      <c r="CF66" s="97" t="str">
        <f t="shared" si="1"/>
        <v/>
      </c>
      <c r="CG66" s="97" t="str">
        <f t="shared" si="1"/>
        <v/>
      </c>
      <c r="CH66" s="97" t="str">
        <f t="shared" si="1"/>
        <v/>
      </c>
      <c r="CI66" s="97" t="str">
        <f t="shared" si="1"/>
        <v/>
      </c>
      <c r="CJ66" s="97">
        <f t="shared" si="1"/>
        <v>3.1385397159076844E-2</v>
      </c>
      <c r="CK66" s="97">
        <f t="shared" si="1"/>
        <v>0.53352657385377833</v>
      </c>
      <c r="CL66" s="97">
        <f t="shared" si="1"/>
        <v>7.5823492621285182E-2</v>
      </c>
      <c r="CM66" s="97" t="str">
        <f t="shared" si="1"/>
        <v/>
      </c>
      <c r="CN66" s="97">
        <f t="shared" si="1"/>
        <v>0.10047179205247839</v>
      </c>
      <c r="CO66" s="97">
        <f t="shared" si="1"/>
        <v>-0.19980675947955512</v>
      </c>
      <c r="CP66" s="97" t="str">
        <f t="shared" si="1"/>
        <v/>
      </c>
      <c r="CQ66" s="97">
        <f t="shared" si="1"/>
        <v>0.1638296041568085</v>
      </c>
      <c r="CR66" s="97" t="str">
        <f t="shared" si="1"/>
        <v/>
      </c>
      <c r="CS66" s="97">
        <f t="shared" si="1"/>
        <v>0.243274766324484</v>
      </c>
      <c r="CT66" s="97">
        <f t="shared" si="1"/>
        <v>-0.10002947662877551</v>
      </c>
      <c r="CU66" s="97">
        <f t="shared" si="1"/>
        <v>1.6640608941497544E-2</v>
      </c>
      <c r="CV66" s="97">
        <f t="shared" si="1"/>
        <v>0.10528317872794059</v>
      </c>
      <c r="CW66" s="97">
        <f t="shared" si="1"/>
        <v>0.1095171227450905</v>
      </c>
      <c r="CX66" s="97">
        <f t="shared" si="1"/>
        <v>0.23162777675665108</v>
      </c>
      <c r="CY66" s="97">
        <f t="shared" si="1"/>
        <v>-0.24980675947955511</v>
      </c>
      <c r="CZ66" s="97">
        <f t="shared" si="1"/>
        <v>0.17544133573743528</v>
      </c>
      <c r="DA66" s="97">
        <f t="shared" si="1"/>
        <v>0.31080516925785778</v>
      </c>
      <c r="DB66" s="97" t="str">
        <f t="shared" si="1"/>
        <v/>
      </c>
      <c r="DC66" s="97">
        <f t="shared" si="1"/>
        <v>0.10853229212938709</v>
      </c>
      <c r="DD66" s="97">
        <f t="shared" si="1"/>
        <v>-0.1162302491696552</v>
      </c>
      <c r="DE66" s="97" t="str">
        <f t="shared" si="1"/>
        <v/>
      </c>
      <c r="DF66" s="97">
        <f t="shared" si="1"/>
        <v>0.36652987418381128</v>
      </c>
      <c r="DG66" s="97" t="str">
        <f t="shared" si="1"/>
        <v/>
      </c>
      <c r="DH66" s="97" t="str">
        <f t="shared" si="1"/>
        <v/>
      </c>
      <c r="DI66" s="97">
        <f t="shared" si="1"/>
        <v>0.23033103002498909</v>
      </c>
      <c r="DJ66" s="97">
        <f t="shared" si="1"/>
        <v>8.7483736002927914E-3</v>
      </c>
      <c r="DK66" s="97">
        <f t="shared" si="1"/>
        <v>0.85785747409708712</v>
      </c>
      <c r="DL66" s="97" t="str">
        <f t="shared" si="1"/>
        <v/>
      </c>
      <c r="DM66" s="97">
        <f t="shared" si="1"/>
        <v>0.27586891619612042</v>
      </c>
      <c r="DN66" s="97">
        <f t="shared" si="1"/>
        <v>0.23578863104541301</v>
      </c>
      <c r="DO66" s="97" t="str">
        <f t="shared" si="1"/>
        <v/>
      </c>
      <c r="DP66" s="97">
        <f t="shared" si="1"/>
        <v>0.23660349693070129</v>
      </c>
      <c r="DQ66" s="97">
        <f t="shared" si="1"/>
        <v>3.8840583515613925E-2</v>
      </c>
      <c r="DR66" s="97">
        <f t="shared" si="1"/>
        <v>3.692793439799591E-2</v>
      </c>
      <c r="DS66" s="97">
        <f t="shared" si="1"/>
        <v>0.30091586420026711</v>
      </c>
      <c r="DT66" s="97" t="str">
        <f t="shared" si="1"/>
        <v/>
      </c>
      <c r="DU66" s="97" t="str">
        <f t="shared" si="1"/>
        <v/>
      </c>
      <c r="DV66" s="97" t="str">
        <f t="shared" si="1"/>
        <v/>
      </c>
      <c r="DW66" s="97" t="str">
        <f t="shared" si="1"/>
        <v/>
      </c>
      <c r="DX66" s="97" t="str">
        <f t="shared" si="1"/>
        <v/>
      </c>
      <c r="DY66" s="97">
        <f t="shared" si="1"/>
        <v>0.36460002018146198</v>
      </c>
      <c r="DZ66" s="97">
        <f t="shared" si="1"/>
        <v>0.1702513800553288</v>
      </c>
      <c r="EA66" s="97">
        <f t="shared" si="1"/>
        <v>0.6208021398178688</v>
      </c>
      <c r="EB66" s="97">
        <f t="shared" si="2"/>
        <v>3.352657385377833E-2</v>
      </c>
      <c r="EC66" s="97">
        <f t="shared" si="2"/>
        <v>-0.1274663339476402</v>
      </c>
      <c r="ED66" s="97">
        <f t="shared" si="2"/>
        <v>0.13062802312914049</v>
      </c>
      <c r="EE66" s="97">
        <f t="shared" si="2"/>
        <v>0.49075927825629378</v>
      </c>
      <c r="EF66" s="97">
        <f t="shared" si="2"/>
        <v>-1.2039175381695747E-2</v>
      </c>
      <c r="EG66" s="97">
        <f t="shared" si="2"/>
        <v>0.10449333201175329</v>
      </c>
      <c r="EH66" s="97" t="str">
        <f t="shared" si="2"/>
        <v/>
      </c>
      <c r="EI66" s="97" t="str">
        <f t="shared" si="2"/>
        <v/>
      </c>
      <c r="EJ66" s="97" t="str">
        <f t="shared" si="2"/>
        <v/>
      </c>
      <c r="EK66" s="97">
        <f t="shared" si="2"/>
        <v>-0.32070228186761479</v>
      </c>
      <c r="EL66" s="97">
        <f t="shared" si="2"/>
        <v>0.3848086251358297</v>
      </c>
      <c r="EM66" s="97">
        <f t="shared" si="2"/>
        <v>3.5677111488186752E-2</v>
      </c>
      <c r="EN66" s="97">
        <f t="shared" si="2"/>
        <v>0.1006507570335312</v>
      </c>
      <c r="EO66" s="97">
        <f t="shared" si="2"/>
        <v>0.33352657385377821</v>
      </c>
    </row>
    <row r="67" spans="1:145" outlineLevel="1" x14ac:dyDescent="0.25">
      <c r="A67">
        <v>2020</v>
      </c>
      <c r="B67">
        <v>5</v>
      </c>
      <c r="C67" s="97">
        <f t="shared" si="3"/>
        <v>4.7816710710697929E-2</v>
      </c>
      <c r="D67" s="97">
        <f t="shared" si="3"/>
        <v>0</v>
      </c>
      <c r="E67" s="97">
        <f t="shared" si="3"/>
        <v>6.0321494563218447E-2</v>
      </c>
      <c r="F67" s="97">
        <f t="shared" si="3"/>
        <v>9.4765713217963565E-2</v>
      </c>
      <c r="G67" s="97" t="str">
        <f t="shared" si="3"/>
        <v/>
      </c>
      <c r="H67" s="97">
        <f t="shared" si="3"/>
        <v>0.21089908797202805</v>
      </c>
      <c r="I67" s="97" t="str">
        <f t="shared" si="3"/>
        <v/>
      </c>
      <c r="J67" s="97">
        <f t="shared" si="3"/>
        <v>9.9876133372631681E-2</v>
      </c>
      <c r="K67" s="97">
        <f t="shared" si="3"/>
        <v>0.34176891476661986</v>
      </c>
      <c r="L67" s="97" t="str">
        <f t="shared" si="3"/>
        <v/>
      </c>
      <c r="M67" s="97">
        <f t="shared" si="3"/>
        <v>-0.22352295785751075</v>
      </c>
      <c r="N67" s="97" t="str">
        <f t="shared" si="3"/>
        <v/>
      </c>
      <c r="O67" s="97" t="str">
        <f t="shared" si="3"/>
        <v/>
      </c>
      <c r="P67" s="97">
        <f t="shared" si="3"/>
        <v>0.13010151305492365</v>
      </c>
      <c r="Q67" s="97">
        <f t="shared" si="3"/>
        <v>8.4916881335233452E-2</v>
      </c>
      <c r="R67" s="97">
        <f t="shared" si="3"/>
        <v>-0.36611459566234517</v>
      </c>
      <c r="S67" s="97" t="str">
        <f t="shared" si="0"/>
        <v/>
      </c>
      <c r="T67" s="97">
        <f t="shared" si="0"/>
        <v>0.12517111862336905</v>
      </c>
      <c r="U67" s="97" t="str">
        <f t="shared" si="0"/>
        <v/>
      </c>
      <c r="V67" s="97">
        <f t="shared" si="0"/>
        <v>-0.22140884284098544</v>
      </c>
      <c r="W67" s="97" t="str">
        <f t="shared" si="0"/>
        <v/>
      </c>
      <c r="X67" s="97">
        <f t="shared" si="0"/>
        <v>-0.18976890031801785</v>
      </c>
      <c r="Y67" s="97">
        <f t="shared" si="0"/>
        <v>-9.1292296010777263E-2</v>
      </c>
      <c r="Z67" s="97" t="str">
        <f t="shared" si="0"/>
        <v/>
      </c>
      <c r="AA67" s="97" t="str">
        <f t="shared" si="0"/>
        <v/>
      </c>
      <c r="AB67" s="97">
        <f t="shared" si="0"/>
        <v>-1.775200937944332E-2</v>
      </c>
      <c r="AC67" s="97" t="str">
        <f t="shared" si="0"/>
        <v/>
      </c>
      <c r="AD67" s="97" t="str">
        <f t="shared" si="0"/>
        <v/>
      </c>
      <c r="AE67" s="97">
        <f t="shared" si="0"/>
        <v>7.1021321052518793E-2</v>
      </c>
      <c r="AF67" s="97" t="str">
        <f t="shared" si="0"/>
        <v/>
      </c>
      <c r="AG67" s="97" t="str">
        <f t="shared" si="0"/>
        <v/>
      </c>
      <c r="AH67" s="97">
        <f t="shared" si="0"/>
        <v>-6.0434941982691504E-2</v>
      </c>
      <c r="AI67" s="97">
        <f t="shared" si="0"/>
        <v>-7.2999613083947978E-2</v>
      </c>
      <c r="AJ67" s="97" t="str">
        <f t="shared" si="0"/>
        <v/>
      </c>
      <c r="AK67" s="97">
        <f t="shared" si="0"/>
        <v>3.2086012240390538E-2</v>
      </c>
      <c r="AL67" s="97">
        <f t="shared" si="0"/>
        <v>6.641870082839807E-2</v>
      </c>
      <c r="AM67" s="97">
        <f t="shared" si="0"/>
        <v>0.19606369366286344</v>
      </c>
      <c r="AN67" s="97">
        <f t="shared" si="0"/>
        <v>-6.2328881376630951E-2</v>
      </c>
      <c r="AO67" s="97">
        <f t="shared" si="0"/>
        <v>-0.16397029551804504</v>
      </c>
      <c r="AP67" s="97">
        <f t="shared" si="0"/>
        <v>6.5231359587224258E-2</v>
      </c>
      <c r="AQ67" s="97" t="str">
        <f t="shared" si="0"/>
        <v/>
      </c>
      <c r="AR67" s="97">
        <f t="shared" si="0"/>
        <v>-5.5323984749862769E-2</v>
      </c>
      <c r="AS67" s="97" t="str">
        <f t="shared" si="0"/>
        <v/>
      </c>
      <c r="AT67" s="97">
        <f t="shared" si="0"/>
        <v>-5.3882935430685008E-2</v>
      </c>
      <c r="AU67" s="97" t="str">
        <f t="shared" si="0"/>
        <v/>
      </c>
      <c r="AV67" s="97">
        <f t="shared" si="0"/>
        <v>9.8762667919143565E-2</v>
      </c>
      <c r="AW67" s="97">
        <f t="shared" si="0"/>
        <v>-0.13337805175299675</v>
      </c>
      <c r="AX67" s="97">
        <f t="shared" si="0"/>
        <v>0.91388540433765497</v>
      </c>
      <c r="AY67" s="97">
        <f t="shared" si="0"/>
        <v>0.45072056917281955</v>
      </c>
      <c r="AZ67" s="97">
        <f t="shared" si="0"/>
        <v>9.8728810931061339E-2</v>
      </c>
      <c r="BA67" s="97">
        <f t="shared" si="0"/>
        <v>7.012061357286381E-2</v>
      </c>
      <c r="BB67" s="97">
        <f t="shared" si="0"/>
        <v>-0.11179799334574295</v>
      </c>
      <c r="BC67" s="97">
        <f t="shared" si="0"/>
        <v>0.85731397576622603</v>
      </c>
      <c r="BD67" s="97" t="str">
        <f t="shared" si="0"/>
        <v/>
      </c>
      <c r="BE67" s="97">
        <f t="shared" si="0"/>
        <v>-0.21021139503783326</v>
      </c>
      <c r="BF67" s="97">
        <f t="shared" si="0"/>
        <v>-0.11323094323230096</v>
      </c>
      <c r="BG67" s="97">
        <f t="shared" si="0"/>
        <v>0.57782563526362263</v>
      </c>
      <c r="BH67" s="97" t="str">
        <f t="shared" si="0"/>
        <v/>
      </c>
      <c r="BI67" s="97" t="str">
        <f t="shared" si="0"/>
        <v/>
      </c>
      <c r="BJ67" s="97">
        <f t="shared" si="0"/>
        <v>-1.0524068542406392E-2</v>
      </c>
      <c r="BK67" s="97">
        <f t="shared" si="0"/>
        <v>-0.18574437433437746</v>
      </c>
      <c r="BL67" s="97" t="str">
        <f t="shared" si="0"/>
        <v/>
      </c>
      <c r="BM67" s="97">
        <f t="shared" si="0"/>
        <v>0.20507089590621974</v>
      </c>
      <c r="BN67" s="97" t="str">
        <f t="shared" si="0"/>
        <v/>
      </c>
      <c r="BO67" s="97">
        <f t="shared" si="0"/>
        <v>7.4245192697443008E-2</v>
      </c>
      <c r="BP67" s="97" t="str">
        <f t="shared" si="1"/>
        <v/>
      </c>
      <c r="BQ67" s="97">
        <f t="shared" si="1"/>
        <v>-1.4638472349832621E-2</v>
      </c>
      <c r="BR67" s="97">
        <f t="shared" si="1"/>
        <v>0.32122375020231636</v>
      </c>
      <c r="BS67" s="97">
        <f t="shared" si="1"/>
        <v>0.18183495563525345</v>
      </c>
      <c r="BT67" s="97">
        <f t="shared" si="1"/>
        <v>0.20302826148051184</v>
      </c>
      <c r="BU67" s="97" t="str">
        <f t="shared" si="1"/>
        <v/>
      </c>
      <c r="BV67" s="97">
        <f t="shared" si="1"/>
        <v>5.9381644939158429E-2</v>
      </c>
      <c r="BW67" s="97">
        <f t="shared" si="1"/>
        <v>8.2438692319514173E-2</v>
      </c>
      <c r="BX67" s="97">
        <f t="shared" si="1"/>
        <v>-1.4907459933323213E-3</v>
      </c>
      <c r="BY67" s="97" t="str">
        <f t="shared" si="1"/>
        <v/>
      </c>
      <c r="BZ67" s="97">
        <f t="shared" si="1"/>
        <v>-2.0942125138627032E-2</v>
      </c>
      <c r="CA67" s="97">
        <f t="shared" si="1"/>
        <v>3.4653877244058766E-2</v>
      </c>
      <c r="CB67" s="97">
        <f t="shared" si="1"/>
        <v>3.0606342322263339E-2</v>
      </c>
      <c r="CC67" s="97">
        <f t="shared" si="1"/>
        <v>-6.1366631744107503E-3</v>
      </c>
      <c r="CD67" s="97">
        <f t="shared" si="1"/>
        <v>0.64999061320820672</v>
      </c>
      <c r="CE67" s="97">
        <f t="shared" si="1"/>
        <v>0.85559280537035698</v>
      </c>
      <c r="CF67" s="97" t="str">
        <f t="shared" si="1"/>
        <v/>
      </c>
      <c r="CG67" s="97" t="str">
        <f t="shared" si="1"/>
        <v/>
      </c>
      <c r="CH67" s="97" t="str">
        <f t="shared" si="1"/>
        <v/>
      </c>
      <c r="CI67" s="97" t="str">
        <f t="shared" si="1"/>
        <v/>
      </c>
      <c r="CJ67" s="97">
        <f t="shared" si="1"/>
        <v>1.7565354617845589E-2</v>
      </c>
      <c r="CK67" s="97">
        <f t="shared" si="1"/>
        <v>-7.5915837898370087E-2</v>
      </c>
      <c r="CL67" s="97">
        <f t="shared" si="1"/>
        <v>0.13037945195670234</v>
      </c>
      <c r="CM67" s="97" t="str">
        <f t="shared" si="1"/>
        <v/>
      </c>
      <c r="CN67" s="97">
        <f t="shared" si="1"/>
        <v>-6.5482889815449474E-2</v>
      </c>
      <c r="CO67" s="97">
        <f t="shared" si="1"/>
        <v>-0.14566626331918614</v>
      </c>
      <c r="CP67" s="97" t="str">
        <f t="shared" si="1"/>
        <v/>
      </c>
      <c r="CQ67" s="97">
        <f t="shared" si="1"/>
        <v>0.22239334084559134</v>
      </c>
      <c r="CR67" s="97" t="str">
        <f t="shared" si="1"/>
        <v/>
      </c>
      <c r="CS67" s="97">
        <f t="shared" si="1"/>
        <v>-0.10452202217085485</v>
      </c>
      <c r="CT67" s="97">
        <f t="shared" si="1"/>
        <v>6.9478049316438195E-2</v>
      </c>
      <c r="CU67" s="97">
        <f t="shared" si="1"/>
        <v>1.6352348396831969E-2</v>
      </c>
      <c r="CV67" s="97">
        <f t="shared" si="1"/>
        <v>-1.8925380923893731E-2</v>
      </c>
      <c r="CW67" s="97">
        <f t="shared" si="1"/>
        <v>3.7280973624598042E-2</v>
      </c>
      <c r="CX67" s="97">
        <f t="shared" si="1"/>
        <v>6.45934969231996E-2</v>
      </c>
      <c r="CY67" s="97">
        <f t="shared" si="1"/>
        <v>6.6837785290035701E-2</v>
      </c>
      <c r="CZ67" s="97">
        <f t="shared" si="1"/>
        <v>5.9753053172795223E-3</v>
      </c>
      <c r="DA67" s="97">
        <f t="shared" si="1"/>
        <v>0.24958010207490555</v>
      </c>
      <c r="DB67" s="97" t="str">
        <f t="shared" si="1"/>
        <v/>
      </c>
      <c r="DC67" s="97">
        <f t="shared" si="1"/>
        <v>3.1950356217105735E-2</v>
      </c>
      <c r="DD67" s="97">
        <f t="shared" si="1"/>
        <v>-4.7730621397101824E-2</v>
      </c>
      <c r="DE67" s="97" t="str">
        <f t="shared" si="1"/>
        <v/>
      </c>
      <c r="DF67" s="97">
        <f t="shared" si="1"/>
        <v>0.21756242297119524</v>
      </c>
      <c r="DG67" s="97" t="str">
        <f t="shared" si="1"/>
        <v/>
      </c>
      <c r="DH67" s="97" t="str">
        <f t="shared" si="1"/>
        <v/>
      </c>
      <c r="DI67" s="97">
        <f t="shared" si="1"/>
        <v>0.14912250089219656</v>
      </c>
      <c r="DJ67" s="97">
        <f t="shared" si="1"/>
        <v>-6.426430858252119E-3</v>
      </c>
      <c r="DK67" s="97">
        <f t="shared" si="1"/>
        <v>-0.71954073468376911</v>
      </c>
      <c r="DL67" s="97" t="str">
        <f t="shared" si="1"/>
        <v/>
      </c>
      <c r="DM67" s="97">
        <f t="shared" si="1"/>
        <v>-0.11741362713934275</v>
      </c>
      <c r="DN67" s="97">
        <f t="shared" si="1"/>
        <v>-0.21848173111756364</v>
      </c>
      <c r="DO67" s="97" t="str">
        <f t="shared" si="1"/>
        <v/>
      </c>
      <c r="DP67" s="97">
        <f t="shared" si="1"/>
        <v>1.3713217337595339E-2</v>
      </c>
      <c r="DQ67" s="97">
        <f t="shared" si="1"/>
        <v>-0.11145678835337515</v>
      </c>
      <c r="DR67" s="97">
        <f t="shared" si="1"/>
        <v>0.909619937521007</v>
      </c>
      <c r="DS67" s="97">
        <f t="shared" si="1"/>
        <v>3.0940349392599927E-2</v>
      </c>
      <c r="DT67" s="97" t="str">
        <f t="shared" si="1"/>
        <v/>
      </c>
      <c r="DU67" s="97" t="str">
        <f t="shared" si="1"/>
        <v/>
      </c>
      <c r="DV67" s="97" t="str">
        <f t="shared" si="1"/>
        <v/>
      </c>
      <c r="DW67" s="97" t="str">
        <f t="shared" si="1"/>
        <v/>
      </c>
      <c r="DX67" s="97" t="str">
        <f t="shared" si="1"/>
        <v/>
      </c>
      <c r="DY67" s="97">
        <f t="shared" si="1"/>
        <v>-0.13647484410955024</v>
      </c>
      <c r="DZ67" s="97">
        <f t="shared" si="1"/>
        <v>0.22377360309541844</v>
      </c>
      <c r="EA67" s="97">
        <f t="shared" si="1"/>
        <v>-1.7169921839058633E-2</v>
      </c>
      <c r="EB67" s="97">
        <f t="shared" si="2"/>
        <v>0.35500982830078837</v>
      </c>
      <c r="EC67" s="97">
        <f t="shared" si="2"/>
        <v>-4.5125048624017672E-2</v>
      </c>
      <c r="ED67" s="97">
        <f t="shared" si="2"/>
        <v>7.7094195546445921E-2</v>
      </c>
      <c r="EE67" s="97">
        <f t="shared" si="2"/>
        <v>-0.28463900795890934</v>
      </c>
      <c r="EF67" s="97">
        <f t="shared" si="2"/>
        <v>0.15496988023327615</v>
      </c>
      <c r="EG67" s="97">
        <f t="shared" si="2"/>
        <v>-4.8710405817393158E-2</v>
      </c>
      <c r="EH67" s="97" t="str">
        <f t="shared" si="2"/>
        <v/>
      </c>
      <c r="EI67" s="97" t="str">
        <f t="shared" si="2"/>
        <v/>
      </c>
      <c r="EJ67" s="97" t="str">
        <f t="shared" si="2"/>
        <v/>
      </c>
      <c r="EK67" s="97">
        <f t="shared" si="2"/>
        <v>0.31335793181018246</v>
      </c>
      <c r="EL67" s="97">
        <f t="shared" si="2"/>
        <v>0.9038748223270725</v>
      </c>
      <c r="EM67" s="97">
        <f t="shared" si="2"/>
        <v>0.52665086940218542</v>
      </c>
      <c r="EN67" s="97">
        <f t="shared" si="2"/>
        <v>7.8123461769415092E-2</v>
      </c>
      <c r="EO67" s="97">
        <f t="shared" si="2"/>
        <v>-0.37316221470996425</v>
      </c>
    </row>
    <row r="68" spans="1:145" outlineLevel="1" x14ac:dyDescent="0.25">
      <c r="A68">
        <v>2020</v>
      </c>
      <c r="B68">
        <v>6</v>
      </c>
      <c r="C68" s="97">
        <f t="shared" si="3"/>
        <v>1.7760594009069711E-2</v>
      </c>
      <c r="D68" s="97">
        <f t="shared" si="0"/>
        <v>0</v>
      </c>
      <c r="E68" s="97">
        <f t="shared" si="0"/>
        <v>0.14893617021276609</v>
      </c>
      <c r="F68" s="97">
        <f t="shared" si="0"/>
        <v>-0.1419753086419753</v>
      </c>
      <c r="G68" s="97" t="str">
        <f t="shared" si="0"/>
        <v/>
      </c>
      <c r="H68" s="97">
        <f t="shared" si="0"/>
        <v>1.265822784810133E-2</v>
      </c>
      <c r="I68" s="97" t="str">
        <f t="shared" si="0"/>
        <v/>
      </c>
      <c r="J68" s="97">
        <f t="shared" si="0"/>
        <v>0.20493562231759671</v>
      </c>
      <c r="K68" s="97">
        <f t="shared" si="0"/>
        <v>-2.2587268993839889E-2</v>
      </c>
      <c r="L68" s="97" t="str">
        <f t="shared" si="0"/>
        <v/>
      </c>
      <c r="M68" s="97">
        <f t="shared" si="0"/>
        <v>4.1210560206052849E-2</v>
      </c>
      <c r="N68" s="97" t="str">
        <f t="shared" si="0"/>
        <v/>
      </c>
      <c r="O68" s="97" t="str">
        <f t="shared" si="0"/>
        <v/>
      </c>
      <c r="P68" s="97">
        <f t="shared" si="0"/>
        <v>-2.0533880903490509E-3</v>
      </c>
      <c r="Q68" s="97">
        <f t="shared" si="0"/>
        <v>-5.46875E-2</v>
      </c>
      <c r="R68" s="97">
        <f t="shared" si="0"/>
        <v>8.1154192966634842E-3</v>
      </c>
      <c r="S68" s="97" t="str">
        <f t="shared" si="0"/>
        <v/>
      </c>
      <c r="T68" s="97">
        <f t="shared" si="0"/>
        <v>-0.1313131313131313</v>
      </c>
      <c r="U68" s="97" t="str">
        <f t="shared" si="0"/>
        <v/>
      </c>
      <c r="V68" s="97">
        <f t="shared" si="0"/>
        <v>0</v>
      </c>
      <c r="W68" s="97" t="str">
        <f t="shared" si="0"/>
        <v/>
      </c>
      <c r="X68" s="97">
        <f t="shared" si="0"/>
        <v>6.8849051701740605E-2</v>
      </c>
      <c r="Y68" s="97">
        <f t="shared" si="0"/>
        <v>-4.6979865771812117E-2</v>
      </c>
      <c r="Z68" s="97" t="str">
        <f t="shared" si="0"/>
        <v/>
      </c>
      <c r="AA68" s="97" t="str">
        <f t="shared" si="0"/>
        <v/>
      </c>
      <c r="AB68" s="97">
        <f t="shared" si="0"/>
        <v>-1.540639921406883E-2</v>
      </c>
      <c r="AC68" s="97" t="str">
        <f t="shared" si="0"/>
        <v/>
      </c>
      <c r="AD68" s="97" t="str">
        <f t="shared" si="0"/>
        <v/>
      </c>
      <c r="AE68" s="97">
        <f t="shared" si="0"/>
        <v>7.7504725897920457E-2</v>
      </c>
      <c r="AF68" s="97" t="str">
        <f t="shared" si="0"/>
        <v/>
      </c>
      <c r="AG68" s="97" t="str">
        <f t="shared" si="0"/>
        <v/>
      </c>
      <c r="AH68" s="97">
        <f t="shared" si="0"/>
        <v>1.0752688172042999E-2</v>
      </c>
      <c r="AI68" s="97">
        <f t="shared" si="0"/>
        <v>-0.1954887218045113</v>
      </c>
      <c r="AJ68" s="97" t="str">
        <f t="shared" si="0"/>
        <v/>
      </c>
      <c r="AK68" s="97">
        <f t="shared" si="0"/>
        <v>0.56701030927835028</v>
      </c>
      <c r="AL68" s="97">
        <f t="shared" si="0"/>
        <v>-0.20634920634920639</v>
      </c>
      <c r="AM68" s="97">
        <f t="shared" si="0"/>
        <v>0.1109643328929986</v>
      </c>
      <c r="AN68" s="97">
        <f t="shared" si="0"/>
        <v>0.48888888888888887</v>
      </c>
      <c r="AO68" s="97">
        <f t="shared" si="0"/>
        <v>6.0422960725075034E-3</v>
      </c>
      <c r="AP68" s="97">
        <f t="shared" si="0"/>
        <v>0.42533936651583709</v>
      </c>
      <c r="AQ68" s="97" t="str">
        <f t="shared" si="0"/>
        <v/>
      </c>
      <c r="AR68" s="97">
        <f t="shared" si="0"/>
        <v>0.30184331797235031</v>
      </c>
      <c r="AS68" s="97" t="str">
        <f t="shared" si="0"/>
        <v/>
      </c>
      <c r="AT68" s="97">
        <f t="shared" si="0"/>
        <v>-5.8095238095238089E-2</v>
      </c>
      <c r="AU68" s="97" t="str">
        <f t="shared" si="0"/>
        <v/>
      </c>
      <c r="AV68" s="97">
        <f t="shared" si="0"/>
        <v>-8.5470085470085166E-3</v>
      </c>
      <c r="AW68" s="97">
        <f t="shared" si="0"/>
        <v>1.8682858477345741E-3</v>
      </c>
      <c r="AX68" s="97">
        <f t="shared" si="0"/>
        <v>-0.17497760525530021</v>
      </c>
      <c r="AY68" s="97">
        <f t="shared" si="0"/>
        <v>0.17424242424242431</v>
      </c>
      <c r="AZ68" s="97">
        <f t="shared" si="0"/>
        <v>0.159737417943107</v>
      </c>
      <c r="BA68" s="97">
        <f t="shared" si="0"/>
        <v>0.21099834788765651</v>
      </c>
      <c r="BB68" s="97">
        <f t="shared" si="0"/>
        <v>0.1847826086956523</v>
      </c>
      <c r="BC68" s="97">
        <f t="shared" si="0"/>
        <v>0.4331983805668016</v>
      </c>
      <c r="BD68" s="97" t="str">
        <f t="shared" si="0"/>
        <v/>
      </c>
      <c r="BE68" s="97">
        <f t="shared" si="0"/>
        <v>-1.730103806228378E-2</v>
      </c>
      <c r="BF68" s="97">
        <f t="shared" si="0"/>
        <v>-0.1162790697674418</v>
      </c>
      <c r="BG68" s="97">
        <f t="shared" si="0"/>
        <v>-8.136614766449024E-2</v>
      </c>
      <c r="BH68" s="97" t="str">
        <f t="shared" si="0"/>
        <v/>
      </c>
      <c r="BI68" s="97" t="str">
        <f t="shared" si="0"/>
        <v/>
      </c>
      <c r="BJ68" s="97">
        <f t="shared" si="0"/>
        <v>0.54594594594594592</v>
      </c>
      <c r="BK68" s="97">
        <f t="shared" si="0"/>
        <v>-0.10726643598615911</v>
      </c>
      <c r="BL68" s="97" t="str">
        <f t="shared" si="0"/>
        <v/>
      </c>
      <c r="BM68" s="97">
        <f t="shared" si="0"/>
        <v>-3.6968576709796697E-2</v>
      </c>
      <c r="BN68" s="97" t="str">
        <f t="shared" si="0"/>
        <v/>
      </c>
      <c r="BO68" s="97">
        <f t="shared" si="0"/>
        <v>3.4482758620689717E-2</v>
      </c>
      <c r="BP68" s="97" t="str">
        <f t="shared" si="1"/>
        <v/>
      </c>
      <c r="BQ68" s="97">
        <f t="shared" si="1"/>
        <v>7.158196134573469E-4</v>
      </c>
      <c r="BR68" s="97">
        <f t="shared" si="1"/>
        <v>0.1314741035856575</v>
      </c>
      <c r="BS68" s="97">
        <f t="shared" si="1"/>
        <v>0.22940613026819931</v>
      </c>
      <c r="BT68" s="97">
        <f t="shared" si="1"/>
        <v>-0.71733966745843225</v>
      </c>
      <c r="BU68" s="97" t="str">
        <f t="shared" si="1"/>
        <v/>
      </c>
      <c r="BV68" s="97">
        <f t="shared" si="1"/>
        <v>4.1407867494824826E-3</v>
      </c>
      <c r="BW68" s="97">
        <f t="shared" si="1"/>
        <v>-7.5259805564867555E-2</v>
      </c>
      <c r="BX68" s="97">
        <f t="shared" si="1"/>
        <v>-5.4587913565168011E-2</v>
      </c>
      <c r="BY68" s="97" t="str">
        <f t="shared" si="1"/>
        <v/>
      </c>
      <c r="BZ68" s="97">
        <f t="shared" si="1"/>
        <v>-5.6862745098039243E-2</v>
      </c>
      <c r="CA68" s="97">
        <f t="shared" si="1"/>
        <v>-1.5666666666666721E-2</v>
      </c>
      <c r="CB68" s="97">
        <f t="shared" si="1"/>
        <v>0.10121098749630809</v>
      </c>
      <c r="CC68" s="97">
        <f t="shared" si="1"/>
        <v>7.3422731487247539E-2</v>
      </c>
      <c r="CD68" s="97">
        <f t="shared" si="1"/>
        <v>0.37855579868708977</v>
      </c>
      <c r="CE68" s="97">
        <f t="shared" si="1"/>
        <v>-8.8744588744588793E-2</v>
      </c>
      <c r="CF68" s="97" t="str">
        <f t="shared" si="1"/>
        <v/>
      </c>
      <c r="CG68" s="97" t="str">
        <f t="shared" si="1"/>
        <v/>
      </c>
      <c r="CH68" s="97" t="str">
        <f t="shared" si="1"/>
        <v/>
      </c>
      <c r="CI68" s="97" t="str">
        <f t="shared" si="1"/>
        <v/>
      </c>
      <c r="CJ68" s="97">
        <f t="shared" si="1"/>
        <v>-3.433744601910782E-2</v>
      </c>
      <c r="CK68" s="97">
        <f t="shared" si="1"/>
        <v>0.35294117647058831</v>
      </c>
      <c r="CL68" s="97">
        <f t="shared" si="1"/>
        <v>6.7281105990783407E-2</v>
      </c>
      <c r="CM68" s="97" t="str">
        <f t="shared" si="1"/>
        <v/>
      </c>
      <c r="CN68" s="97">
        <f t="shared" si="1"/>
        <v>-5.1661849710982637E-2</v>
      </c>
      <c r="CO68" s="97">
        <f t="shared" si="1"/>
        <v>0</v>
      </c>
      <c r="CP68" s="97" t="str">
        <f t="shared" si="1"/>
        <v/>
      </c>
      <c r="CQ68" s="97">
        <f t="shared" si="1"/>
        <v>0.18323863636363649</v>
      </c>
      <c r="CR68" s="97" t="str">
        <f t="shared" si="1"/>
        <v/>
      </c>
      <c r="CS68" s="97">
        <f t="shared" si="1"/>
        <v>-1.0752688172042999E-2</v>
      </c>
      <c r="CT68" s="97">
        <f t="shared" si="1"/>
        <v>0.72222222222222232</v>
      </c>
      <c r="CU68" s="97">
        <f t="shared" si="1"/>
        <v>0.1242038216560508</v>
      </c>
      <c r="CV68" s="97">
        <f t="shared" si="1"/>
        <v>7.3585706348406887E-3</v>
      </c>
      <c r="CW68" s="97">
        <f t="shared" si="1"/>
        <v>-0.1099526066350711</v>
      </c>
      <c r="CX68" s="97">
        <f t="shared" si="1"/>
        <v>0.19385665529010221</v>
      </c>
      <c r="CY68" s="97">
        <f t="shared" si="1"/>
        <v>0.125</v>
      </c>
      <c r="CZ68" s="97">
        <f t="shared" si="1"/>
        <v>-0.14375602889095671</v>
      </c>
      <c r="DA68" s="97">
        <f t="shared" si="1"/>
        <v>-0.22161778618732281</v>
      </c>
      <c r="DB68" s="97" t="str">
        <f t="shared" si="1"/>
        <v/>
      </c>
      <c r="DC68" s="97">
        <f t="shared" si="1"/>
        <v>9.1291706055864896E-3</v>
      </c>
      <c r="DD68" s="97">
        <f t="shared" si="1"/>
        <v>-9.4316634415537837E-2</v>
      </c>
      <c r="DE68" s="97" t="str">
        <f t="shared" si="1"/>
        <v/>
      </c>
      <c r="DF68" s="97">
        <f t="shared" si="1"/>
        <v>2.3809523809523721E-2</v>
      </c>
      <c r="DG68" s="97" t="str">
        <f t="shared" si="1"/>
        <v/>
      </c>
      <c r="DH68" s="97" t="str">
        <f t="shared" si="1"/>
        <v/>
      </c>
      <c r="DI68" s="97">
        <f t="shared" si="1"/>
        <v>-7.1769342460070495E-2</v>
      </c>
      <c r="DJ68" s="97">
        <f t="shared" si="1"/>
        <v>1.9924098671726839E-2</v>
      </c>
      <c r="DK68" s="97">
        <f t="shared" si="1"/>
        <v>0.43925233644859812</v>
      </c>
      <c r="DL68" s="97" t="str">
        <f t="shared" si="1"/>
        <v/>
      </c>
      <c r="DM68" s="97">
        <f t="shared" si="1"/>
        <v>-0.11644657863145259</v>
      </c>
      <c r="DN68" s="97">
        <f t="shared" si="1"/>
        <v>-3.9787798408488229E-3</v>
      </c>
      <c r="DO68" s="97" t="str">
        <f t="shared" si="1"/>
        <v/>
      </c>
      <c r="DP68" s="97">
        <f t="shared" si="1"/>
        <v>-1.3361160558999829E-2</v>
      </c>
      <c r="DQ68" s="97">
        <f t="shared" si="1"/>
        <v>4.7120418848167533E-2</v>
      </c>
      <c r="DR68" s="97">
        <f t="shared" si="1"/>
        <v>-0.26597938144329891</v>
      </c>
      <c r="DS68" s="97">
        <f t="shared" si="1"/>
        <v>-1.5339966832504159E-2</v>
      </c>
      <c r="DT68" s="97" t="str">
        <f t="shared" si="1"/>
        <v/>
      </c>
      <c r="DU68" s="97" t="str">
        <f t="shared" si="1"/>
        <v/>
      </c>
      <c r="DV68" s="97" t="str">
        <f t="shared" si="1"/>
        <v/>
      </c>
      <c r="DW68" s="97" t="str">
        <f t="shared" si="1"/>
        <v/>
      </c>
      <c r="DX68" s="97" t="str">
        <f t="shared" si="1"/>
        <v/>
      </c>
      <c r="DY68" s="97">
        <f t="shared" si="1"/>
        <v>-0.1294964028776979</v>
      </c>
      <c r="DZ68" s="97">
        <f t="shared" si="1"/>
        <v>-0.2781725888324873</v>
      </c>
      <c r="EA68" s="97">
        <f t="shared" ref="EA68:EO83" si="4">IF(ISBLANK(EA5),"",EA5-$D5)</f>
        <v>2.3529411764706021E-2</v>
      </c>
      <c r="EB68" s="97">
        <f t="shared" si="4"/>
        <v>0.35714285714285721</v>
      </c>
      <c r="EC68" s="97">
        <f t="shared" si="4"/>
        <v>1.4014598540145979</v>
      </c>
      <c r="ED68" s="97">
        <f t="shared" si="4"/>
        <v>0.10714285714285721</v>
      </c>
      <c r="EE68" s="97">
        <f t="shared" si="4"/>
        <v>0.1061946902654867</v>
      </c>
      <c r="EF68" s="97">
        <f t="shared" si="4"/>
        <v>-0.1045576407506703</v>
      </c>
      <c r="EG68" s="97">
        <f t="shared" si="4"/>
        <v>-4.09407665505227E-2</v>
      </c>
      <c r="EH68" s="97" t="str">
        <f t="shared" si="4"/>
        <v/>
      </c>
      <c r="EI68" s="97" t="str">
        <f t="shared" si="4"/>
        <v/>
      </c>
      <c r="EJ68" s="97" t="str">
        <f t="shared" si="4"/>
        <v/>
      </c>
      <c r="EK68" s="97">
        <f t="shared" si="4"/>
        <v>-0.27615062761506282</v>
      </c>
      <c r="EL68" s="97">
        <f t="shared" si="4"/>
        <v>-0.48249027237354081</v>
      </c>
      <c r="EM68" s="97">
        <f t="shared" si="4"/>
        <v>0.29931972789115641</v>
      </c>
      <c r="EN68" s="97">
        <f t="shared" si="4"/>
        <v>-1.6858777392348308E-2</v>
      </c>
      <c r="EO68" s="97">
        <f t="shared" si="4"/>
        <v>0.52659574468085091</v>
      </c>
    </row>
    <row r="69" spans="1:145" outlineLevel="1" x14ac:dyDescent="0.25">
      <c r="A69">
        <v>2020</v>
      </c>
      <c r="B69">
        <v>7</v>
      </c>
      <c r="C69" s="97">
        <f t="shared" si="3"/>
        <v>5.8782745903759759E-2</v>
      </c>
      <c r="D69" s="97">
        <f t="shared" si="0"/>
        <v>0</v>
      </c>
      <c r="E69" s="97">
        <f t="shared" si="0"/>
        <v>0.32705090991358654</v>
      </c>
      <c r="F69" s="97">
        <f t="shared" si="0"/>
        <v>0.15816379738139005</v>
      </c>
      <c r="G69" s="97" t="str">
        <f t="shared" si="0"/>
        <v/>
      </c>
      <c r="H69" s="97">
        <f t="shared" si="0"/>
        <v>0.23114041608642616</v>
      </c>
      <c r="I69" s="97" t="str">
        <f t="shared" si="0"/>
        <v/>
      </c>
      <c r="J69" s="97">
        <f t="shared" si="0"/>
        <v>-0.10874716182986956</v>
      </c>
      <c r="K69" s="97">
        <f t="shared" si="0"/>
        <v>-9.0445718367355266E-2</v>
      </c>
      <c r="L69" s="97" t="str">
        <f t="shared" si="0"/>
        <v/>
      </c>
      <c r="M69" s="97">
        <f t="shared" si="0"/>
        <v>-8.4525168329158351E-2</v>
      </c>
      <c r="N69" s="97" t="str">
        <f t="shared" si="0"/>
        <v/>
      </c>
      <c r="O69" s="97" t="str">
        <f t="shared" si="0"/>
        <v/>
      </c>
      <c r="P69" s="97">
        <f t="shared" si="0"/>
        <v>8.2194942835397189E-2</v>
      </c>
      <c r="Q69" s="97">
        <f t="shared" si="0"/>
        <v>-4.969636077307793E-2</v>
      </c>
      <c r="R69" s="97">
        <f t="shared" si="0"/>
        <v>-6.0932481945774164E-2</v>
      </c>
      <c r="S69" s="97" t="str">
        <f t="shared" si="0"/>
        <v/>
      </c>
      <c r="T69" s="97">
        <f t="shared" si="0"/>
        <v>4.7099718412007441E-2</v>
      </c>
      <c r="U69" s="97" t="str">
        <f t="shared" si="0"/>
        <v/>
      </c>
      <c r="V69" s="97">
        <f t="shared" si="0"/>
        <v>-3.1050177972979823E-2</v>
      </c>
      <c r="W69" s="97" t="str">
        <f t="shared" si="0"/>
        <v/>
      </c>
      <c r="X69" s="97">
        <f t="shared" si="0"/>
        <v>-0.13319174239680184</v>
      </c>
      <c r="Y69" s="97">
        <f t="shared" si="0"/>
        <v>-2.1236344476954102E-2</v>
      </c>
      <c r="Z69" s="97" t="str">
        <f t="shared" si="0"/>
        <v/>
      </c>
      <c r="AA69" s="97" t="str">
        <f t="shared" si="0"/>
        <v/>
      </c>
      <c r="AB69" s="97">
        <f t="shared" si="0"/>
        <v>5.1015266589211627E-3</v>
      </c>
      <c r="AC69" s="97" t="str">
        <f t="shared" si="0"/>
        <v/>
      </c>
      <c r="AD69" s="97" t="str">
        <f t="shared" si="0"/>
        <v/>
      </c>
      <c r="AE69" s="97">
        <f t="shared" si="0"/>
        <v>-3.8706075141643925E-2</v>
      </c>
      <c r="AF69" s="97" t="str">
        <f t="shared" si="0"/>
        <v/>
      </c>
      <c r="AG69" s="97" t="str">
        <f t="shared" ref="AG69:CR77" si="5">IF(ISBLANK(AG6),"",AG6-$D6)</f>
        <v/>
      </c>
      <c r="AH69" s="97">
        <f t="shared" si="5"/>
        <v>-0.12776915838165895</v>
      </c>
      <c r="AI69" s="97">
        <f t="shared" si="5"/>
        <v>-0.13095070540890094</v>
      </c>
      <c r="AJ69" s="97" t="str">
        <f t="shared" si="5"/>
        <v/>
      </c>
      <c r="AK69" s="97">
        <f t="shared" si="5"/>
        <v>0.11173252134958415</v>
      </c>
      <c r="AL69" s="97">
        <f t="shared" si="5"/>
        <v>-9.8395298199288161E-2</v>
      </c>
      <c r="AM69" s="97">
        <f t="shared" si="5"/>
        <v>-0.11128675394924566</v>
      </c>
      <c r="AN69" s="97">
        <f t="shared" si="5"/>
        <v>-0.28369167346581264</v>
      </c>
      <c r="AO69" s="97">
        <f t="shared" si="5"/>
        <v>-1.095839135738519E-4</v>
      </c>
      <c r="AP69" s="97">
        <f t="shared" si="5"/>
        <v>-0.29376037756436746</v>
      </c>
      <c r="AQ69" s="97" t="str">
        <f t="shared" si="5"/>
        <v/>
      </c>
      <c r="AR69" s="97">
        <f t="shared" si="5"/>
        <v>0.14148333644040845</v>
      </c>
      <c r="AS69" s="97" t="str">
        <f t="shared" si="5"/>
        <v/>
      </c>
      <c r="AT69" s="97">
        <f t="shared" si="5"/>
        <v>0.12223621992869105</v>
      </c>
      <c r="AU69" s="97" t="str">
        <f t="shared" si="5"/>
        <v/>
      </c>
      <c r="AV69" s="97">
        <f t="shared" si="5"/>
        <v>-0.15528199770667714</v>
      </c>
      <c r="AW69" s="97">
        <f t="shared" si="5"/>
        <v>0.10152211771812784</v>
      </c>
      <c r="AX69" s="97">
        <f t="shared" si="5"/>
        <v>-0.26938211377242283</v>
      </c>
      <c r="AY69" s="97">
        <f t="shared" si="5"/>
        <v>0.19343880318320034</v>
      </c>
      <c r="AZ69" s="97">
        <f t="shared" si="5"/>
        <v>-0.38501524429093237</v>
      </c>
      <c r="BA69" s="97">
        <f t="shared" si="5"/>
        <v>-0.26672427890480366</v>
      </c>
      <c r="BB69" s="97">
        <f t="shared" si="5"/>
        <v>0.22557848948092143</v>
      </c>
      <c r="BC69" s="97">
        <f t="shared" si="5"/>
        <v>4.2263297442358461E-2</v>
      </c>
      <c r="BD69" s="97" t="str">
        <f t="shared" si="5"/>
        <v/>
      </c>
      <c r="BE69" s="97">
        <f t="shared" si="5"/>
        <v>0.23932703580473616</v>
      </c>
      <c r="BF69" s="97">
        <f t="shared" si="5"/>
        <v>-6.5899057597784361E-2</v>
      </c>
      <c r="BG69" s="97">
        <f t="shared" si="5"/>
        <v>-0.13242232311532345</v>
      </c>
      <c r="BH69" s="97" t="str">
        <f t="shared" si="5"/>
        <v/>
      </c>
      <c r="BI69" s="97" t="str">
        <f t="shared" si="5"/>
        <v/>
      </c>
      <c r="BJ69" s="97">
        <f t="shared" si="5"/>
        <v>0.41247782867383864</v>
      </c>
      <c r="BK69" s="97">
        <f t="shared" si="5"/>
        <v>5.8029950970147175E-2</v>
      </c>
      <c r="BL69" s="97" t="str">
        <f t="shared" si="5"/>
        <v/>
      </c>
      <c r="BM69" s="97">
        <f t="shared" si="5"/>
        <v>5.1713832593144111E-2</v>
      </c>
      <c r="BN69" s="97" t="str">
        <f t="shared" si="5"/>
        <v/>
      </c>
      <c r="BO69" s="97">
        <f t="shared" si="5"/>
        <v>1.6557082753092759E-2</v>
      </c>
      <c r="BP69" s="97" t="str">
        <f t="shared" si="5"/>
        <v/>
      </c>
      <c r="BQ69" s="97">
        <f t="shared" si="5"/>
        <v>-3.122546374190005E-2</v>
      </c>
      <c r="BR69" s="97">
        <f t="shared" si="5"/>
        <v>-6.3489865603714613E-2</v>
      </c>
      <c r="BS69" s="97">
        <f t="shared" si="5"/>
        <v>-0.22780728551076915</v>
      </c>
      <c r="BT69" s="97">
        <f t="shared" si="5"/>
        <v>-0.12616000408164116</v>
      </c>
      <c r="BU69" s="97" t="str">
        <f t="shared" si="5"/>
        <v/>
      </c>
      <c r="BV69" s="97">
        <f t="shared" si="5"/>
        <v>0.34793165319982827</v>
      </c>
      <c r="BW69" s="97">
        <f t="shared" si="5"/>
        <v>-1.9051037602172752E-2</v>
      </c>
      <c r="BX69" s="97">
        <f t="shared" si="5"/>
        <v>3.6368825613145139E-2</v>
      </c>
      <c r="BY69" s="97" t="str">
        <f t="shared" si="5"/>
        <v/>
      </c>
      <c r="BZ69" s="97">
        <f t="shared" si="5"/>
        <v>-0.15187673568072554</v>
      </c>
      <c r="CA69" s="97">
        <f t="shared" si="5"/>
        <v>0.34039160132178004</v>
      </c>
      <c r="CB69" s="97">
        <f t="shared" si="5"/>
        <v>4.7543522925943549E-2</v>
      </c>
      <c r="CC69" s="97">
        <f t="shared" si="5"/>
        <v>-8.4711719368782634E-2</v>
      </c>
      <c r="CD69" s="97">
        <f t="shared" si="5"/>
        <v>0.22211263830864825</v>
      </c>
      <c r="CE69" s="97">
        <f t="shared" si="5"/>
        <v>-0.34333998771404883</v>
      </c>
      <c r="CF69" s="97">
        <f t="shared" si="5"/>
        <v>0.18154826441094116</v>
      </c>
      <c r="CG69" s="97" t="str">
        <f t="shared" si="5"/>
        <v/>
      </c>
      <c r="CH69" s="97" t="str">
        <f t="shared" si="5"/>
        <v/>
      </c>
      <c r="CI69" s="97" t="str">
        <f t="shared" si="5"/>
        <v/>
      </c>
      <c r="CJ69" s="97">
        <f t="shared" si="5"/>
        <v>3.7520334496176311E-2</v>
      </c>
      <c r="CK69" s="97">
        <f t="shared" si="5"/>
        <v>6.9455633477730538E-2</v>
      </c>
      <c r="CL69" s="97">
        <f t="shared" si="5"/>
        <v>-4.3287476832399419E-2</v>
      </c>
      <c r="CM69" s="97" t="str">
        <f t="shared" si="5"/>
        <v/>
      </c>
      <c r="CN69" s="97">
        <f t="shared" si="5"/>
        <v>2.0842797038807207E-2</v>
      </c>
      <c r="CO69" s="97">
        <f t="shared" si="5"/>
        <v>-0.12205664159953736</v>
      </c>
      <c r="CP69" s="97" t="str">
        <f t="shared" si="5"/>
        <v/>
      </c>
      <c r="CQ69" s="97">
        <f t="shared" si="5"/>
        <v>-5.8933113325338571E-2</v>
      </c>
      <c r="CR69" s="97" t="str">
        <f t="shared" si="5"/>
        <v/>
      </c>
      <c r="CS69" s="97">
        <f t="shared" ref="CS69:EA76" si="6">IF(ISBLANK(CS6),"",CS6-$D6)</f>
        <v>-0.12850632304400866</v>
      </c>
      <c r="CT69" s="97">
        <f t="shared" si="6"/>
        <v>-0.31529775595658466</v>
      </c>
      <c r="CU69" s="97">
        <f t="shared" si="6"/>
        <v>3.9550472743649978E-2</v>
      </c>
      <c r="CV69" s="97">
        <f t="shared" si="6"/>
        <v>-0.11716038323086445</v>
      </c>
      <c r="CW69" s="97">
        <f t="shared" si="6"/>
        <v>-9.9604891318912925E-3</v>
      </c>
      <c r="CX69" s="97">
        <f t="shared" si="6"/>
        <v>2.5586074338628251E-3</v>
      </c>
      <c r="CY69" s="97">
        <f t="shared" si="6"/>
        <v>-5.5665139469129432E-2</v>
      </c>
      <c r="CZ69" s="97">
        <f t="shared" si="6"/>
        <v>0.18819155778799135</v>
      </c>
      <c r="DA69" s="97">
        <f t="shared" si="6"/>
        <v>1.0525481416113319E-2</v>
      </c>
      <c r="DB69" s="97" t="str">
        <f t="shared" si="6"/>
        <v/>
      </c>
      <c r="DC69" s="97">
        <f t="shared" si="6"/>
        <v>-4.0817120159367115E-2</v>
      </c>
      <c r="DD69" s="97">
        <f t="shared" si="6"/>
        <v>0.18735579552774914</v>
      </c>
      <c r="DE69" s="97" t="str">
        <f t="shared" si="6"/>
        <v/>
      </c>
      <c r="DF69" s="97">
        <f t="shared" si="6"/>
        <v>-0.23266772344845754</v>
      </c>
      <c r="DG69" s="97" t="str">
        <f t="shared" si="6"/>
        <v/>
      </c>
      <c r="DH69" s="97" t="str">
        <f t="shared" si="6"/>
        <v/>
      </c>
      <c r="DI69" s="97">
        <f t="shared" si="6"/>
        <v>-0.18737215374597616</v>
      </c>
      <c r="DJ69" s="97">
        <f t="shared" si="6"/>
        <v>-4.7607467042716225E-3</v>
      </c>
      <c r="DK69" s="97">
        <f t="shared" si="6"/>
        <v>2.9111195307205406E-2</v>
      </c>
      <c r="DL69" s="97" t="str">
        <f t="shared" si="6"/>
        <v/>
      </c>
      <c r="DM69" s="97">
        <f t="shared" si="6"/>
        <v>1.891215521686096E-2</v>
      </c>
      <c r="DN69" s="97">
        <f t="shared" si="6"/>
        <v>-0.13726004995884675</v>
      </c>
      <c r="DO69" s="97" t="str">
        <f t="shared" si="6"/>
        <v/>
      </c>
      <c r="DP69" s="97">
        <f t="shared" si="6"/>
        <v>8.6182411109238188E-2</v>
      </c>
      <c r="DQ69" s="97">
        <f t="shared" si="6"/>
        <v>-0.10010958391357383</v>
      </c>
      <c r="DR69" s="97">
        <f t="shared" si="6"/>
        <v>0.28921625878305535</v>
      </c>
      <c r="DS69" s="97">
        <f t="shared" si="6"/>
        <v>-6.2635899703047504E-2</v>
      </c>
      <c r="DT69" s="97" t="str">
        <f t="shared" si="6"/>
        <v/>
      </c>
      <c r="DU69" s="97" t="str">
        <f t="shared" si="6"/>
        <v/>
      </c>
      <c r="DV69" s="97" t="str">
        <f t="shared" si="6"/>
        <v/>
      </c>
      <c r="DW69" s="97" t="str">
        <f t="shared" si="6"/>
        <v/>
      </c>
      <c r="DX69" s="97" t="str">
        <f t="shared" si="6"/>
        <v/>
      </c>
      <c r="DY69" s="97">
        <f t="shared" si="6"/>
        <v>-9.9283137632582008E-2</v>
      </c>
      <c r="DZ69" s="97">
        <f t="shared" si="6"/>
        <v>3.7865099630729926E-2</v>
      </c>
      <c r="EA69" s="97">
        <f t="shared" si="6"/>
        <v>0.49126972643125355</v>
      </c>
      <c r="EB69" s="97">
        <f t="shared" si="4"/>
        <v>1.0174342757355492</v>
      </c>
      <c r="EC69" s="97">
        <f t="shared" si="4"/>
        <v>-0.24479043497740374</v>
      </c>
      <c r="ED69" s="97">
        <f t="shared" si="4"/>
        <v>-6.1399906494219003E-2</v>
      </c>
      <c r="EE69" s="97">
        <f t="shared" si="4"/>
        <v>0.47989041608642613</v>
      </c>
      <c r="EF69" s="97">
        <f t="shared" si="4"/>
        <v>-0.15280419469201686</v>
      </c>
      <c r="EG69" s="97">
        <f t="shared" si="4"/>
        <v>-0.40428760389540858</v>
      </c>
      <c r="EH69" s="97" t="str">
        <f t="shared" si="4"/>
        <v/>
      </c>
      <c r="EI69" s="97" t="str">
        <f t="shared" si="4"/>
        <v/>
      </c>
      <c r="EJ69" s="97" t="str">
        <f t="shared" si="4"/>
        <v/>
      </c>
      <c r="EK69" s="97">
        <f t="shared" si="4"/>
        <v>-6.94737457632848E-2</v>
      </c>
      <c r="EL69" s="97">
        <f t="shared" si="4"/>
        <v>7.5078386011238063E-2</v>
      </c>
      <c r="EM69" s="97">
        <f t="shared" si="4"/>
        <v>0.72763910718590252</v>
      </c>
      <c r="EN69" s="97">
        <f t="shared" si="4"/>
        <v>0.10826937506425005</v>
      </c>
      <c r="EO69" s="97">
        <f t="shared" si="4"/>
        <v>0.44936776800280254</v>
      </c>
    </row>
    <row r="70" spans="1:145" outlineLevel="1" x14ac:dyDescent="0.25">
      <c r="A70">
        <v>2020</v>
      </c>
      <c r="B70">
        <v>8</v>
      </c>
      <c r="C70" s="97">
        <f t="shared" si="3"/>
        <v>6.9796714935401294E-2</v>
      </c>
      <c r="D70" s="97">
        <f t="shared" si="3"/>
        <v>0</v>
      </c>
      <c r="E70" s="97">
        <f t="shared" si="3"/>
        <v>0.144186046511628</v>
      </c>
      <c r="F70" s="97">
        <f t="shared" si="3"/>
        <v>-0.1428571428571429</v>
      </c>
      <c r="G70" s="97" t="str">
        <f t="shared" si="3"/>
        <v/>
      </c>
      <c r="H70" s="97">
        <f t="shared" si="3"/>
        <v>0.7715736040609138</v>
      </c>
      <c r="I70" s="97" t="str">
        <f t="shared" si="3"/>
        <v/>
      </c>
      <c r="J70" s="97">
        <f t="shared" si="3"/>
        <v>1.7982017982018039E-2</v>
      </c>
      <c r="K70" s="97">
        <f t="shared" si="3"/>
        <v>-5.0808314087759758E-2</v>
      </c>
      <c r="L70" s="97" t="str">
        <f t="shared" si="3"/>
        <v/>
      </c>
      <c r="M70" s="97">
        <f t="shared" si="3"/>
        <v>5.9101654846335672E-2</v>
      </c>
      <c r="N70" s="97" t="str">
        <f t="shared" si="3"/>
        <v/>
      </c>
      <c r="O70" s="97" t="str">
        <f t="shared" si="3"/>
        <v/>
      </c>
      <c r="P70" s="97">
        <f t="shared" si="3"/>
        <v>0.49429657794676829</v>
      </c>
      <c r="Q70" s="97">
        <f t="shared" si="3"/>
        <v>-0.16521739130434779</v>
      </c>
      <c r="R70" s="97">
        <f t="shared" si="3"/>
        <v>-0.1761904761904762</v>
      </c>
      <c r="S70" s="97" t="str">
        <f t="shared" ref="S70:BZ74" si="7">IF(ISBLANK(S7),"",S7-$D7)</f>
        <v/>
      </c>
      <c r="T70" s="97">
        <f t="shared" si="7"/>
        <v>-0.10059960026648899</v>
      </c>
      <c r="U70" s="97" t="str">
        <f t="shared" si="7"/>
        <v/>
      </c>
      <c r="V70" s="97">
        <f t="shared" si="7"/>
        <v>-6.6411238825031971E-2</v>
      </c>
      <c r="W70" s="97" t="str">
        <f t="shared" si="7"/>
        <v/>
      </c>
      <c r="X70" s="97">
        <f t="shared" si="7"/>
        <v>2.7758306462918991E-2</v>
      </c>
      <c r="Y70" s="97">
        <f t="shared" si="7"/>
        <v>-0.23741007194244601</v>
      </c>
      <c r="Z70" s="97" t="str">
        <f t="shared" si="7"/>
        <v/>
      </c>
      <c r="AA70" s="97" t="str">
        <f t="shared" si="7"/>
        <v/>
      </c>
      <c r="AB70" s="97">
        <f t="shared" si="7"/>
        <v>6.0346490487787063E-2</v>
      </c>
      <c r="AC70" s="97" t="str">
        <f t="shared" si="7"/>
        <v/>
      </c>
      <c r="AD70" s="97" t="str">
        <f t="shared" si="7"/>
        <v/>
      </c>
      <c r="AE70" s="97">
        <f t="shared" si="7"/>
        <v>-5.7177615571776141E-2</v>
      </c>
      <c r="AF70" s="97" t="str">
        <f t="shared" si="7"/>
        <v/>
      </c>
      <c r="AG70" s="97" t="str">
        <f t="shared" si="7"/>
        <v/>
      </c>
      <c r="AH70" s="97">
        <f t="shared" si="7"/>
        <v>4.8780487804878092E-2</v>
      </c>
      <c r="AI70" s="97">
        <f t="shared" si="7"/>
        <v>0.15591397849462371</v>
      </c>
      <c r="AJ70" s="97" t="str">
        <f t="shared" si="7"/>
        <v/>
      </c>
      <c r="AK70" s="97">
        <f t="shared" si="7"/>
        <v>-0.37278106508875741</v>
      </c>
      <c r="AL70" s="97">
        <f t="shared" si="7"/>
        <v>0.20785804816223069</v>
      </c>
      <c r="AM70" s="97">
        <f t="shared" si="7"/>
        <v>-0.15050167224080269</v>
      </c>
      <c r="AN70" s="97">
        <f t="shared" si="7"/>
        <v>-0.1870833333333333</v>
      </c>
      <c r="AO70" s="97">
        <f t="shared" si="7"/>
        <v>-3.3033033033032948E-2</v>
      </c>
      <c r="AP70" s="97">
        <f t="shared" si="7"/>
        <v>4.9438202247190872E-2</v>
      </c>
      <c r="AQ70" s="97" t="str">
        <f t="shared" si="7"/>
        <v/>
      </c>
      <c r="AR70" s="97">
        <f t="shared" si="7"/>
        <v>-0.27906976744186052</v>
      </c>
      <c r="AS70" s="97" t="str">
        <f t="shared" si="7"/>
        <v/>
      </c>
      <c r="AT70" s="97">
        <f t="shared" si="7"/>
        <v>-2.702702702702697E-2</v>
      </c>
      <c r="AU70" s="97" t="str">
        <f t="shared" si="7"/>
        <v/>
      </c>
      <c r="AV70" s="97">
        <f t="shared" si="7"/>
        <v>-0.1147959183673469</v>
      </c>
      <c r="AW70" s="97">
        <f t="shared" si="7"/>
        <v>0.2297926364790521</v>
      </c>
      <c r="AX70" s="97">
        <f t="shared" si="7"/>
        <v>0.1510648836057453</v>
      </c>
      <c r="AY70" s="97">
        <f t="shared" si="7"/>
        <v>-0.31345945945945941</v>
      </c>
      <c r="AZ70" s="97">
        <f t="shared" si="7"/>
        <v>0.1840490797546013</v>
      </c>
      <c r="BA70" s="97">
        <f t="shared" si="7"/>
        <v>-4.0659048631411121E-2</v>
      </c>
      <c r="BB70" s="97">
        <f t="shared" si="7"/>
        <v>0.1736526946107784</v>
      </c>
      <c r="BC70" s="97">
        <f t="shared" si="7"/>
        <v>0.211382113821138</v>
      </c>
      <c r="BD70" s="97" t="str">
        <f t="shared" si="7"/>
        <v/>
      </c>
      <c r="BE70" s="97">
        <f t="shared" si="7"/>
        <v>-2.8409090909091721E-3</v>
      </c>
      <c r="BF70" s="97">
        <f t="shared" si="7"/>
        <v>-0.24633802816901409</v>
      </c>
      <c r="BG70" s="97">
        <f t="shared" si="7"/>
        <v>-0.54190296156269691</v>
      </c>
      <c r="BH70" s="97" t="str">
        <f t="shared" si="7"/>
        <v/>
      </c>
      <c r="BI70" s="97" t="str">
        <f t="shared" si="7"/>
        <v/>
      </c>
      <c r="BJ70" s="97">
        <f t="shared" si="7"/>
        <v>-0.18069306930693069</v>
      </c>
      <c r="BK70" s="97">
        <f t="shared" si="7"/>
        <v>-2.9304029304029311E-2</v>
      </c>
      <c r="BL70" s="97" t="str">
        <f t="shared" si="7"/>
        <v/>
      </c>
      <c r="BM70" s="97">
        <f t="shared" si="7"/>
        <v>0.25729927007299258</v>
      </c>
      <c r="BN70" s="97" t="str">
        <f t="shared" si="7"/>
        <v/>
      </c>
      <c r="BO70" s="97">
        <f t="shared" si="5"/>
        <v>0.96721311475409832</v>
      </c>
      <c r="BP70" s="97" t="str">
        <f t="shared" si="5"/>
        <v/>
      </c>
      <c r="BQ70" s="97">
        <f t="shared" si="5"/>
        <v>-0.13547434477667031</v>
      </c>
      <c r="BR70" s="97">
        <f t="shared" si="5"/>
        <v>-0.14285714285714299</v>
      </c>
      <c r="BS70" s="97">
        <f t="shared" si="5"/>
        <v>-8.0958385876418681E-2</v>
      </c>
      <c r="BT70" s="97">
        <f t="shared" si="5"/>
        <v>-0.25</v>
      </c>
      <c r="BU70" s="97" t="str">
        <f t="shared" si="5"/>
        <v/>
      </c>
      <c r="BV70" s="97">
        <f t="shared" si="5"/>
        <v>-0.38819210767818901</v>
      </c>
      <c r="BW70" s="97">
        <f t="shared" si="5"/>
        <v>0.24147806004618921</v>
      </c>
      <c r="BX70" s="97">
        <f t="shared" si="5"/>
        <v>5.9470548900419702E-2</v>
      </c>
      <c r="BY70" s="97" t="str">
        <f t="shared" si="5"/>
        <v/>
      </c>
      <c r="BZ70" s="97">
        <f t="shared" si="5"/>
        <v>-4.9019607843137081E-3</v>
      </c>
      <c r="CA70" s="97">
        <f t="shared" si="5"/>
        <v>-0.12625152625152619</v>
      </c>
      <c r="CB70" s="97">
        <f t="shared" si="5"/>
        <v>-0.1295442908346135</v>
      </c>
      <c r="CC70" s="97">
        <f t="shared" si="5"/>
        <v>-7.7861481628578311E-3</v>
      </c>
      <c r="CD70" s="97">
        <f t="shared" si="5"/>
        <v>-3.8961038961038967E-2</v>
      </c>
      <c r="CE70" s="97">
        <f t="shared" si="5"/>
        <v>-7.4141048824593159E-2</v>
      </c>
      <c r="CF70" s="97">
        <f t="shared" si="5"/>
        <v>-2.4626865671641851E-2</v>
      </c>
      <c r="CG70" s="97" t="str">
        <f t="shared" si="5"/>
        <v/>
      </c>
      <c r="CH70" s="97" t="str">
        <f t="shared" si="5"/>
        <v/>
      </c>
      <c r="CI70" s="97" t="str">
        <f t="shared" si="5"/>
        <v/>
      </c>
      <c r="CJ70" s="97">
        <f t="shared" si="5"/>
        <v>6.2687631001926869E-2</v>
      </c>
      <c r="CK70" s="97">
        <f t="shared" si="5"/>
        <v>-0.26317073170731708</v>
      </c>
      <c r="CL70" s="97">
        <f t="shared" si="5"/>
        <v>-0.12725631768953069</v>
      </c>
      <c r="CM70" s="97" t="str">
        <f t="shared" si="5"/>
        <v/>
      </c>
      <c r="CN70" s="97">
        <f t="shared" si="5"/>
        <v>-1.8656716417910779E-3</v>
      </c>
      <c r="CO70" s="97">
        <f t="shared" si="5"/>
        <v>0.1111067925946079</v>
      </c>
      <c r="CP70" s="97" t="str">
        <f t="shared" si="5"/>
        <v/>
      </c>
      <c r="CQ70" s="97">
        <f t="shared" si="5"/>
        <v>0.10969387755102029</v>
      </c>
      <c r="CR70" s="97" t="str">
        <f t="shared" si="5"/>
        <v/>
      </c>
      <c r="CS70" s="97">
        <f t="shared" si="6"/>
        <v>-6.8589243959470081E-2</v>
      </c>
      <c r="CT70" s="97">
        <f t="shared" si="6"/>
        <v>-0.1069676153091266</v>
      </c>
      <c r="CU70" s="97">
        <f t="shared" si="6"/>
        <v>-4.9046321525885513E-2</v>
      </c>
      <c r="CV70" s="97">
        <f t="shared" si="6"/>
        <v>-7.4803130241457572E-2</v>
      </c>
      <c r="CW70" s="97">
        <f t="shared" si="6"/>
        <v>-2.0435600968002121E-2</v>
      </c>
      <c r="CX70" s="97">
        <f t="shared" si="6"/>
        <v>0.18836723056453161</v>
      </c>
      <c r="CY70" s="97">
        <f t="shared" si="6"/>
        <v>-7.6470588235294068E-2</v>
      </c>
      <c r="CZ70" s="97">
        <f t="shared" si="6"/>
        <v>-1.7932637869925491E-2</v>
      </c>
      <c r="DA70" s="97">
        <f t="shared" si="6"/>
        <v>0.10523150932050521</v>
      </c>
      <c r="DB70" s="97">
        <f t="shared" si="6"/>
        <v>7.9862601975096537E-2</v>
      </c>
      <c r="DC70" s="97">
        <f t="shared" si="6"/>
        <v>-9.3434771828633245E-3</v>
      </c>
      <c r="DD70" s="97">
        <f t="shared" si="6"/>
        <v>0.60822337731574039</v>
      </c>
      <c r="DE70" s="97" t="str">
        <f t="shared" si="6"/>
        <v/>
      </c>
      <c r="DF70" s="97">
        <f t="shared" si="6"/>
        <v>-0.18939393939393939</v>
      </c>
      <c r="DG70" s="97" t="str">
        <f t="shared" si="6"/>
        <v/>
      </c>
      <c r="DH70" s="97" t="str">
        <f t="shared" si="6"/>
        <v/>
      </c>
      <c r="DI70" s="97">
        <f t="shared" si="6"/>
        <v>-1.8971679956007681E-2</v>
      </c>
      <c r="DJ70" s="97">
        <f t="shared" si="6"/>
        <v>-4.6728971962616273E-3</v>
      </c>
      <c r="DK70" s="97">
        <f t="shared" si="6"/>
        <v>-9.4637223974762819E-3</v>
      </c>
      <c r="DL70" s="97" t="str">
        <f t="shared" si="6"/>
        <v/>
      </c>
      <c r="DM70" s="97">
        <f t="shared" si="6"/>
        <v>0.14133333333333331</v>
      </c>
      <c r="DN70" s="97">
        <f t="shared" si="6"/>
        <v>-0.12808641975308641</v>
      </c>
      <c r="DO70" s="97" t="str">
        <f t="shared" si="6"/>
        <v/>
      </c>
      <c r="DP70" s="97">
        <f t="shared" si="6"/>
        <v>8.2549015864531006E-2</v>
      </c>
      <c r="DQ70" s="97">
        <f t="shared" si="6"/>
        <v>-0.2055555555555556</v>
      </c>
      <c r="DR70" s="97">
        <f t="shared" si="6"/>
        <v>-0.1971677559912853</v>
      </c>
      <c r="DS70" s="97">
        <f t="shared" si="6"/>
        <v>-1.235122389400412E-2</v>
      </c>
      <c r="DT70" s="97" t="str">
        <f t="shared" si="6"/>
        <v/>
      </c>
      <c r="DU70" s="97" t="str">
        <f t="shared" si="6"/>
        <v/>
      </c>
      <c r="DV70" s="97" t="str">
        <f t="shared" si="6"/>
        <v/>
      </c>
      <c r="DW70" s="97" t="str">
        <f t="shared" si="6"/>
        <v/>
      </c>
      <c r="DX70" s="97" t="str">
        <f t="shared" si="6"/>
        <v/>
      </c>
      <c r="DY70" s="97">
        <f t="shared" si="6"/>
        <v>0.14678899082568811</v>
      </c>
      <c r="DZ70" s="97">
        <f t="shared" si="6"/>
        <v>-9.0785907859078585E-2</v>
      </c>
      <c r="EA70" s="97">
        <f t="shared" si="6"/>
        <v>-0.51445086705202314</v>
      </c>
      <c r="EB70" s="97">
        <f t="shared" si="4"/>
        <v>-0.79069565217391302</v>
      </c>
      <c r="EC70" s="97">
        <f t="shared" si="4"/>
        <v>-0.18913480885311859</v>
      </c>
      <c r="ED70" s="97">
        <f t="shared" si="4"/>
        <v>-0.20687285223367699</v>
      </c>
      <c r="EE70" s="97">
        <f t="shared" si="4"/>
        <v>-0.21081081081081079</v>
      </c>
      <c r="EF70" s="97">
        <f t="shared" si="4"/>
        <v>-2.1201413427561881E-2</v>
      </c>
      <c r="EG70" s="97">
        <f t="shared" si="4"/>
        <v>0.40091463414634138</v>
      </c>
      <c r="EH70" s="97" t="str">
        <f t="shared" si="4"/>
        <v/>
      </c>
      <c r="EI70" s="97" t="str">
        <f t="shared" si="4"/>
        <v/>
      </c>
      <c r="EJ70" s="97" t="str">
        <f t="shared" si="4"/>
        <v/>
      </c>
      <c r="EK70" s="97">
        <f t="shared" si="4"/>
        <v>-4.9689440993788907E-2</v>
      </c>
      <c r="EL70" s="97">
        <f t="shared" si="4"/>
        <v>0.64510489510489522</v>
      </c>
      <c r="EM70" s="97">
        <f t="shared" si="4"/>
        <v>-0.25151515151515152</v>
      </c>
      <c r="EN70" s="97">
        <f t="shared" si="4"/>
        <v>5.5510981778817303E-2</v>
      </c>
      <c r="EO70" s="97">
        <f t="shared" si="4"/>
        <v>0.75456730769230784</v>
      </c>
    </row>
    <row r="71" spans="1:145" outlineLevel="1" x14ac:dyDescent="0.25">
      <c r="A71">
        <v>2020</v>
      </c>
      <c r="B71">
        <v>9</v>
      </c>
      <c r="C71" s="97">
        <f t="shared" si="3"/>
        <v>-3.7179343357689909E-2</v>
      </c>
      <c r="D71" s="97">
        <f t="shared" si="3"/>
        <v>0</v>
      </c>
      <c r="E71" s="97">
        <f t="shared" si="3"/>
        <v>4.4934590966982824E-2</v>
      </c>
      <c r="F71" s="97">
        <f t="shared" si="3"/>
        <v>0.61616117279801863</v>
      </c>
      <c r="G71" s="97" t="str">
        <f t="shared" si="3"/>
        <v/>
      </c>
      <c r="H71" s="97">
        <f t="shared" si="3"/>
        <v>-0.32069776163161479</v>
      </c>
      <c r="I71" s="97" t="str">
        <f t="shared" si="3"/>
        <v/>
      </c>
      <c r="J71" s="97">
        <f t="shared" si="3"/>
        <v>-7.9761229102110809E-2</v>
      </c>
      <c r="K71" s="97">
        <f t="shared" si="3"/>
        <v>-5.5741926747099546E-2</v>
      </c>
      <c r="L71" s="97" t="str">
        <f t="shared" si="3"/>
        <v/>
      </c>
      <c r="M71" s="97">
        <f t="shared" si="3"/>
        <v>-0.10022728475891719</v>
      </c>
      <c r="N71" s="97" t="str">
        <f t="shared" si="3"/>
        <v/>
      </c>
      <c r="O71" s="97" t="str">
        <f t="shared" si="3"/>
        <v/>
      </c>
      <c r="P71" s="97">
        <f t="shared" si="3"/>
        <v>-0.38209637781598738</v>
      </c>
      <c r="Q71" s="97">
        <f t="shared" si="3"/>
        <v>3.4177477145844626E-2</v>
      </c>
      <c r="R71" s="97">
        <f t="shared" si="3"/>
        <v>-8.9954266592112919E-2</v>
      </c>
      <c r="S71" s="97" t="str">
        <f t="shared" si="7"/>
        <v/>
      </c>
      <c r="T71" s="97">
        <f t="shared" si="7"/>
        <v>-0.17792900433563699</v>
      </c>
      <c r="U71" s="97" t="str">
        <f t="shared" si="7"/>
        <v/>
      </c>
      <c r="V71" s="97">
        <f t="shared" si="7"/>
        <v>-0.3103143719193629</v>
      </c>
      <c r="W71" s="97" t="str">
        <f t="shared" si="7"/>
        <v/>
      </c>
      <c r="X71" s="97">
        <f t="shared" si="7"/>
        <v>-2.7880706139746247E-2</v>
      </c>
      <c r="Y71" s="97">
        <f t="shared" si="7"/>
        <v>0.12286065324647362</v>
      </c>
      <c r="Z71" s="97" t="str">
        <f t="shared" si="7"/>
        <v/>
      </c>
      <c r="AA71" s="97" t="str">
        <f t="shared" si="7"/>
        <v/>
      </c>
      <c r="AB71" s="97">
        <f t="shared" si="7"/>
        <v>-3.0487173494944005E-2</v>
      </c>
      <c r="AC71" s="97" t="str">
        <f t="shared" si="7"/>
        <v/>
      </c>
      <c r="AD71" s="97" t="str">
        <f t="shared" si="7"/>
        <v/>
      </c>
      <c r="AE71" s="97">
        <f t="shared" si="7"/>
        <v>-0.17881311425200488</v>
      </c>
      <c r="AF71" s="97" t="str">
        <f t="shared" si="7"/>
        <v/>
      </c>
      <c r="AG71" s="97" t="str">
        <f t="shared" si="7"/>
        <v/>
      </c>
      <c r="AH71" s="97">
        <f t="shared" si="7"/>
        <v>-0.10443201897818628</v>
      </c>
      <c r="AI71" s="97">
        <f t="shared" si="7"/>
        <v>-0.181176205024698</v>
      </c>
      <c r="AJ71" s="97" t="str">
        <f t="shared" si="7"/>
        <v/>
      </c>
      <c r="AK71" s="97">
        <f t="shared" si="7"/>
        <v>-0.12279972411201699</v>
      </c>
      <c r="AL71" s="97">
        <f t="shared" si="7"/>
        <v>9.2559122826152529E-2</v>
      </c>
      <c r="AM71" s="97">
        <f t="shared" si="7"/>
        <v>0.37069158475739339</v>
      </c>
      <c r="AN71" s="97">
        <f t="shared" si="7"/>
        <v>-6.4875679355095195E-2</v>
      </c>
      <c r="AO71" s="97">
        <f t="shared" si="7"/>
        <v>-2.8864462496005498E-3</v>
      </c>
      <c r="AP71" s="97">
        <f t="shared" si="7"/>
        <v>0.2914397005576933</v>
      </c>
      <c r="AQ71" s="97" t="str">
        <f t="shared" si="7"/>
        <v/>
      </c>
      <c r="AR71" s="97">
        <f t="shared" si="7"/>
        <v>0.11849871370498431</v>
      </c>
      <c r="AS71" s="97" t="str">
        <f t="shared" si="7"/>
        <v/>
      </c>
      <c r="AT71" s="97">
        <f t="shared" si="7"/>
        <v>-7.5058633965266464E-2</v>
      </c>
      <c r="AU71" s="97" t="str">
        <f t="shared" si="7"/>
        <v/>
      </c>
      <c r="AV71" s="97">
        <f t="shared" si="7"/>
        <v>-1.4190078089506007E-2</v>
      </c>
      <c r="AW71" s="97">
        <f t="shared" si="7"/>
        <v>-3.8665921569457029E-2</v>
      </c>
      <c r="AX71" s="97">
        <f t="shared" si="7"/>
        <v>-0.12456570988800499</v>
      </c>
      <c r="AY71" s="97">
        <f t="shared" si="7"/>
        <v>8.6747763606228268E-2</v>
      </c>
      <c r="AZ71" s="97">
        <f t="shared" si="7"/>
        <v>1.3172511688159022E-2</v>
      </c>
      <c r="BA71" s="97">
        <f t="shared" si="7"/>
        <v>2.9859033009187134E-2</v>
      </c>
      <c r="BB71" s="97">
        <f t="shared" si="7"/>
        <v>7.8722050370011454E-3</v>
      </c>
      <c r="BC71" s="97">
        <f t="shared" si="7"/>
        <v>4.9436146049647856E-2</v>
      </c>
      <c r="BD71" s="97" t="str">
        <f t="shared" si="7"/>
        <v/>
      </c>
      <c r="BE71" s="97">
        <f t="shared" si="7"/>
        <v>-0.11089196729859989</v>
      </c>
      <c r="BF71" s="97">
        <f t="shared" si="7"/>
        <v>-3.1550618848673495E-2</v>
      </c>
      <c r="BG71" s="97">
        <f t="shared" si="7"/>
        <v>9.1003187829017507E-2</v>
      </c>
      <c r="BH71" s="97" t="str">
        <f t="shared" si="7"/>
        <v/>
      </c>
      <c r="BI71" s="97" t="str">
        <f t="shared" si="7"/>
        <v/>
      </c>
      <c r="BJ71" s="97">
        <f t="shared" si="7"/>
        <v>-6.0203816912564267E-2</v>
      </c>
      <c r="BK71" s="97">
        <f t="shared" si="7"/>
        <v>-0.2563846297723944</v>
      </c>
      <c r="BL71" s="97" t="str">
        <f t="shared" si="7"/>
        <v/>
      </c>
      <c r="BM71" s="97">
        <f t="shared" si="7"/>
        <v>-0.18846010147050749</v>
      </c>
      <c r="BN71" s="97" t="str">
        <f t="shared" si="7"/>
        <v/>
      </c>
      <c r="BO71" s="97">
        <f t="shared" si="7"/>
        <v>-0.13311418952082199</v>
      </c>
      <c r="BP71" s="97" t="str">
        <f t="shared" si="5"/>
        <v/>
      </c>
      <c r="BQ71" s="97">
        <f t="shared" si="5"/>
        <v>-0.10738119777587489</v>
      </c>
      <c r="BR71" s="97">
        <f t="shared" si="5"/>
        <v>-8.7500154433102661E-2</v>
      </c>
      <c r="BS71" s="97">
        <f t="shared" si="5"/>
        <v>0.40856162460285173</v>
      </c>
      <c r="BT71" s="97">
        <f t="shared" si="5"/>
        <v>0.34637298996635763</v>
      </c>
      <c r="BU71" s="97" t="str">
        <f t="shared" si="5"/>
        <v/>
      </c>
      <c r="BV71" s="97">
        <f t="shared" si="5"/>
        <v>-0.27603085618748868</v>
      </c>
      <c r="BW71" s="97">
        <f t="shared" si="5"/>
        <v>6.1235588488454673E-2</v>
      </c>
      <c r="BX71" s="97">
        <f t="shared" si="5"/>
        <v>-2.9309855769430126E-2</v>
      </c>
      <c r="BY71" s="97" t="str">
        <f t="shared" si="5"/>
        <v/>
      </c>
      <c r="BZ71" s="97">
        <f t="shared" si="5"/>
        <v>-3.42636148081783E-2</v>
      </c>
      <c r="CA71" s="97">
        <f t="shared" si="5"/>
        <v>-0.2263763343008636</v>
      </c>
      <c r="CB71" s="97">
        <f t="shared" si="5"/>
        <v>-6.5271052265920115E-2</v>
      </c>
      <c r="CC71" s="97">
        <f t="shared" si="5"/>
        <v>-2.2740625019078697E-3</v>
      </c>
      <c r="CD71" s="97">
        <f t="shared" si="5"/>
        <v>-4.7078153484786056E-2</v>
      </c>
      <c r="CE71" s="97">
        <f t="shared" si="5"/>
        <v>-3.8843356187488687E-2</v>
      </c>
      <c r="CF71" s="97">
        <f t="shared" si="5"/>
        <v>-0.14438682405282918</v>
      </c>
      <c r="CG71" s="97" t="str">
        <f t="shared" si="5"/>
        <v/>
      </c>
      <c r="CH71" s="97" t="str">
        <f t="shared" si="5"/>
        <v/>
      </c>
      <c r="CI71" s="97" t="str">
        <f t="shared" si="5"/>
        <v/>
      </c>
      <c r="CJ71" s="97">
        <f t="shared" si="5"/>
        <v>-1.9938135544501967E-2</v>
      </c>
      <c r="CK71" s="97">
        <f t="shared" si="5"/>
        <v>-0.19430805468688189</v>
      </c>
      <c r="CL71" s="97">
        <f t="shared" si="5"/>
        <v>-0.14197320365387958</v>
      </c>
      <c r="CM71" s="97" t="str">
        <f t="shared" si="5"/>
        <v/>
      </c>
      <c r="CN71" s="97">
        <f t="shared" si="5"/>
        <v>3.0228821302683562E-3</v>
      </c>
      <c r="CO71" s="97">
        <f t="shared" si="5"/>
        <v>-0.39477636707213587</v>
      </c>
      <c r="CP71" s="97" t="str">
        <f t="shared" si="5"/>
        <v/>
      </c>
      <c r="CQ71" s="97">
        <f t="shared" si="5"/>
        <v>-0.12506821250932768</v>
      </c>
      <c r="CR71" s="97" t="str">
        <f t="shared" si="5"/>
        <v/>
      </c>
      <c r="CS71" s="97">
        <f t="shared" si="6"/>
        <v>-0.15417416162681918</v>
      </c>
      <c r="CT71" s="97">
        <f t="shared" si="6"/>
        <v>-0.14263799904463159</v>
      </c>
      <c r="CU71" s="97">
        <f t="shared" si="6"/>
        <v>-0.25192985332215917</v>
      </c>
      <c r="CV71" s="97">
        <f t="shared" si="6"/>
        <v>-0.1842475466005159</v>
      </c>
      <c r="CW71" s="97">
        <f t="shared" si="6"/>
        <v>-5.5355226742048681E-5</v>
      </c>
      <c r="CX71" s="97">
        <f t="shared" si="6"/>
        <v>-3.8168572118390864E-2</v>
      </c>
      <c r="CY71" s="97">
        <f t="shared" si="6"/>
        <v>0.26136564062779793</v>
      </c>
      <c r="CZ71" s="97">
        <f t="shared" si="6"/>
        <v>-2.8622450849661748E-2</v>
      </c>
      <c r="DA71" s="97">
        <f t="shared" si="6"/>
        <v>-2.2291695716017967E-3</v>
      </c>
      <c r="DB71" s="97">
        <f t="shared" si="6"/>
        <v>-9.9184434716315772E-2</v>
      </c>
      <c r="DC71" s="97">
        <f t="shared" si="6"/>
        <v>-0.12196136508998918</v>
      </c>
      <c r="DD71" s="97">
        <f t="shared" si="6"/>
        <v>0.25837188072876699</v>
      </c>
      <c r="DE71" s="97" t="str">
        <f t="shared" si="6"/>
        <v/>
      </c>
      <c r="DF71" s="97">
        <f t="shared" si="6"/>
        <v>0.11236867652279171</v>
      </c>
      <c r="DG71" s="97" t="str">
        <f t="shared" si="6"/>
        <v/>
      </c>
      <c r="DH71" s="97" t="str">
        <f t="shared" si="6"/>
        <v/>
      </c>
      <c r="DI71" s="97">
        <f t="shared" si="6"/>
        <v>5.4591341121928205E-2</v>
      </c>
      <c r="DJ71" s="97">
        <f t="shared" si="6"/>
        <v>9.6088151740135741E-3</v>
      </c>
      <c r="DK71" s="97">
        <f t="shared" si="6"/>
        <v>2.665824239353912</v>
      </c>
      <c r="DL71" s="97" t="str">
        <f t="shared" si="6"/>
        <v/>
      </c>
      <c r="DM71" s="97">
        <f t="shared" si="6"/>
        <v>-0.1294537533837504</v>
      </c>
      <c r="DN71" s="97">
        <f t="shared" si="6"/>
        <v>-0.21924988273616128</v>
      </c>
      <c r="DO71" s="97" t="str">
        <f t="shared" si="6"/>
        <v/>
      </c>
      <c r="DP71" s="97">
        <f t="shared" si="6"/>
        <v>-1.1296595540279397E-2</v>
      </c>
      <c r="DQ71" s="97">
        <f t="shared" si="6"/>
        <v>0.31490445849782589</v>
      </c>
      <c r="DR71" s="97">
        <f t="shared" si="6"/>
        <v>0.13590435412458732</v>
      </c>
      <c r="DS71" s="97">
        <f t="shared" si="6"/>
        <v>-5.2077354595856044E-2</v>
      </c>
      <c r="DT71" s="97" t="str">
        <f t="shared" si="6"/>
        <v/>
      </c>
      <c r="DU71" s="97" t="str">
        <f t="shared" si="6"/>
        <v/>
      </c>
      <c r="DV71" s="97" t="str">
        <f t="shared" si="6"/>
        <v/>
      </c>
      <c r="DW71" s="97" t="str">
        <f t="shared" si="6"/>
        <v/>
      </c>
      <c r="DX71" s="97" t="str">
        <f t="shared" si="6"/>
        <v/>
      </c>
      <c r="DY71" s="97">
        <f t="shared" si="6"/>
        <v>0.13621914381251121</v>
      </c>
      <c r="DZ71" s="97">
        <f t="shared" si="6"/>
        <v>-0.27697906781192977</v>
      </c>
      <c r="EA71" s="97">
        <f t="shared" si="6"/>
        <v>-0.10692371333034578</v>
      </c>
      <c r="EB71" s="97">
        <f t="shared" si="4"/>
        <v>0.16349292860686102</v>
      </c>
      <c r="EC71" s="97">
        <f t="shared" si="4"/>
        <v>2.1914381251131321E-4</v>
      </c>
      <c r="ED71" s="97">
        <f t="shared" si="4"/>
        <v>-0.28314307455837251</v>
      </c>
      <c r="EE71" s="97">
        <f t="shared" si="4"/>
        <v>8.2410924634429228E-2</v>
      </c>
      <c r="EF71" s="97">
        <f t="shared" si="4"/>
        <v>-5.3932480736225134E-2</v>
      </c>
      <c r="EG71" s="97">
        <f t="shared" si="4"/>
        <v>-0.1575610520525593</v>
      </c>
      <c r="EH71" s="97" t="str">
        <f t="shared" si="4"/>
        <v/>
      </c>
      <c r="EI71" s="97" t="str">
        <f t="shared" si="4"/>
        <v/>
      </c>
      <c r="EJ71" s="97" t="str">
        <f t="shared" si="4"/>
        <v/>
      </c>
      <c r="EK71" s="97">
        <f t="shared" si="4"/>
        <v>8.5186464073949142E-2</v>
      </c>
      <c r="EL71" s="97">
        <f t="shared" si="4"/>
        <v>0.26058046155958892</v>
      </c>
      <c r="EM71" s="97">
        <f t="shared" si="4"/>
        <v>-0.19006425699720528</v>
      </c>
      <c r="EN71" s="97">
        <f t="shared" si="4"/>
        <v>3.3136627373193783E-2</v>
      </c>
      <c r="EO71" s="97">
        <f t="shared" si="4"/>
        <v>-0.22638724062371288</v>
      </c>
    </row>
    <row r="72" spans="1:145" outlineLevel="1" x14ac:dyDescent="0.25">
      <c r="A72">
        <v>2020</v>
      </c>
      <c r="B72">
        <v>10</v>
      </c>
      <c r="C72" s="97">
        <f t="shared" si="3"/>
        <v>-2.5042992077751399E-2</v>
      </c>
      <c r="D72" s="97">
        <f t="shared" si="3"/>
        <v>0</v>
      </c>
      <c r="E72" s="97">
        <f t="shared" si="3"/>
        <v>0.49405382820098936</v>
      </c>
      <c r="F72" s="97">
        <f t="shared" si="3"/>
        <v>-0.21984053762756001</v>
      </c>
      <c r="G72" s="97" t="str">
        <f t="shared" si="3"/>
        <v/>
      </c>
      <c r="H72" s="97">
        <f t="shared" si="3"/>
        <v>-0.22795769718934702</v>
      </c>
      <c r="I72" s="97" t="str">
        <f t="shared" si="3"/>
        <v/>
      </c>
      <c r="J72" s="97">
        <f t="shared" si="3"/>
        <v>4.4690404076475732E-2</v>
      </c>
      <c r="K72" s="97">
        <f t="shared" si="3"/>
        <v>7.2055352530083994E-2</v>
      </c>
      <c r="L72" s="97" t="str">
        <f t="shared" si="3"/>
        <v/>
      </c>
      <c r="M72" s="97">
        <f t="shared" si="3"/>
        <v>-9.6529305246459418E-2</v>
      </c>
      <c r="N72" s="97" t="str">
        <f t="shared" si="3"/>
        <v/>
      </c>
      <c r="O72" s="97" t="str">
        <f t="shared" si="3"/>
        <v/>
      </c>
      <c r="P72" s="97">
        <f t="shared" si="3"/>
        <v>-3.1991942757385594E-3</v>
      </c>
      <c r="Q72" s="97">
        <f t="shared" si="3"/>
        <v>-0.53889661990095727</v>
      </c>
      <c r="R72" s="97">
        <f t="shared" si="3"/>
        <v>-0.11446791866812392</v>
      </c>
      <c r="S72" s="97" t="str">
        <f t="shared" si="7"/>
        <v/>
      </c>
      <c r="T72" s="97">
        <f t="shared" si="7"/>
        <v>-6.8759137759185851E-2</v>
      </c>
      <c r="U72" s="97" t="str">
        <f t="shared" si="7"/>
        <v/>
      </c>
      <c r="V72" s="97">
        <f t="shared" si="7"/>
        <v>-1.095959235242194E-4</v>
      </c>
      <c r="W72" s="97" t="str">
        <f t="shared" si="7"/>
        <v/>
      </c>
      <c r="X72" s="97">
        <f t="shared" si="7"/>
        <v>-6.9442929256857466E-2</v>
      </c>
      <c r="Y72" s="97">
        <f t="shared" si="7"/>
        <v>-0.20153816735209562</v>
      </c>
      <c r="Z72" s="97" t="str">
        <f t="shared" si="7"/>
        <v/>
      </c>
      <c r="AA72" s="97" t="str">
        <f t="shared" si="7"/>
        <v/>
      </c>
      <c r="AB72" s="97">
        <f t="shared" si="7"/>
        <v>-2.3337130356227639E-2</v>
      </c>
      <c r="AC72" s="97" t="str">
        <f t="shared" si="7"/>
        <v/>
      </c>
      <c r="AD72" s="97" t="str">
        <f t="shared" si="7"/>
        <v/>
      </c>
      <c r="AE72" s="97">
        <f t="shared" si="7"/>
        <v>4.1933626080405073E-2</v>
      </c>
      <c r="AF72" s="97" t="str">
        <f t="shared" si="7"/>
        <v/>
      </c>
      <c r="AG72" s="97" t="str">
        <f t="shared" si="7"/>
        <v/>
      </c>
      <c r="AH72" s="97">
        <f t="shared" si="7"/>
        <v>-0.12348621930014762</v>
      </c>
      <c r="AI72" s="97">
        <f t="shared" si="7"/>
        <v>-4.4655050468978767E-2</v>
      </c>
      <c r="AJ72" s="97" t="str">
        <f t="shared" si="7"/>
        <v/>
      </c>
      <c r="AK72" s="97">
        <f t="shared" si="7"/>
        <v>-0.10262680762748302</v>
      </c>
      <c r="AL72" s="97">
        <f t="shared" si="7"/>
        <v>-0.14372150754696331</v>
      </c>
      <c r="AM72" s="97">
        <f t="shared" si="7"/>
        <v>-3.60188174116024E-2</v>
      </c>
      <c r="AN72" s="97">
        <f t="shared" si="7"/>
        <v>6.4309263725598642E-2</v>
      </c>
      <c r="AO72" s="97">
        <f t="shared" si="7"/>
        <v>-8.110648065872661E-2</v>
      </c>
      <c r="AP72" s="97">
        <f t="shared" si="7"/>
        <v>-0.16263032560843302</v>
      </c>
      <c r="AQ72" s="97" t="str">
        <f t="shared" si="7"/>
        <v/>
      </c>
      <c r="AR72" s="97">
        <f t="shared" si="7"/>
        <v>-5.73211343850627E-2</v>
      </c>
      <c r="AS72" s="97" t="str">
        <f t="shared" si="7"/>
        <v/>
      </c>
      <c r="AT72" s="97">
        <f t="shared" si="7"/>
        <v>-3.6757237858039186E-2</v>
      </c>
      <c r="AU72" s="97" t="str">
        <f t="shared" si="7"/>
        <v/>
      </c>
      <c r="AV72" s="97">
        <f t="shared" si="7"/>
        <v>5.5445959632031361E-2</v>
      </c>
      <c r="AW72" s="97">
        <f t="shared" si="7"/>
        <v>0.11016609329953338</v>
      </c>
      <c r="AX72" s="97">
        <f t="shared" si="7"/>
        <v>-0.22282346023030883</v>
      </c>
      <c r="AY72" s="97">
        <f t="shared" si="7"/>
        <v>-0.15228350896700252</v>
      </c>
      <c r="AZ72" s="97">
        <f t="shared" si="7"/>
        <v>-0.22517353454245012</v>
      </c>
      <c r="BA72" s="97">
        <f t="shared" si="7"/>
        <v>-0.19381419640778572</v>
      </c>
      <c r="BB72" s="97">
        <f t="shared" si="7"/>
        <v>-7.7324785796942019E-2</v>
      </c>
      <c r="BC72" s="97">
        <f t="shared" si="7"/>
        <v>-0.18561066202160512</v>
      </c>
      <c r="BD72" s="97" t="str">
        <f t="shared" si="7"/>
        <v/>
      </c>
      <c r="BE72" s="97">
        <f t="shared" si="7"/>
        <v>5.758271176878349E-2</v>
      </c>
      <c r="BF72" s="97">
        <f t="shared" si="7"/>
        <v>-0.27804821781119071</v>
      </c>
      <c r="BG72" s="97">
        <f t="shared" si="7"/>
        <v>0.24326997532489947</v>
      </c>
      <c r="BH72" s="97" t="str">
        <f t="shared" si="7"/>
        <v/>
      </c>
      <c r="BI72" s="97" t="str">
        <f t="shared" si="7"/>
        <v/>
      </c>
      <c r="BJ72" s="97">
        <f t="shared" si="7"/>
        <v>-0.13515782743477822</v>
      </c>
      <c r="BK72" s="97">
        <f t="shared" si="7"/>
        <v>-0.15239385988291512</v>
      </c>
      <c r="BL72" s="97">
        <f t="shared" si="7"/>
        <v>0.14738302944520737</v>
      </c>
      <c r="BM72" s="97">
        <f t="shared" si="7"/>
        <v>-0.14858902347271921</v>
      </c>
      <c r="BN72" s="97" t="str">
        <f t="shared" si="7"/>
        <v/>
      </c>
      <c r="BO72" s="97">
        <f t="shared" si="7"/>
        <v>5.758271176878349E-2</v>
      </c>
      <c r="BP72" s="97" t="str">
        <f t="shared" si="5"/>
        <v/>
      </c>
      <c r="BQ72" s="97">
        <f t="shared" si="5"/>
        <v>3.4340164842026073E-2</v>
      </c>
      <c r="BR72" s="97">
        <f t="shared" si="5"/>
        <v>3.3544250230321808E-2</v>
      </c>
      <c r="BS72" s="97">
        <f t="shared" si="5"/>
        <v>-3.8691045650726008E-2</v>
      </c>
      <c r="BT72" s="97">
        <f t="shared" si="5"/>
        <v>-0.54868102449495271</v>
      </c>
      <c r="BU72" s="97" t="str">
        <f t="shared" si="5"/>
        <v/>
      </c>
      <c r="BV72" s="97">
        <f t="shared" si="5"/>
        <v>-0.31306296379917181</v>
      </c>
      <c r="BW72" s="97">
        <f t="shared" si="5"/>
        <v>1.0480207007957491E-2</v>
      </c>
      <c r="BX72" s="97">
        <f t="shared" si="5"/>
        <v>-7.9166334490913037E-2</v>
      </c>
      <c r="BY72" s="97" t="str">
        <f t="shared" si="5"/>
        <v/>
      </c>
      <c r="BZ72" s="97">
        <f t="shared" si="5"/>
        <v>-0.10215041225005482</v>
      </c>
      <c r="CA72" s="97">
        <f t="shared" si="5"/>
        <v>-0.33001613797959894</v>
      </c>
      <c r="CB72" s="97">
        <f t="shared" si="5"/>
        <v>-0.13512847968349051</v>
      </c>
      <c r="CC72" s="97">
        <f t="shared" si="5"/>
        <v>-0.11874218352836122</v>
      </c>
      <c r="CD72" s="97">
        <f t="shared" si="5"/>
        <v>-0.14904576613629023</v>
      </c>
      <c r="CE72" s="97">
        <f t="shared" si="5"/>
        <v>-6.1085205679621717E-2</v>
      </c>
      <c r="CF72" s="97">
        <f t="shared" si="5"/>
        <v>-4.3043406299195119E-2</v>
      </c>
      <c r="CG72" s="97" t="str">
        <f t="shared" si="5"/>
        <v/>
      </c>
      <c r="CH72" s="97" t="str">
        <f t="shared" si="5"/>
        <v/>
      </c>
      <c r="CI72" s="97" t="str">
        <f t="shared" si="5"/>
        <v/>
      </c>
      <c r="CJ72" s="97">
        <f t="shared" si="5"/>
        <v>-9.3419396353091599E-2</v>
      </c>
      <c r="CK72" s="97">
        <f t="shared" si="5"/>
        <v>-0.16778082880023662</v>
      </c>
      <c r="CL72" s="97">
        <f t="shared" si="5"/>
        <v>-4.5317552523885918E-2</v>
      </c>
      <c r="CM72" s="97" t="str">
        <f t="shared" si="5"/>
        <v/>
      </c>
      <c r="CN72" s="97">
        <f t="shared" si="5"/>
        <v>4.8950639087219638E-3</v>
      </c>
      <c r="CO72" s="97">
        <f t="shared" si="5"/>
        <v>1.2312778421630868</v>
      </c>
      <c r="CP72" s="97">
        <f t="shared" si="5"/>
        <v>-9.9055836323595714E-2</v>
      </c>
      <c r="CQ72" s="97">
        <f t="shared" si="5"/>
        <v>0.24824782851800009</v>
      </c>
      <c r="CR72" s="97" t="str">
        <f t="shared" si="5"/>
        <v/>
      </c>
      <c r="CS72" s="97">
        <f t="shared" si="6"/>
        <v>3.3540359418888777E-3</v>
      </c>
      <c r="CT72" s="97">
        <f t="shared" si="6"/>
        <v>-0.17959677541070371</v>
      </c>
      <c r="CU72" s="97">
        <f t="shared" si="6"/>
        <v>-3.0760936919692838E-2</v>
      </c>
      <c r="CV72" s="97">
        <f t="shared" si="6"/>
        <v>-5.5285246668956067E-2</v>
      </c>
      <c r="CW72" s="97">
        <f t="shared" si="6"/>
        <v>-9.3190320799965698E-2</v>
      </c>
      <c r="CX72" s="97">
        <f t="shared" si="6"/>
        <v>-0.13018278288293872</v>
      </c>
      <c r="CY72" s="97">
        <f t="shared" si="6"/>
        <v>-0.58495808077200906</v>
      </c>
      <c r="CZ72" s="97">
        <f t="shared" si="6"/>
        <v>-3.3351838580655602E-2</v>
      </c>
      <c r="DA72" s="97">
        <f t="shared" si="6"/>
        <v>7.3247371624880486E-2</v>
      </c>
      <c r="DB72" s="97">
        <f t="shared" si="6"/>
        <v>-4.5584209610058379E-2</v>
      </c>
      <c r="DC72" s="97">
        <f t="shared" si="6"/>
        <v>-4.454509229955661E-2</v>
      </c>
      <c r="DD72" s="97">
        <f t="shared" si="6"/>
        <v>1.0923713842167777</v>
      </c>
      <c r="DE72" s="97" t="str">
        <f t="shared" si="6"/>
        <v/>
      </c>
      <c r="DF72" s="97">
        <f t="shared" si="6"/>
        <v>-5.8933125335289049E-2</v>
      </c>
      <c r="DG72" s="97" t="str">
        <f t="shared" si="6"/>
        <v/>
      </c>
      <c r="DH72" s="97" t="str">
        <f t="shared" si="6"/>
        <v/>
      </c>
      <c r="DI72" s="97">
        <f t="shared" si="6"/>
        <v>-0.17794053691235992</v>
      </c>
      <c r="DJ72" s="97">
        <f t="shared" si="6"/>
        <v>9.1927296578711015E-3</v>
      </c>
      <c r="DK72" s="97">
        <f t="shared" si="6"/>
        <v>-0.28681680704428875</v>
      </c>
      <c r="DL72" s="97" t="str">
        <f t="shared" si="6"/>
        <v/>
      </c>
      <c r="DM72" s="97">
        <f t="shared" si="6"/>
        <v>0.15693738394224749</v>
      </c>
      <c r="DN72" s="97">
        <f t="shared" si="6"/>
        <v>-9.1798907081047654E-3</v>
      </c>
      <c r="DO72" s="97" t="str">
        <f t="shared" si="6"/>
        <v/>
      </c>
      <c r="DP72" s="97">
        <f t="shared" si="6"/>
        <v>-6.9973293918243473E-2</v>
      </c>
      <c r="DQ72" s="97">
        <f t="shared" si="6"/>
        <v>-0.25010959592352422</v>
      </c>
      <c r="DR72" s="97">
        <f t="shared" si="6"/>
        <v>-0.11480493642531642</v>
      </c>
      <c r="DS72" s="97">
        <f t="shared" si="6"/>
        <v>-0.11911151530932072</v>
      </c>
      <c r="DT72" s="97" t="str">
        <f t="shared" si="6"/>
        <v/>
      </c>
      <c r="DU72" s="97" t="str">
        <f t="shared" si="6"/>
        <v/>
      </c>
      <c r="DV72" s="97" t="str">
        <f t="shared" si="6"/>
        <v/>
      </c>
      <c r="DW72" s="97" t="str">
        <f t="shared" si="6"/>
        <v/>
      </c>
      <c r="DX72" s="97" t="str">
        <f t="shared" si="6"/>
        <v/>
      </c>
      <c r="DY72" s="97">
        <f t="shared" si="6"/>
        <v>0.20411575618915198</v>
      </c>
      <c r="DZ72" s="97">
        <f t="shared" si="6"/>
        <v>0.17720999170534177</v>
      </c>
      <c r="EA72" s="97">
        <f t="shared" si="6"/>
        <v>-0.17788737370130203</v>
      </c>
      <c r="EB72" s="97">
        <f t="shared" si="4"/>
        <v>-7.1538167352095616E-2</v>
      </c>
      <c r="EC72" s="97">
        <f t="shared" si="4"/>
        <v>-0.20110215175478971</v>
      </c>
      <c r="ED72" s="97">
        <f t="shared" si="4"/>
        <v>-0.15186292119559183</v>
      </c>
      <c r="EE72" s="97">
        <f t="shared" si="4"/>
        <v>-0.22795769718934702</v>
      </c>
      <c r="EF72" s="97">
        <f t="shared" si="4"/>
        <v>-3.8277534854821986E-2</v>
      </c>
      <c r="EG72" s="97">
        <f t="shared" si="4"/>
        <v>-4.2745254838252866E-2</v>
      </c>
      <c r="EH72" s="97" t="str">
        <f t="shared" si="4"/>
        <v/>
      </c>
      <c r="EI72" s="97" t="str">
        <f t="shared" si="4"/>
        <v/>
      </c>
      <c r="EJ72" s="97" t="str">
        <f t="shared" si="4"/>
        <v/>
      </c>
      <c r="EK72" s="97">
        <f t="shared" si="4"/>
        <v>-3.6254174236777133E-2</v>
      </c>
      <c r="EL72" s="97">
        <f t="shared" si="4"/>
        <v>-0.20247047282065733</v>
      </c>
      <c r="EM72" s="97">
        <f t="shared" si="4"/>
        <v>2.4890404076475692E-2</v>
      </c>
      <c r="EN72" s="97">
        <f t="shared" si="4"/>
        <v>-4.0150139818496237E-2</v>
      </c>
      <c r="EO72" s="97">
        <f t="shared" si="4"/>
        <v>9.6335395946334224E-3</v>
      </c>
    </row>
    <row r="73" spans="1:145" outlineLevel="1" x14ac:dyDescent="0.25">
      <c r="A73">
        <v>2020</v>
      </c>
      <c r="B73">
        <v>11</v>
      </c>
      <c r="C73" s="97">
        <f t="shared" si="3"/>
        <v>0.10888649463833196</v>
      </c>
      <c r="D73" s="97">
        <f t="shared" si="3"/>
        <v>0</v>
      </c>
      <c r="E73" s="97">
        <f t="shared" si="3"/>
        <v>-0.13009874941975944</v>
      </c>
      <c r="F73" s="97">
        <f t="shared" si="3"/>
        <v>0.33919004368368888</v>
      </c>
      <c r="G73" s="97" t="str">
        <f t="shared" si="3"/>
        <v/>
      </c>
      <c r="H73" s="97">
        <f t="shared" si="3"/>
        <v>0.16677625058024045</v>
      </c>
      <c r="I73" s="97" t="str">
        <f t="shared" si="3"/>
        <v/>
      </c>
      <c r="J73" s="97">
        <f t="shared" si="3"/>
        <v>-9.3305423743393789E-2</v>
      </c>
      <c r="K73" s="97">
        <f t="shared" si="3"/>
        <v>-5.0371185317195304E-2</v>
      </c>
      <c r="L73" s="97" t="str">
        <f t="shared" si="3"/>
        <v/>
      </c>
      <c r="M73" s="97">
        <f t="shared" si="3"/>
        <v>0.15978004291710465</v>
      </c>
      <c r="N73" s="97" t="str">
        <f t="shared" si="3"/>
        <v/>
      </c>
      <c r="O73" s="97" t="str">
        <f t="shared" si="3"/>
        <v/>
      </c>
      <c r="P73" s="97">
        <f t="shared" si="3"/>
        <v>0.45878726986398705</v>
      </c>
      <c r="Q73" s="97">
        <f t="shared" si="3"/>
        <v>0.34196192117875518</v>
      </c>
      <c r="R73" s="97">
        <f t="shared" si="3"/>
        <v>0.15745056908813146</v>
      </c>
      <c r="S73" s="97" t="str">
        <f t="shared" si="7"/>
        <v/>
      </c>
      <c r="T73" s="97">
        <f t="shared" si="7"/>
        <v>-0.32247106124771646</v>
      </c>
      <c r="U73" s="97">
        <f t="shared" si="7"/>
        <v>0.37884712544181315</v>
      </c>
      <c r="V73" s="97">
        <f t="shared" si="7"/>
        <v>0.42471275851674839</v>
      </c>
      <c r="W73" s="97" t="str">
        <f t="shared" si="7"/>
        <v/>
      </c>
      <c r="X73" s="97">
        <f t="shared" si="7"/>
        <v>9.3308196490862305E-2</v>
      </c>
      <c r="Y73" s="97">
        <f t="shared" si="7"/>
        <v>-6.9868317801673907E-2</v>
      </c>
      <c r="Z73" s="97" t="str">
        <f t="shared" si="7"/>
        <v/>
      </c>
      <c r="AA73" s="97" t="str">
        <f t="shared" si="7"/>
        <v/>
      </c>
      <c r="AB73" s="97">
        <f t="shared" si="7"/>
        <v>6.768840318566649E-2</v>
      </c>
      <c r="AC73" s="97" t="str">
        <f t="shared" si="7"/>
        <v/>
      </c>
      <c r="AD73" s="97">
        <f t="shared" si="7"/>
        <v>0.96743481187709957</v>
      </c>
      <c r="AE73" s="97">
        <f t="shared" si="7"/>
        <v>0.10644442554253307</v>
      </c>
      <c r="AF73" s="97" t="str">
        <f t="shared" si="7"/>
        <v/>
      </c>
      <c r="AG73" s="97" t="str">
        <f t="shared" si="7"/>
        <v/>
      </c>
      <c r="AH73" s="97">
        <f t="shared" si="7"/>
        <v>0.48899847280246267</v>
      </c>
      <c r="AI73" s="97">
        <f t="shared" si="7"/>
        <v>0.33217428419901635</v>
      </c>
      <c r="AJ73" s="97" t="str">
        <f t="shared" si="7"/>
        <v/>
      </c>
      <c r="AK73" s="97">
        <f t="shared" si="7"/>
        <v>1.5891063476676202</v>
      </c>
      <c r="AL73" s="97">
        <f t="shared" si="7"/>
        <v>3.7125848635951926E-2</v>
      </c>
      <c r="AM73" s="97">
        <f t="shared" si="7"/>
        <v>0.34933485208997428</v>
      </c>
      <c r="AN73" s="97">
        <f t="shared" si="7"/>
        <v>0.11908975388524547</v>
      </c>
      <c r="AO73" s="97">
        <f t="shared" si="7"/>
        <v>3.4994144220484857E-3</v>
      </c>
      <c r="AP73" s="97">
        <f t="shared" si="7"/>
        <v>0.78228780173535617</v>
      </c>
      <c r="AQ73" s="97" t="str">
        <f t="shared" si="7"/>
        <v/>
      </c>
      <c r="AR73" s="97">
        <f t="shared" si="7"/>
        <v>5.0594030624435793E-2</v>
      </c>
      <c r="AS73" s="97" t="str">
        <f t="shared" si="7"/>
        <v/>
      </c>
      <c r="AT73" s="97">
        <f t="shared" si="7"/>
        <v>0.53841121576057549</v>
      </c>
      <c r="AU73" s="97" t="str">
        <f t="shared" si="7"/>
        <v/>
      </c>
      <c r="AV73" s="97">
        <f t="shared" si="7"/>
        <v>2.5040331836011624E-2</v>
      </c>
      <c r="AW73" s="97">
        <f t="shared" si="7"/>
        <v>-1.3434434145116808E-2</v>
      </c>
      <c r="AX73" s="97">
        <f t="shared" si="7"/>
        <v>0.61364532078896927</v>
      </c>
      <c r="AY73" s="97">
        <f t="shared" si="7"/>
        <v>0.35908394288793294</v>
      </c>
      <c r="AZ73" s="97">
        <f t="shared" si="7"/>
        <v>0.23113268622380517</v>
      </c>
      <c r="BA73" s="97">
        <f t="shared" si="7"/>
        <v>-5.494547114148108E-2</v>
      </c>
      <c r="BB73" s="97">
        <f t="shared" si="7"/>
        <v>8.9272821224959498E-2</v>
      </c>
      <c r="BC73" s="97">
        <f t="shared" si="7"/>
        <v>-0.18313648938485555</v>
      </c>
      <c r="BD73" s="97" t="str">
        <f t="shared" si="7"/>
        <v/>
      </c>
      <c r="BE73" s="97">
        <f t="shared" si="7"/>
        <v>6.3745947549937676E-2</v>
      </c>
      <c r="BF73" s="97">
        <f t="shared" si="7"/>
        <v>0.45693930858612147</v>
      </c>
      <c r="BG73" s="97">
        <f t="shared" si="7"/>
        <v>0.15933879283852337</v>
      </c>
      <c r="BH73" s="97" t="str">
        <f t="shared" si="7"/>
        <v/>
      </c>
      <c r="BI73" s="97" t="str">
        <f t="shared" si="7"/>
        <v/>
      </c>
      <c r="BJ73" s="97">
        <f t="shared" si="7"/>
        <v>-0.37907257222025503</v>
      </c>
      <c r="BK73" s="97">
        <f t="shared" si="7"/>
        <v>3.0049703674052904E-2</v>
      </c>
      <c r="BL73" s="97">
        <f t="shared" si="7"/>
        <v>0.11193477671563057</v>
      </c>
      <c r="BM73" s="97">
        <f t="shared" si="7"/>
        <v>0.20809277719088506</v>
      </c>
      <c r="BN73" s="97" t="str">
        <f t="shared" si="7"/>
        <v/>
      </c>
      <c r="BO73" s="97">
        <f t="shared" si="7"/>
        <v>1.0819277657317561</v>
      </c>
      <c r="BP73" s="97" t="str">
        <f t="shared" si="5"/>
        <v/>
      </c>
      <c r="BQ73" s="97">
        <f t="shared" si="5"/>
        <v>-3.273037908365084E-2</v>
      </c>
      <c r="BR73" s="97">
        <f t="shared" si="5"/>
        <v>-0.28361134631898416</v>
      </c>
      <c r="BS73" s="97">
        <f t="shared" si="5"/>
        <v>-4.1641530800653914E-2</v>
      </c>
      <c r="BT73" s="97">
        <f t="shared" si="5"/>
        <v>0.54399144045365821</v>
      </c>
      <c r="BU73" s="97" t="str">
        <f t="shared" si="5"/>
        <v/>
      </c>
      <c r="BV73" s="97">
        <f t="shared" si="5"/>
        <v>0.75928504897139193</v>
      </c>
      <c r="BW73" s="97">
        <f t="shared" si="5"/>
        <v>-2.3415745718625817E-2</v>
      </c>
      <c r="BX73" s="97">
        <f t="shared" si="5"/>
        <v>6.2727972373431196E-2</v>
      </c>
      <c r="BY73" s="97" t="str">
        <f t="shared" si="5"/>
        <v/>
      </c>
      <c r="BZ73" s="97">
        <f t="shared" si="5"/>
        <v>-5.9549506995517087E-2</v>
      </c>
      <c r="CA73" s="97">
        <f t="shared" si="5"/>
        <v>0.16328950023156535</v>
      </c>
      <c r="CB73" s="97">
        <f t="shared" si="5"/>
        <v>2.3396424422973513E-2</v>
      </c>
      <c r="CC73" s="97">
        <f t="shared" si="5"/>
        <v>0.12240126537979557</v>
      </c>
      <c r="CD73" s="97">
        <f t="shared" si="5"/>
        <v>0.33344291724690744</v>
      </c>
      <c r="CE73" s="97">
        <f t="shared" si="5"/>
        <v>-0.39599431219032216</v>
      </c>
      <c r="CF73" s="97">
        <f t="shared" si="5"/>
        <v>0.16085724746497596</v>
      </c>
      <c r="CG73" s="97" t="str">
        <f t="shared" si="5"/>
        <v/>
      </c>
      <c r="CH73" s="97" t="str">
        <f t="shared" si="5"/>
        <v/>
      </c>
      <c r="CI73" s="97" t="str">
        <f t="shared" si="5"/>
        <v/>
      </c>
      <c r="CJ73" s="97">
        <f t="shared" si="5"/>
        <v>6.8984535728299545E-2</v>
      </c>
      <c r="CK73" s="97">
        <f t="shared" si="5"/>
        <v>2.0517747178880111E-2</v>
      </c>
      <c r="CL73" s="97">
        <f t="shared" si="5"/>
        <v>3.4831806135796284E-2</v>
      </c>
      <c r="CM73" s="97" t="str">
        <f t="shared" si="5"/>
        <v/>
      </c>
      <c r="CN73" s="97">
        <f t="shared" si="5"/>
        <v>8.112402983095568E-3</v>
      </c>
      <c r="CO73" s="97">
        <f t="shared" si="5"/>
        <v>-0.20655823436246673</v>
      </c>
      <c r="CP73" s="97">
        <f t="shared" si="5"/>
        <v>-4.8458174739385287E-3</v>
      </c>
      <c r="CQ73" s="97">
        <f t="shared" si="5"/>
        <v>0.84221484707146865</v>
      </c>
      <c r="CR73" s="97" t="str">
        <f t="shared" si="5"/>
        <v/>
      </c>
      <c r="CS73" s="97">
        <f t="shared" si="6"/>
        <v>0.14310761152698617</v>
      </c>
      <c r="CT73" s="97">
        <f t="shared" si="6"/>
        <v>0.26573458391357396</v>
      </c>
      <c r="CU73" s="97">
        <f t="shared" si="6"/>
        <v>0.68390405031673607</v>
      </c>
      <c r="CV73" s="97">
        <f t="shared" si="6"/>
        <v>0.15617739268566128</v>
      </c>
      <c r="CW73" s="97">
        <f t="shared" si="6"/>
        <v>7.7009371985024111E-2</v>
      </c>
      <c r="CX73" s="97">
        <f t="shared" si="6"/>
        <v>0.15861818812007505</v>
      </c>
      <c r="CY73" s="97">
        <f t="shared" si="6"/>
        <v>0.54512174936369562</v>
      </c>
      <c r="CZ73" s="97">
        <f t="shared" si="6"/>
        <v>0.15006198804969087</v>
      </c>
      <c r="DA73" s="97">
        <f t="shared" si="6"/>
        <v>8.8016087978614599E-2</v>
      </c>
      <c r="DB73" s="97">
        <f t="shared" si="6"/>
        <v>0.27300505107361095</v>
      </c>
      <c r="DC73" s="97">
        <f t="shared" si="6"/>
        <v>0.10442789124388686</v>
      </c>
      <c r="DD73" s="97">
        <f t="shared" si="6"/>
        <v>0.44763374420570118</v>
      </c>
      <c r="DE73" s="97" t="str">
        <f t="shared" si="6"/>
        <v/>
      </c>
      <c r="DF73" s="97">
        <f t="shared" si="6"/>
        <v>0.23225244105643117</v>
      </c>
      <c r="DG73" s="97" t="str">
        <f t="shared" si="6"/>
        <v/>
      </c>
      <c r="DH73" s="97" t="str">
        <f t="shared" si="6"/>
        <v/>
      </c>
      <c r="DI73" s="97">
        <f t="shared" si="6"/>
        <v>0.14980243874706897</v>
      </c>
      <c r="DJ73" s="97">
        <f t="shared" si="6"/>
        <v>1.0247832761500432E-2</v>
      </c>
      <c r="DK73" s="97">
        <f t="shared" si="6"/>
        <v>-5.957372911931292E-2</v>
      </c>
      <c r="DL73" s="97" t="str">
        <f t="shared" si="6"/>
        <v/>
      </c>
      <c r="DM73" s="97">
        <f t="shared" si="6"/>
        <v>6.9715152359049681E-2</v>
      </c>
      <c r="DN73" s="97">
        <f t="shared" si="6"/>
        <v>0.52184871434835667</v>
      </c>
      <c r="DO73" s="97" t="str">
        <f t="shared" si="6"/>
        <v/>
      </c>
      <c r="DP73" s="97">
        <f t="shared" si="6"/>
        <v>8.461932766069713E-2</v>
      </c>
      <c r="DQ73" s="97">
        <f t="shared" si="6"/>
        <v>0.14195355554477967</v>
      </c>
      <c r="DR73" s="97">
        <f t="shared" si="6"/>
        <v>-9.0308769662674204E-2</v>
      </c>
      <c r="DS73" s="97">
        <f t="shared" si="6"/>
        <v>0.16024030286782245</v>
      </c>
      <c r="DT73" s="97" t="str">
        <f t="shared" si="6"/>
        <v/>
      </c>
      <c r="DU73" s="97" t="str">
        <f t="shared" si="6"/>
        <v/>
      </c>
      <c r="DV73" s="97" t="str">
        <f t="shared" si="6"/>
        <v/>
      </c>
      <c r="DW73" s="97" t="str">
        <f t="shared" si="6"/>
        <v/>
      </c>
      <c r="DX73" s="97" t="str">
        <f t="shared" si="6"/>
        <v/>
      </c>
      <c r="DY73" s="97">
        <f t="shared" si="6"/>
        <v>-0.12269743363028573</v>
      </c>
      <c r="DZ73" s="97">
        <f t="shared" si="6"/>
        <v>0.58329697445648099</v>
      </c>
      <c r="EA73" s="97">
        <f t="shared" si="6"/>
        <v>0.10281228661627677</v>
      </c>
      <c r="EB73" s="97">
        <f t="shared" si="4"/>
        <v>0.11549419929818937</v>
      </c>
      <c r="EC73" s="97">
        <f t="shared" si="4"/>
        <v>-5.268544714232682E-2</v>
      </c>
      <c r="ED73" s="97">
        <f t="shared" si="4"/>
        <v>0.21179882126211277</v>
      </c>
      <c r="EE73" s="97">
        <f t="shared" si="4"/>
        <v>9.847023965127899E-2</v>
      </c>
      <c r="EF73" s="97">
        <f t="shared" si="4"/>
        <v>0.20645879026278027</v>
      </c>
      <c r="EG73" s="97">
        <f t="shared" si="4"/>
        <v>0.23492739767875617</v>
      </c>
      <c r="EH73" s="97" t="str">
        <f t="shared" si="4"/>
        <v/>
      </c>
      <c r="EI73" s="97" t="str">
        <f t="shared" si="4"/>
        <v/>
      </c>
      <c r="EJ73" s="97" t="str">
        <f t="shared" si="4"/>
        <v/>
      </c>
      <c r="EK73" s="97">
        <f t="shared" si="4"/>
        <v>6.2609583913573963E-2</v>
      </c>
      <c r="EL73" s="97">
        <f t="shared" si="4"/>
        <v>-7.8114517566341468E-2</v>
      </c>
      <c r="EM73" s="97">
        <f t="shared" si="4"/>
        <v>0.46840226684040315</v>
      </c>
      <c r="EN73" s="97">
        <f t="shared" si="4"/>
        <v>1.1651729788902164E-2</v>
      </c>
      <c r="EO73" s="97">
        <f t="shared" si="4"/>
        <v>0.77203940847497765</v>
      </c>
    </row>
    <row r="74" spans="1:145" outlineLevel="1" x14ac:dyDescent="0.25">
      <c r="A74">
        <v>2020</v>
      </c>
      <c r="B74">
        <v>12</v>
      </c>
      <c r="C74" s="97">
        <f t="shared" si="3"/>
        <v>3.7030246176686266E-2</v>
      </c>
      <c r="D74" s="97">
        <f t="shared" si="3"/>
        <v>0</v>
      </c>
      <c r="E74" s="97">
        <f t="shared" si="3"/>
        <v>0.93709003747173325</v>
      </c>
      <c r="F74" s="97">
        <f t="shared" si="3"/>
        <v>-0.27042197712568139</v>
      </c>
      <c r="G74" s="97" t="str">
        <f t="shared" si="3"/>
        <v/>
      </c>
      <c r="H74" s="97">
        <f t="shared" si="3"/>
        <v>0.14516335220058935</v>
      </c>
      <c r="I74" s="97" t="str">
        <f t="shared" si="3"/>
        <v/>
      </c>
      <c r="J74" s="97">
        <f t="shared" si="3"/>
        <v>0.13228410878855892</v>
      </c>
      <c r="K74" s="97">
        <f t="shared" si="3"/>
        <v>0.15692631428519482</v>
      </c>
      <c r="L74" s="97" t="str">
        <f t="shared" si="3"/>
        <v/>
      </c>
      <c r="M74" s="97">
        <f t="shared" si="3"/>
        <v>-1.7627050679433934E-2</v>
      </c>
      <c r="N74" s="97" t="str">
        <f t="shared" si="3"/>
        <v/>
      </c>
      <c r="O74" s="97" t="str">
        <f t="shared" si="3"/>
        <v/>
      </c>
      <c r="P74" s="97">
        <f t="shared" si="3"/>
        <v>-0.24224534275930606</v>
      </c>
      <c r="Q74" s="97">
        <f t="shared" si="3"/>
        <v>0.18830874607438794</v>
      </c>
      <c r="R74" s="97">
        <f t="shared" si="3"/>
        <v>2.509468421200145</v>
      </c>
      <c r="S74" s="97" t="str">
        <f t="shared" si="7"/>
        <v/>
      </c>
      <c r="T74" s="97">
        <f t="shared" si="7"/>
        <v>-0.14860713960268937</v>
      </c>
      <c r="U74" s="97">
        <f t="shared" si="7"/>
        <v>0.37546629700086775</v>
      </c>
      <c r="V74" s="97">
        <f t="shared" si="7"/>
        <v>-6.9673594039617259E-2</v>
      </c>
      <c r="W74" s="97">
        <f t="shared" si="7"/>
        <v>0.25386584959298886</v>
      </c>
      <c r="X74" s="97">
        <f t="shared" si="7"/>
        <v>0.12384344471435954</v>
      </c>
      <c r="Y74" s="97">
        <f t="shared" si="7"/>
        <v>-0.32341204051756989</v>
      </c>
      <c r="Z74" s="97" t="str">
        <f t="shared" si="7"/>
        <v/>
      </c>
      <c r="AA74" s="97" t="str">
        <f t="shared" si="7"/>
        <v/>
      </c>
      <c r="AB74" s="97">
        <f t="shared" si="7"/>
        <v>1.8878418045735754E-3</v>
      </c>
      <c r="AC74" s="97" t="str">
        <f t="shared" si="7"/>
        <v/>
      </c>
      <c r="AD74" s="97">
        <f t="shared" si="7"/>
        <v>0.12086038784861564</v>
      </c>
      <c r="AE74" s="97">
        <f t="shared" si="7"/>
        <v>3.1320798852856546E-2</v>
      </c>
      <c r="AF74" s="97" t="str">
        <f t="shared" si="7"/>
        <v/>
      </c>
      <c r="AG74" s="97" t="str">
        <f t="shared" si="7"/>
        <v/>
      </c>
      <c r="AH74" s="97">
        <f t="shared" si="7"/>
        <v>0.36314836857072952</v>
      </c>
      <c r="AI74" s="97">
        <f t="shared" si="7"/>
        <v>-0.20539285388840367</v>
      </c>
      <c r="AJ74" s="97" t="str">
        <f t="shared" si="7"/>
        <v/>
      </c>
      <c r="AK74" s="97">
        <f t="shared" si="7"/>
        <v>-0.37040608140163106</v>
      </c>
      <c r="AL74" s="97">
        <f t="shared" si="7"/>
        <v>8.3252552895186183E-2</v>
      </c>
      <c r="AM74" s="97">
        <f t="shared" si="7"/>
        <v>0.15544132077085934</v>
      </c>
      <c r="AN74" s="97">
        <f t="shared" si="7"/>
        <v>2.5971193456656213E-2</v>
      </c>
      <c r="AO74" s="97">
        <f t="shared" si="7"/>
        <v>-3.4140894096390535E-3</v>
      </c>
      <c r="AP74" s="97">
        <f t="shared" si="7"/>
        <v>-0.17448015547570528</v>
      </c>
      <c r="AQ74" s="97" t="str">
        <f t="shared" si="7"/>
        <v/>
      </c>
      <c r="AR74" s="97">
        <f t="shared" si="7"/>
        <v>-9.7444488953384312E-3</v>
      </c>
      <c r="AS74" s="97" t="str">
        <f t="shared" si="7"/>
        <v/>
      </c>
      <c r="AT74" s="97">
        <f t="shared" si="7"/>
        <v>-9.4630305625855504E-2</v>
      </c>
      <c r="AU74" s="97" t="str">
        <f t="shared" si="7"/>
        <v/>
      </c>
      <c r="AV74" s="97">
        <f t="shared" si="7"/>
        <v>0.11888320788765804</v>
      </c>
      <c r="AW74" s="97">
        <f t="shared" si="7"/>
        <v>2.5795227052545222E-3</v>
      </c>
      <c r="AX74" s="97">
        <f t="shared" si="7"/>
        <v>-0.13566879609594126</v>
      </c>
      <c r="AY74" s="97">
        <f t="shared" si="7"/>
        <v>-6.9218100968367668E-2</v>
      </c>
      <c r="AZ74" s="97">
        <f t="shared" si="7"/>
        <v>-9.9231421487024907E-2</v>
      </c>
      <c r="BA74" s="97">
        <f t="shared" si="7"/>
        <v>-8.1956614986062992E-2</v>
      </c>
      <c r="BB74" s="97">
        <f t="shared" si="7"/>
        <v>2.3893760001484795E-2</v>
      </c>
      <c r="BC74" s="97">
        <f t="shared" si="7"/>
        <v>-0.17311263410818375</v>
      </c>
      <c r="BD74" s="97" t="str">
        <f t="shared" si="7"/>
        <v/>
      </c>
      <c r="BE74" s="97">
        <f t="shared" si="7"/>
        <v>0.72646001546446559</v>
      </c>
      <c r="BF74" s="97">
        <f t="shared" si="7"/>
        <v>0.20730373851002362</v>
      </c>
      <c r="BG74" s="97">
        <f t="shared" si="7"/>
        <v>2.4461226851504096E-2</v>
      </c>
      <c r="BH74" s="97" t="str">
        <f t="shared" si="7"/>
        <v/>
      </c>
      <c r="BI74" s="97" t="str">
        <f t="shared" si="7"/>
        <v/>
      </c>
      <c r="BJ74" s="97">
        <f t="shared" si="7"/>
        <v>0.31134153447772123</v>
      </c>
      <c r="BK74" s="97">
        <f t="shared" si="7"/>
        <v>0.37787126571292534</v>
      </c>
      <c r="BL74" s="97">
        <f t="shared" si="7"/>
        <v>-0.16419756074224345</v>
      </c>
      <c r="BM74" s="97">
        <f t="shared" si="7"/>
        <v>0.19300776722960883</v>
      </c>
      <c r="BN74" s="97" t="str">
        <f t="shared" si="7"/>
        <v/>
      </c>
      <c r="BO74" s="97">
        <f t="shared" si="7"/>
        <v>-0.31881300360767995</v>
      </c>
      <c r="BP74" s="97" t="str">
        <f t="shared" si="7"/>
        <v/>
      </c>
      <c r="BQ74" s="97">
        <f t="shared" si="7"/>
        <v>0.18504319858136473</v>
      </c>
      <c r="BR74" s="97">
        <f t="shared" si="7"/>
        <v>5.3535717540167838E-2</v>
      </c>
      <c r="BS74" s="97">
        <f t="shared" si="7"/>
        <v>0.34514195394335845</v>
      </c>
      <c r="BT74" s="97">
        <f t="shared" si="7"/>
        <v>0.35142643709664312</v>
      </c>
      <c r="BU74" s="97" t="str">
        <f t="shared" si="7"/>
        <v/>
      </c>
      <c r="BV74" s="97">
        <f t="shared" si="7"/>
        <v>1.3292012138044063</v>
      </c>
      <c r="BW74" s="97">
        <f t="shared" si="7"/>
        <v>0.17294417668105533</v>
      </c>
      <c r="BX74" s="97">
        <f t="shared" si="7"/>
        <v>8.7744494091510861E-2</v>
      </c>
      <c r="BY74" s="97" t="str">
        <f t="shared" si="7"/>
        <v/>
      </c>
      <c r="BZ74" s="97">
        <f t="shared" si="7"/>
        <v>0.48939027084185116</v>
      </c>
      <c r="CA74" s="97">
        <f t="shared" si="5"/>
        <v>0.19564774220614933</v>
      </c>
      <c r="CB74" s="97">
        <f t="shared" si="5"/>
        <v>0.17870080668830784</v>
      </c>
      <c r="CC74" s="97">
        <f t="shared" si="5"/>
        <v>0.15918179235657504</v>
      </c>
      <c r="CD74" s="97">
        <f t="shared" si="5"/>
        <v>-0.15003571103126068</v>
      </c>
      <c r="CE74" s="97">
        <f t="shared" si="5"/>
        <v>5.7311959219635382E-2</v>
      </c>
      <c r="CF74" s="97">
        <f t="shared" si="5"/>
        <v>-8.2161314895994986E-2</v>
      </c>
      <c r="CG74" s="97" t="str">
        <f t="shared" si="5"/>
        <v/>
      </c>
      <c r="CH74" s="97" t="str">
        <f t="shared" si="5"/>
        <v/>
      </c>
      <c r="CI74" s="97" t="str">
        <f t="shared" si="5"/>
        <v/>
      </c>
      <c r="CJ74" s="97">
        <f t="shared" si="5"/>
        <v>2.5737538840419075E-2</v>
      </c>
      <c r="CK74" s="97">
        <f t="shared" si="5"/>
        <v>0.12415783735583603</v>
      </c>
      <c r="CL74" s="97">
        <f t="shared" si="5"/>
        <v>3.7182104710044905E-2</v>
      </c>
      <c r="CM74" s="97" t="str">
        <f t="shared" si="5"/>
        <v/>
      </c>
      <c r="CN74" s="97">
        <f t="shared" si="5"/>
        <v>1.2446745005602753</v>
      </c>
      <c r="CO74" s="97">
        <f t="shared" si="5"/>
        <v>0.40053259450373035</v>
      </c>
      <c r="CP74" s="97">
        <f t="shared" si="5"/>
        <v>0.16530293438706603</v>
      </c>
      <c r="CQ74" s="97">
        <f t="shared" si="5"/>
        <v>0.18282143182588204</v>
      </c>
      <c r="CR74" s="97" t="str">
        <f t="shared" si="5"/>
        <v/>
      </c>
      <c r="CS74" s="97">
        <f t="shared" si="6"/>
        <v>0.23249233038375222</v>
      </c>
      <c r="CT74" s="97">
        <f t="shared" si="6"/>
        <v>2.2186511190961374E-2</v>
      </c>
      <c r="CU74" s="97">
        <f t="shared" si="6"/>
        <v>-4.730546712011785E-3</v>
      </c>
      <c r="CV74" s="97">
        <f t="shared" si="6"/>
        <v>2.8020413153345025E-2</v>
      </c>
      <c r="CW74" s="97">
        <f t="shared" si="6"/>
        <v>-1.9715216232272906E-2</v>
      </c>
      <c r="CX74" s="97">
        <f t="shared" si="6"/>
        <v>-1.2413991275525445E-2</v>
      </c>
      <c r="CY74" s="97">
        <f t="shared" si="6"/>
        <v>3.8546966134093585E-2</v>
      </c>
      <c r="CZ74" s="97">
        <f t="shared" si="6"/>
        <v>-3.9188207350445925E-2</v>
      </c>
      <c r="DA74" s="97">
        <f t="shared" si="6"/>
        <v>-0.22423001275942528</v>
      </c>
      <c r="DB74" s="97">
        <f t="shared" si="6"/>
        <v>-0.17445431568242356</v>
      </c>
      <c r="DC74" s="97">
        <f t="shared" si="6"/>
        <v>-7.2621555061521792E-2</v>
      </c>
      <c r="DD74" s="97">
        <f t="shared" si="6"/>
        <v>-0.12408020525201387</v>
      </c>
      <c r="DE74" s="97" t="str">
        <f t="shared" si="6"/>
        <v/>
      </c>
      <c r="DF74" s="97">
        <f t="shared" si="6"/>
        <v>-0.13771687045155068</v>
      </c>
      <c r="DG74" s="97" t="str">
        <f t="shared" si="6"/>
        <v/>
      </c>
      <c r="DH74" s="97" t="str">
        <f t="shared" si="6"/>
        <v/>
      </c>
      <c r="DI74" s="97">
        <f t="shared" si="6"/>
        <v>-9.8179693033510484E-2</v>
      </c>
      <c r="DJ74" s="97">
        <f t="shared" si="6"/>
        <v>-0.20213425117724626</v>
      </c>
      <c r="DK74" s="97">
        <f t="shared" si="6"/>
        <v>-0.11661602191208977</v>
      </c>
      <c r="DL74" s="97" t="str">
        <f t="shared" si="6"/>
        <v/>
      </c>
      <c r="DM74" s="97">
        <f t="shared" si="6"/>
        <v>-0.42628299953451465</v>
      </c>
      <c r="DN74" s="97">
        <f t="shared" si="6"/>
        <v>0.15034022881836334</v>
      </c>
      <c r="DO74" s="97" t="str">
        <f t="shared" si="6"/>
        <v/>
      </c>
      <c r="DP74" s="97">
        <f t="shared" si="6"/>
        <v>4.9025164070433558E-2</v>
      </c>
      <c r="DQ74" s="97">
        <f t="shared" si="6"/>
        <v>7.1392860397310631E-2</v>
      </c>
      <c r="DR74" s="97">
        <f t="shared" si="6"/>
        <v>7.7115624280311712E-2</v>
      </c>
      <c r="DS74" s="97">
        <f t="shared" si="6"/>
        <v>0.18118494624573445</v>
      </c>
      <c r="DT74" s="97" t="str">
        <f t="shared" si="6"/>
        <v/>
      </c>
      <c r="DU74" s="97">
        <f t="shared" si="6"/>
        <v>0.70993532744619037</v>
      </c>
      <c r="DV74" s="97" t="str">
        <f t="shared" si="6"/>
        <v/>
      </c>
      <c r="DW74" s="97" t="str">
        <f t="shared" si="6"/>
        <v/>
      </c>
      <c r="DX74" s="97" t="str">
        <f t="shared" si="6"/>
        <v/>
      </c>
      <c r="DY74" s="97">
        <f t="shared" si="6"/>
        <v>-0.17336904436459408</v>
      </c>
      <c r="DZ74" s="97">
        <f t="shared" si="6"/>
        <v>-8.6318896871968698E-2</v>
      </c>
      <c r="EA74" s="97">
        <f t="shared" si="6"/>
        <v>-2.4545514952829417E-2</v>
      </c>
      <c r="EB74" s="97">
        <f t="shared" si="4"/>
        <v>0.60617118552046345</v>
      </c>
      <c r="EC74" s="97">
        <f t="shared" si="4"/>
        <v>-0.20659308808044108</v>
      </c>
      <c r="ED74" s="97">
        <f t="shared" si="4"/>
        <v>-0.35493767181557456</v>
      </c>
      <c r="EE74" s="97">
        <f t="shared" si="4"/>
        <v>-9.7050636404395041E-2</v>
      </c>
      <c r="EF74" s="97">
        <f t="shared" si="4"/>
        <v>1.8453590258108443</v>
      </c>
      <c r="EG74" s="97">
        <f t="shared" si="4"/>
        <v>0.25788778623649872</v>
      </c>
      <c r="EH74" s="97" t="str">
        <f t="shared" si="4"/>
        <v/>
      </c>
      <c r="EI74" s="97" t="str">
        <f t="shared" si="4"/>
        <v/>
      </c>
      <c r="EJ74" s="97" t="str">
        <f t="shared" si="4"/>
        <v/>
      </c>
      <c r="EK74" s="97">
        <f t="shared" si="4"/>
        <v>-7.0623946325378384E-2</v>
      </c>
      <c r="EL74" s="97">
        <f t="shared" si="4"/>
        <v>0.12840465594121622</v>
      </c>
      <c r="EM74" s="97">
        <f t="shared" si="4"/>
        <v>-1.9969265848536425E-2</v>
      </c>
      <c r="EN74" s="97">
        <f t="shared" si="4"/>
        <v>3.1888487878175553E-2</v>
      </c>
      <c r="EO74" s="97">
        <f t="shared" si="4"/>
        <v>-0.30696640410056775</v>
      </c>
    </row>
    <row r="75" spans="1:145" outlineLevel="1" x14ac:dyDescent="0.25">
      <c r="A75">
        <v>2021</v>
      </c>
      <c r="B75">
        <v>1</v>
      </c>
      <c r="C75" s="97">
        <f t="shared" si="3"/>
        <v>-1.0190495727583571E-2</v>
      </c>
      <c r="D75" s="97">
        <f t="shared" si="3"/>
        <v>0</v>
      </c>
      <c r="E75" s="97">
        <f t="shared" si="3"/>
        <v>2.2071097372488411</v>
      </c>
      <c r="F75" s="97">
        <f t="shared" si="3"/>
        <v>0.26470588235294112</v>
      </c>
      <c r="G75" s="97" t="str">
        <f t="shared" si="3"/>
        <v/>
      </c>
      <c r="H75" s="97">
        <f t="shared" si="3"/>
        <v>0.84253578732106349</v>
      </c>
      <c r="I75" s="97" t="str">
        <f t="shared" si="3"/>
        <v/>
      </c>
      <c r="J75" s="97">
        <f t="shared" si="3"/>
        <v>-9.5972153157632967E-2</v>
      </c>
      <c r="K75" s="97">
        <f t="shared" si="3"/>
        <v>5.2516411378555672E-2</v>
      </c>
      <c r="L75" s="97" t="str">
        <f t="shared" si="3"/>
        <v/>
      </c>
      <c r="M75" s="97">
        <f t="shared" si="3"/>
        <v>-1.7217630853994529E-2</v>
      </c>
      <c r="N75" s="97" t="str">
        <f t="shared" si="3"/>
        <v/>
      </c>
      <c r="O75" s="97" t="str">
        <f t="shared" si="3"/>
        <v/>
      </c>
      <c r="P75" s="97">
        <f t="shared" si="3"/>
        <v>-1.121495327102795E-2</v>
      </c>
      <c r="Q75" s="97">
        <f t="shared" si="3"/>
        <v>0.31178082191780843</v>
      </c>
      <c r="R75" s="97">
        <f t="shared" si="3"/>
        <v>-0.1117390792417285</v>
      </c>
      <c r="S75" s="97" t="str">
        <f t="shared" ref="S75:CD78" si="8">IF(ISBLANK(S12),"",S12-$D12)</f>
        <v/>
      </c>
      <c r="T75" s="97">
        <f t="shared" si="8"/>
        <v>0.76314317673378085</v>
      </c>
      <c r="U75" s="97">
        <f t="shared" si="8"/>
        <v>-0.37751824817518242</v>
      </c>
      <c r="V75" s="97">
        <f t="shared" si="8"/>
        <v>9.2814371257485151E-2</v>
      </c>
      <c r="W75" s="97">
        <f t="shared" si="8"/>
        <v>0.74724748683580655</v>
      </c>
      <c r="X75" s="97">
        <f t="shared" si="8"/>
        <v>-0.16423223272370191</v>
      </c>
      <c r="Y75" s="97">
        <f t="shared" si="8"/>
        <v>0.19397993311036801</v>
      </c>
      <c r="Z75" s="97" t="str">
        <f t="shared" si="8"/>
        <v/>
      </c>
      <c r="AA75" s="97" t="str">
        <f t="shared" si="8"/>
        <v/>
      </c>
      <c r="AB75" s="97">
        <f t="shared" si="8"/>
        <v>-9.6722765496413121E-3</v>
      </c>
      <c r="AC75" s="97" t="str">
        <f t="shared" si="8"/>
        <v/>
      </c>
      <c r="AD75" s="97">
        <f t="shared" si="8"/>
        <v>5.616815988973145E-2</v>
      </c>
      <c r="AE75" s="97">
        <f t="shared" si="8"/>
        <v>0.23595505617977519</v>
      </c>
      <c r="AF75" s="97" t="str">
        <f t="shared" si="8"/>
        <v/>
      </c>
      <c r="AG75" s="97" t="str">
        <f t="shared" si="8"/>
        <v/>
      </c>
      <c r="AH75" s="97">
        <f t="shared" si="8"/>
        <v>0.14233576642335749</v>
      </c>
      <c r="AI75" s="97">
        <f t="shared" si="8"/>
        <v>-3.3707865168539297E-2</v>
      </c>
      <c r="AJ75" s="97" t="str">
        <f t="shared" si="8"/>
        <v/>
      </c>
      <c r="AK75" s="97">
        <f t="shared" si="8"/>
        <v>0.26470588235294112</v>
      </c>
      <c r="AL75" s="97">
        <f t="shared" si="8"/>
        <v>0.20519221168247631</v>
      </c>
      <c r="AM75" s="97">
        <f t="shared" si="8"/>
        <v>8.0275229357798183E-2</v>
      </c>
      <c r="AN75" s="97">
        <f t="shared" si="8"/>
        <v>0.59376401973979354</v>
      </c>
      <c r="AO75" s="97">
        <f t="shared" si="8"/>
        <v>7.4576271186440612E-2</v>
      </c>
      <c r="AP75" s="97">
        <f t="shared" si="8"/>
        <v>0.1776581426648722</v>
      </c>
      <c r="AQ75" s="97" t="str">
        <f t="shared" si="8"/>
        <v/>
      </c>
      <c r="AR75" s="97">
        <f t="shared" si="8"/>
        <v>0.19607843137254899</v>
      </c>
      <c r="AS75" s="97" t="str">
        <f t="shared" si="8"/>
        <v/>
      </c>
      <c r="AT75" s="97">
        <f t="shared" si="8"/>
        <v>0.68656716417910468</v>
      </c>
      <c r="AU75" s="97" t="str">
        <f t="shared" si="8"/>
        <v/>
      </c>
      <c r="AV75" s="97">
        <f t="shared" si="8"/>
        <v>-4.8309178743960457E-3</v>
      </c>
      <c r="AW75" s="97">
        <f t="shared" si="8"/>
        <v>-5.3472448646886273E-2</v>
      </c>
      <c r="AX75" s="97">
        <f t="shared" si="8"/>
        <v>-0.40952380952380951</v>
      </c>
      <c r="AY75" s="97">
        <f t="shared" si="8"/>
        <v>1.5</v>
      </c>
      <c r="AZ75" s="97">
        <f t="shared" si="8"/>
        <v>1.0119047619047621</v>
      </c>
      <c r="BA75" s="97">
        <f t="shared" si="8"/>
        <v>0.211153846153846</v>
      </c>
      <c r="BB75" s="97">
        <f t="shared" si="8"/>
        <v>9.7170971709716891E-2</v>
      </c>
      <c r="BC75" s="97">
        <f t="shared" si="8"/>
        <v>0</v>
      </c>
      <c r="BD75" s="97" t="str">
        <f t="shared" si="8"/>
        <v/>
      </c>
      <c r="BE75" s="97">
        <f t="shared" si="8"/>
        <v>-8.2508250825082952E-3</v>
      </c>
      <c r="BF75" s="97">
        <f t="shared" si="8"/>
        <v>0.70212765957446788</v>
      </c>
      <c r="BG75" s="97">
        <f t="shared" si="8"/>
        <v>-5.5508112724167447E-2</v>
      </c>
      <c r="BH75" s="97" t="str">
        <f t="shared" si="8"/>
        <v/>
      </c>
      <c r="BI75" s="97" t="str">
        <f t="shared" si="8"/>
        <v/>
      </c>
      <c r="BJ75" s="97">
        <f t="shared" si="8"/>
        <v>-5.9360730593607358E-2</v>
      </c>
      <c r="BK75" s="97">
        <f t="shared" si="8"/>
        <v>-0.109704641350211</v>
      </c>
      <c r="BL75" s="97">
        <f t="shared" si="8"/>
        <v>-8.0221300138312301E-3</v>
      </c>
      <c r="BM75" s="97">
        <f t="shared" si="8"/>
        <v>0.31195335276967923</v>
      </c>
      <c r="BN75" s="97" t="str">
        <f t="shared" si="8"/>
        <v/>
      </c>
      <c r="BO75" s="97">
        <f t="shared" si="8"/>
        <v>1.9230769230769159E-2</v>
      </c>
      <c r="BP75" s="97" t="str">
        <f t="shared" si="8"/>
        <v/>
      </c>
      <c r="BQ75" s="97">
        <f t="shared" si="8"/>
        <v>-3.0669895076674839E-2</v>
      </c>
      <c r="BR75" s="97">
        <f t="shared" si="8"/>
        <v>0.79815100154083196</v>
      </c>
      <c r="BS75" s="97">
        <f t="shared" si="8"/>
        <v>1.100628930817593E-2</v>
      </c>
      <c r="BT75" s="97">
        <f t="shared" si="8"/>
        <v>0.42568250758341741</v>
      </c>
      <c r="BU75" s="97" t="str">
        <f t="shared" si="8"/>
        <v/>
      </c>
      <c r="BV75" s="97">
        <f t="shared" si="8"/>
        <v>2.4601226993865031</v>
      </c>
      <c r="BW75" s="97">
        <f t="shared" si="8"/>
        <v>-5.7861254165404441E-2</v>
      </c>
      <c r="BX75" s="97">
        <f t="shared" si="8"/>
        <v>3.6535805963649803E-2</v>
      </c>
      <c r="BY75" s="97" t="str">
        <f t="shared" si="8"/>
        <v/>
      </c>
      <c r="BZ75" s="97">
        <f t="shared" si="8"/>
        <v>0.27991886409736311</v>
      </c>
      <c r="CA75" s="97">
        <f t="shared" si="8"/>
        <v>-0.38093327985024739</v>
      </c>
      <c r="CB75" s="97">
        <f t="shared" si="8"/>
        <v>0.86375062845651063</v>
      </c>
      <c r="CC75" s="97">
        <f t="shared" si="8"/>
        <v>0.23175829582973201</v>
      </c>
      <c r="CD75" s="97">
        <f t="shared" si="8"/>
        <v>0.30147058823529421</v>
      </c>
      <c r="CE75" s="97">
        <f t="shared" si="5"/>
        <v>-7.118644067796609E-2</v>
      </c>
      <c r="CF75" s="97">
        <f t="shared" si="5"/>
        <v>-7.2807017543859653E-2</v>
      </c>
      <c r="CG75" s="97" t="str">
        <f t="shared" si="5"/>
        <v/>
      </c>
      <c r="CH75" s="97" t="str">
        <f t="shared" si="5"/>
        <v/>
      </c>
      <c r="CI75" s="97" t="str">
        <f t="shared" si="5"/>
        <v/>
      </c>
      <c r="CJ75" s="97">
        <f t="shared" si="5"/>
        <v>-5.782422090407513E-2</v>
      </c>
      <c r="CK75" s="97">
        <f t="shared" si="5"/>
        <v>0.27690100430416059</v>
      </c>
      <c r="CL75" s="97">
        <f t="shared" si="5"/>
        <v>0.15882352941176461</v>
      </c>
      <c r="CM75" s="97" t="str">
        <f t="shared" si="5"/>
        <v/>
      </c>
      <c r="CN75" s="97">
        <f t="shared" si="5"/>
        <v>1.4073770491803279</v>
      </c>
      <c r="CO75" s="97">
        <f t="shared" si="5"/>
        <v>0.2</v>
      </c>
      <c r="CP75" s="97">
        <f t="shared" si="5"/>
        <v>-0.1239316239316238</v>
      </c>
      <c r="CQ75" s="97">
        <f t="shared" si="5"/>
        <v>-0.1231884057971014</v>
      </c>
      <c r="CR75" s="97" t="str">
        <f t="shared" si="5"/>
        <v/>
      </c>
      <c r="CS75" s="97">
        <f t="shared" si="6"/>
        <v>0.36226811340567022</v>
      </c>
      <c r="CT75" s="97">
        <f t="shared" si="6"/>
        <v>-3.8647342995169032E-2</v>
      </c>
      <c r="CU75" s="97">
        <f t="shared" si="6"/>
        <v>0.71226415094339601</v>
      </c>
      <c r="CV75" s="97">
        <f t="shared" si="6"/>
        <v>6.7973620963903025E-2</v>
      </c>
      <c r="CW75" s="97">
        <f t="shared" si="6"/>
        <v>0.1471178663607686</v>
      </c>
      <c r="CX75" s="97">
        <f t="shared" si="6"/>
        <v>0.10427807486631011</v>
      </c>
      <c r="CY75" s="97">
        <f t="shared" si="6"/>
        <v>-4.4730856709628508E-2</v>
      </c>
      <c r="CZ75" s="97">
        <f t="shared" si="6"/>
        <v>-1.4116416869989551E-2</v>
      </c>
      <c r="DA75" s="97">
        <f t="shared" si="6"/>
        <v>0.1589403973509935</v>
      </c>
      <c r="DB75" s="97">
        <f t="shared" si="6"/>
        <v>8.3186619718309984E-2</v>
      </c>
      <c r="DC75" s="97">
        <f t="shared" si="6"/>
        <v>-4.5169715462737403E-2</v>
      </c>
      <c r="DD75" s="97">
        <f t="shared" si="6"/>
        <v>0.1023970009558213</v>
      </c>
      <c r="DE75" s="97" t="str">
        <f t="shared" si="6"/>
        <v/>
      </c>
      <c r="DF75" s="97">
        <f t="shared" si="6"/>
        <v>0.18487394957983189</v>
      </c>
      <c r="DG75" s="97" t="str">
        <f t="shared" si="6"/>
        <v/>
      </c>
      <c r="DH75" s="97" t="str">
        <f t="shared" si="6"/>
        <v/>
      </c>
      <c r="DI75" s="97">
        <f t="shared" si="6"/>
        <v>1.9020891799189199E-2</v>
      </c>
      <c r="DJ75" s="97">
        <f t="shared" si="6"/>
        <v>-7.1469411092052626E-2</v>
      </c>
      <c r="DK75" s="97">
        <f t="shared" si="6"/>
        <v>1.9061583577712611</v>
      </c>
      <c r="DL75" s="97" t="str">
        <f t="shared" si="6"/>
        <v/>
      </c>
      <c r="DM75" s="97">
        <f t="shared" si="6"/>
        <v>0.1984877126654063</v>
      </c>
      <c r="DN75" s="97">
        <f t="shared" si="6"/>
        <v>-2.352941176470591E-2</v>
      </c>
      <c r="DO75" s="97" t="str">
        <f t="shared" si="6"/>
        <v/>
      </c>
      <c r="DP75" s="97">
        <f t="shared" si="6"/>
        <v>-0.11142019016791441</v>
      </c>
      <c r="DQ75" s="97">
        <f t="shared" si="6"/>
        <v>3.1884057971014457E-2</v>
      </c>
      <c r="DR75" s="97">
        <f t="shared" si="6"/>
        <v>0.1267217630853994</v>
      </c>
      <c r="DS75" s="97">
        <f t="shared" si="6"/>
        <v>0.16812400635930061</v>
      </c>
      <c r="DT75" s="97" t="str">
        <f t="shared" si="6"/>
        <v/>
      </c>
      <c r="DU75" s="97">
        <f t="shared" si="6"/>
        <v>-8.7829663682554959E-2</v>
      </c>
      <c r="DV75" s="97" t="str">
        <f t="shared" si="6"/>
        <v/>
      </c>
      <c r="DW75" s="97" t="str">
        <f t="shared" si="6"/>
        <v/>
      </c>
      <c r="DX75" s="97" t="str">
        <f t="shared" si="6"/>
        <v/>
      </c>
      <c r="DY75" s="97">
        <f t="shared" si="6"/>
        <v>0.77419354838709675</v>
      </c>
      <c r="DZ75" s="97">
        <f t="shared" si="6"/>
        <v>1.1912832929782089</v>
      </c>
      <c r="EA75" s="97">
        <f t="shared" si="6"/>
        <v>0.3266331658291457</v>
      </c>
      <c r="EB75" s="97">
        <f t="shared" si="4"/>
        <v>0.43838557320738508</v>
      </c>
      <c r="EC75" s="97">
        <f t="shared" si="4"/>
        <v>0.2314049586776861</v>
      </c>
      <c r="ED75" s="97">
        <f t="shared" si="4"/>
        <v>-3.9513677811550019E-2</v>
      </c>
      <c r="EE75" s="97">
        <f t="shared" si="4"/>
        <v>0.36363636363636348</v>
      </c>
      <c r="EF75" s="97">
        <f t="shared" si="4"/>
        <v>1.9653179190751491E-2</v>
      </c>
      <c r="EG75" s="97">
        <f t="shared" si="4"/>
        <v>2.0851433536055671E-2</v>
      </c>
      <c r="EH75" s="97" t="str">
        <f t="shared" si="4"/>
        <v/>
      </c>
      <c r="EI75" s="97">
        <f t="shared" si="4"/>
        <v>-9.3385923856973974E-2</v>
      </c>
      <c r="EJ75" s="97" t="str">
        <f t="shared" si="4"/>
        <v/>
      </c>
      <c r="EK75" s="97">
        <f t="shared" si="4"/>
        <v>0.25316455696202528</v>
      </c>
      <c r="EL75" s="97">
        <f t="shared" si="4"/>
        <v>3.2520325203251987E-2</v>
      </c>
      <c r="EM75" s="97">
        <f t="shared" si="4"/>
        <v>0.18644067796610159</v>
      </c>
      <c r="EN75" s="97">
        <f t="shared" si="4"/>
        <v>-6.6542346522904028E-2</v>
      </c>
      <c r="EO75" s="97">
        <f t="shared" si="4"/>
        <v>-0.46160714285714283</v>
      </c>
    </row>
    <row r="76" spans="1:145" outlineLevel="1" x14ac:dyDescent="0.25">
      <c r="A76">
        <v>2021</v>
      </c>
      <c r="B76">
        <v>2</v>
      </c>
      <c r="C76" s="97">
        <f t="shared" si="3"/>
        <v>2.7915181947900106E-2</v>
      </c>
      <c r="D76" s="97">
        <f t="shared" si="3"/>
        <v>0</v>
      </c>
      <c r="E76" s="97">
        <f t="shared" si="3"/>
        <v>7.3844531768916588E-2</v>
      </c>
      <c r="F76" s="97">
        <f t="shared" si="3"/>
        <v>0.16755145247499667</v>
      </c>
      <c r="G76" s="97" t="str">
        <f t="shared" si="3"/>
        <v/>
      </c>
      <c r="H76" s="97">
        <f t="shared" si="3"/>
        <v>-6.0933693228743202E-2</v>
      </c>
      <c r="I76" s="97" t="str">
        <f t="shared" si="3"/>
        <v/>
      </c>
      <c r="J76" s="97">
        <f t="shared" si="3"/>
        <v>-3.5643983347655173E-2</v>
      </c>
      <c r="K76" s="97">
        <f t="shared" si="3"/>
        <v>0.12069171259200118</v>
      </c>
      <c r="L76" s="97" t="str">
        <f t="shared" si="3"/>
        <v/>
      </c>
      <c r="M76" s="97">
        <f t="shared" si="3"/>
        <v>1.9731175751996788E-2</v>
      </c>
      <c r="N76" s="97" t="str">
        <f t="shared" si="3"/>
        <v/>
      </c>
      <c r="O76" s="97" t="str">
        <f t="shared" si="3"/>
        <v/>
      </c>
      <c r="P76" s="97">
        <f t="shared" si="3"/>
        <v>-0.13410590893529903</v>
      </c>
      <c r="Q76" s="97">
        <f t="shared" si="3"/>
        <v>0.92157993453285447</v>
      </c>
      <c r="R76" s="97">
        <f t="shared" si="3"/>
        <v>3.8020514597367217E-2</v>
      </c>
      <c r="S76" s="97" t="str">
        <f t="shared" si="8"/>
        <v/>
      </c>
      <c r="T76" s="97">
        <f t="shared" si="8"/>
        <v>0.35300412016214067</v>
      </c>
      <c r="U76" s="97">
        <f t="shared" si="8"/>
        <v>3.4818785255659068E-2</v>
      </c>
      <c r="V76" s="97">
        <f t="shared" si="8"/>
        <v>0.10147945502357898</v>
      </c>
      <c r="W76" s="97">
        <f t="shared" si="8"/>
        <v>3.2438359133168164E-2</v>
      </c>
      <c r="X76" s="97">
        <f t="shared" si="8"/>
        <v>-1.0611512410739323E-2</v>
      </c>
      <c r="Y76" s="97">
        <f t="shared" si="8"/>
        <v>7.4339283886631136E-2</v>
      </c>
      <c r="Z76" s="97" t="str">
        <f t="shared" si="8"/>
        <v/>
      </c>
      <c r="AA76" s="97" t="str">
        <f t="shared" si="8"/>
        <v/>
      </c>
      <c r="AB76" s="97">
        <f t="shared" si="8"/>
        <v>-1.519143263953082E-3</v>
      </c>
      <c r="AC76" s="97" t="str">
        <f t="shared" si="8"/>
        <v/>
      </c>
      <c r="AD76" s="97">
        <f t="shared" si="8"/>
        <v>-0.34475174567364325</v>
      </c>
      <c r="AE76" s="97">
        <f t="shared" si="8"/>
        <v>-1.8606985530226553E-2</v>
      </c>
      <c r="AF76" s="97" t="str">
        <f t="shared" si="8"/>
        <v/>
      </c>
      <c r="AG76" s="97" t="str">
        <f t="shared" si="8"/>
        <v/>
      </c>
      <c r="AH76" s="97">
        <f t="shared" si="8"/>
        <v>5.7617579230327849E-2</v>
      </c>
      <c r="AI76" s="97">
        <f t="shared" si="8"/>
        <v>0.52917935945174099</v>
      </c>
      <c r="AJ76" s="97" t="str">
        <f t="shared" si="8"/>
        <v/>
      </c>
      <c r="AK76" s="97">
        <f t="shared" si="8"/>
        <v>-8.7099710315700962E-2</v>
      </c>
      <c r="AL76" s="97">
        <f t="shared" si="8"/>
        <v>-2.2674169382000283E-2</v>
      </c>
      <c r="AM76" s="97">
        <f t="shared" si="8"/>
        <v>-0.10993994797596532</v>
      </c>
      <c r="AN76" s="97">
        <f t="shared" si="8"/>
        <v>0.24894843789306137</v>
      </c>
      <c r="AO76" s="97">
        <f t="shared" si="8"/>
        <v>7.2664797057199082E-2</v>
      </c>
      <c r="AP76" s="97">
        <f t="shared" si="8"/>
        <v>0.71439530629559467</v>
      </c>
      <c r="AQ76" s="97" t="str">
        <f t="shared" si="8"/>
        <v/>
      </c>
      <c r="AR76" s="97">
        <f t="shared" si="8"/>
        <v>0.66404401823938863</v>
      </c>
      <c r="AS76" s="97" t="str">
        <f t="shared" si="8"/>
        <v/>
      </c>
      <c r="AT76" s="97">
        <f t="shared" si="8"/>
        <v>-0.17245677967153542</v>
      </c>
      <c r="AU76" s="97" t="str">
        <f t="shared" si="8"/>
        <v/>
      </c>
      <c r="AV76" s="97">
        <f t="shared" si="8"/>
        <v>7.7779494922501802E-2</v>
      </c>
      <c r="AW76" s="97">
        <f t="shared" si="8"/>
        <v>0.13204207564749657</v>
      </c>
      <c r="AX76" s="97">
        <f t="shared" si="8"/>
        <v>-3.2916521661394471E-2</v>
      </c>
      <c r="AY76" s="97">
        <f t="shared" si="8"/>
        <v>-7.5566083665795203E-2</v>
      </c>
      <c r="AZ76" s="97">
        <f t="shared" si="8"/>
        <v>0.79152971035307573</v>
      </c>
      <c r="BA76" s="97">
        <f t="shared" si="8"/>
        <v>-0.13009047150234551</v>
      </c>
      <c r="BB76" s="97">
        <f t="shared" si="8"/>
        <v>-0.11311910754168893</v>
      </c>
      <c r="BC76" s="97">
        <f t="shared" si="8"/>
        <v>0.14352044472305878</v>
      </c>
      <c r="BD76" s="97" t="str">
        <f t="shared" si="8"/>
        <v/>
      </c>
      <c r="BE76" s="97">
        <f t="shared" si="8"/>
        <v>-1.3201556076642083E-2</v>
      </c>
      <c r="BF76" s="97">
        <f t="shared" si="8"/>
        <v>-3.4711836561547971E-2</v>
      </c>
      <c r="BG76" s="97">
        <f t="shared" si="8"/>
        <v>0.14025425747100156</v>
      </c>
      <c r="BH76" s="97" t="str">
        <f t="shared" si="8"/>
        <v/>
      </c>
      <c r="BI76" s="97" t="str">
        <f t="shared" si="8"/>
        <v/>
      </c>
      <c r="BJ76" s="97">
        <f t="shared" si="8"/>
        <v>-8.7269048766818513E-2</v>
      </c>
      <c r="BK76" s="97">
        <f t="shared" si="8"/>
        <v>0.11385366783926448</v>
      </c>
      <c r="BL76" s="97">
        <f t="shared" si="8"/>
        <v>-1.0766035430164193E-2</v>
      </c>
      <c r="BM76" s="97">
        <f t="shared" si="8"/>
        <v>-0.14766818576789734</v>
      </c>
      <c r="BN76" s="97" t="str">
        <f t="shared" si="8"/>
        <v/>
      </c>
      <c r="BO76" s="97">
        <f t="shared" si="8"/>
        <v>0.10702783100359117</v>
      </c>
      <c r="BP76" s="97" t="str">
        <f t="shared" si="8"/>
        <v/>
      </c>
      <c r="BQ76" s="97">
        <f t="shared" si="8"/>
        <v>-4.8183497082542541E-2</v>
      </c>
      <c r="BR76" s="97">
        <f t="shared" si="8"/>
        <v>-9.0721599078380066E-2</v>
      </c>
      <c r="BS76" s="97">
        <f t="shared" si="8"/>
        <v>0.10213136494922738</v>
      </c>
      <c r="BT76" s="97">
        <f t="shared" si="8"/>
        <v>0.16323015938576707</v>
      </c>
      <c r="BU76" s="97" t="str">
        <f t="shared" si="8"/>
        <v/>
      </c>
      <c r="BV76" s="97">
        <f t="shared" si="8"/>
        <v>-0.25520955692628972</v>
      </c>
      <c r="BW76" s="97">
        <f t="shared" si="8"/>
        <v>8.0752678826600754E-2</v>
      </c>
      <c r="BX76" s="97">
        <f t="shared" si="8"/>
        <v>-2.2456696202623364E-2</v>
      </c>
      <c r="BY76" s="97" t="str">
        <f t="shared" si="8"/>
        <v/>
      </c>
      <c r="BZ76" s="97">
        <f t="shared" si="8"/>
        <v>-0.12191893413908943</v>
      </c>
      <c r="CA76" s="97">
        <f t="shared" si="8"/>
        <v>0.2916862658759713</v>
      </c>
      <c r="CB76" s="97">
        <f t="shared" si="8"/>
        <v>-0.20021411988653173</v>
      </c>
      <c r="CC76" s="97">
        <f t="shared" si="8"/>
        <v>-1.0566786867069694E-2</v>
      </c>
      <c r="CD76" s="97">
        <f t="shared" si="8"/>
        <v>-0.10158532324435672</v>
      </c>
      <c r="CE76" s="97">
        <f t="shared" si="5"/>
        <v>2.2007402228858438E-2</v>
      </c>
      <c r="CF76" s="97">
        <f t="shared" si="5"/>
        <v>0.41165169229370246</v>
      </c>
      <c r="CG76" s="97" t="str">
        <f t="shared" si="5"/>
        <v/>
      </c>
      <c r="CH76" s="97" t="str">
        <f t="shared" si="5"/>
        <v/>
      </c>
      <c r="CI76" s="97" t="str">
        <f t="shared" si="5"/>
        <v/>
      </c>
      <c r="CJ76" s="97">
        <f t="shared" si="5"/>
        <v>-5.7629435020159492E-2</v>
      </c>
      <c r="CK76" s="97">
        <f t="shared" si="5"/>
        <v>0.26977251335819508</v>
      </c>
      <c r="CL76" s="97">
        <f t="shared" si="5"/>
        <v>0.15188624175607349</v>
      </c>
      <c r="CM76" s="97" t="str">
        <f t="shared" si="5"/>
        <v/>
      </c>
      <c r="CN76" s="97">
        <f t="shared" si="5"/>
        <v>-0.34428945463635702</v>
      </c>
      <c r="CO76" s="97">
        <f t="shared" si="5"/>
        <v>0.72232965497385104</v>
      </c>
      <c r="CP76" s="97">
        <f t="shared" si="5"/>
        <v>-2.1353822624265884E-2</v>
      </c>
      <c r="CQ76" s="97">
        <f t="shared" si="5"/>
        <v>1.0577911569109257E-2</v>
      </c>
      <c r="CR76" s="97" t="str">
        <f t="shared" si="5"/>
        <v/>
      </c>
      <c r="CS76" s="97">
        <f t="shared" si="6"/>
        <v>2.4775573510394389E-2</v>
      </c>
      <c r="CT76" s="97">
        <f t="shared" si="6"/>
        <v>-2.5016036130823042E-2</v>
      </c>
      <c r="CU76" s="97">
        <f t="shared" si="6"/>
        <v>0.22738231928260777</v>
      </c>
      <c r="CV76" s="97">
        <f t="shared" si="6"/>
        <v>4.0127638724780534E-2</v>
      </c>
      <c r="CW76" s="97">
        <f t="shared" si="6"/>
        <v>4.285959200988055E-2</v>
      </c>
      <c r="CX76" s="97">
        <f t="shared" si="6"/>
        <v>0.11239772760310088</v>
      </c>
      <c r="CY76" s="97">
        <f t="shared" si="6"/>
        <v>0.81280800470829317</v>
      </c>
      <c r="CZ76" s="97">
        <f t="shared" si="6"/>
        <v>-6.7020462255831359E-2</v>
      </c>
      <c r="DA76" s="97">
        <f t="shared" si="6"/>
        <v>0.14426543616572457</v>
      </c>
      <c r="DB76" s="97">
        <f t="shared" si="6"/>
        <v>0.34468496787335068</v>
      </c>
      <c r="DC76" s="97">
        <f t="shared" ref="DC76:EO91" si="9">IF(ISBLANK(DC13),"",DC13-$D13)</f>
        <v>-5.4691051412570246E-2</v>
      </c>
      <c r="DD76" s="97">
        <f t="shared" si="9"/>
        <v>-0.24297661643980872</v>
      </c>
      <c r="DE76" s="97">
        <f t="shared" si="9"/>
        <v>-8.8189794186910309E-3</v>
      </c>
      <c r="DF76" s="97">
        <f t="shared" si="9"/>
        <v>9.2308173570164187E-2</v>
      </c>
      <c r="DG76" s="97" t="str">
        <f t="shared" si="9"/>
        <v/>
      </c>
      <c r="DH76" s="97" t="str">
        <f t="shared" si="9"/>
        <v/>
      </c>
      <c r="DI76" s="97">
        <f t="shared" si="9"/>
        <v>2.0305430443173237E-2</v>
      </c>
      <c r="DJ76" s="97">
        <f t="shared" si="9"/>
        <v>0.13434604521185109</v>
      </c>
      <c r="DK76" s="97">
        <f t="shared" si="9"/>
        <v>1.4511691278322814</v>
      </c>
      <c r="DL76" s="97" t="str">
        <f t="shared" si="9"/>
        <v/>
      </c>
      <c r="DM76" s="97">
        <f t="shared" si="9"/>
        <v>0.16414744689947047</v>
      </c>
      <c r="DN76" s="97">
        <f t="shared" si="9"/>
        <v>4.1608922665837704E-2</v>
      </c>
      <c r="DO76" s="97" t="str">
        <f t="shared" si="9"/>
        <v/>
      </c>
      <c r="DP76" s="97">
        <f t="shared" si="9"/>
        <v>-2.1557359248965513E-2</v>
      </c>
      <c r="DQ76" s="97">
        <f t="shared" si="9"/>
        <v>5.7275695379702674E-3</v>
      </c>
      <c r="DR76" s="97">
        <f t="shared" si="9"/>
        <v>-1.5782828528016823E-2</v>
      </c>
      <c r="DS76" s="97">
        <f t="shared" si="9"/>
        <v>-8.5633858143232766E-2</v>
      </c>
      <c r="DT76" s="97" t="str">
        <f t="shared" si="9"/>
        <v/>
      </c>
      <c r="DU76" s="97">
        <f t="shared" si="9"/>
        <v>-3.835194645165807E-2</v>
      </c>
      <c r="DV76" s="97" t="str">
        <f t="shared" si="9"/>
        <v/>
      </c>
      <c r="DW76" s="97" t="str">
        <f t="shared" si="9"/>
        <v/>
      </c>
      <c r="DX76" s="97" t="str">
        <f t="shared" si="9"/>
        <v/>
      </c>
      <c r="DY76" s="97">
        <f t="shared" si="9"/>
        <v>-0.14534495344466491</v>
      </c>
      <c r="DZ76" s="97">
        <f t="shared" si="9"/>
        <v>0.3459659456010406</v>
      </c>
      <c r="EA76" s="97">
        <f t="shared" si="9"/>
        <v>0.261473228373517</v>
      </c>
      <c r="EB76" s="97">
        <f t="shared" si="4"/>
        <v>0.86578123380092531</v>
      </c>
      <c r="EC76" s="97">
        <f t="shared" si="4"/>
        <v>-5.3581683157904791E-2</v>
      </c>
      <c r="ED76" s="97">
        <f t="shared" si="4"/>
        <v>4.7577946440260255E-2</v>
      </c>
      <c r="EE76" s="97">
        <f t="shared" si="4"/>
        <v>-7.8678286777998263E-2</v>
      </c>
      <c r="EF76" s="97">
        <f t="shared" si="4"/>
        <v>0.56700301604616155</v>
      </c>
      <c r="EG76" s="97">
        <f t="shared" si="4"/>
        <v>0.16691810264817838</v>
      </c>
      <c r="EH76" s="97" t="str">
        <f t="shared" si="4"/>
        <v/>
      </c>
      <c r="EI76" s="97">
        <f t="shared" si="4"/>
        <v>-0.12584881736015394</v>
      </c>
      <c r="EJ76" s="97" t="str">
        <f t="shared" si="4"/>
        <v/>
      </c>
      <c r="EK76" s="97">
        <f t="shared" si="4"/>
        <v>-5.7971216070927596E-2</v>
      </c>
      <c r="EL76" s="97">
        <f t="shared" si="4"/>
        <v>7.2944237679171908E-2</v>
      </c>
      <c r="EM76" s="97">
        <f t="shared" si="4"/>
        <v>6.8681020581309205E-2</v>
      </c>
      <c r="EN76" s="97">
        <f t="shared" si="4"/>
        <v>6.5276797990280189E-3</v>
      </c>
      <c r="EO76" s="97">
        <f t="shared" si="4"/>
        <v>0.57224889549246749</v>
      </c>
    </row>
    <row r="77" spans="1:145" outlineLevel="1" x14ac:dyDescent="0.25">
      <c r="A77">
        <v>2021</v>
      </c>
      <c r="B77">
        <v>3</v>
      </c>
      <c r="C77" s="97">
        <f t="shared" si="3"/>
        <v>4.5513357330943867E-2</v>
      </c>
      <c r="D77" s="97">
        <f t="shared" si="3"/>
        <v>0</v>
      </c>
      <c r="E77" s="97">
        <f t="shared" si="3"/>
        <v>0.13116761847624761</v>
      </c>
      <c r="F77" s="97">
        <f t="shared" si="3"/>
        <v>-3.5748201189434337E-2</v>
      </c>
      <c r="G77" s="97" t="str">
        <f t="shared" si="3"/>
        <v/>
      </c>
      <c r="H77" s="97">
        <f t="shared" si="3"/>
        <v>-4.6197598719620592E-3</v>
      </c>
      <c r="I77" s="97" t="str">
        <f t="shared" si="3"/>
        <v/>
      </c>
      <c r="J77" s="97">
        <f t="shared" si="3"/>
        <v>4.5173974341186973E-2</v>
      </c>
      <c r="K77" s="97">
        <f t="shared" si="3"/>
        <v>0.24871690683856512</v>
      </c>
      <c r="L77" s="97" t="str">
        <f t="shared" si="3"/>
        <v/>
      </c>
      <c r="M77" s="97">
        <f t="shared" si="3"/>
        <v>0.24203277114117452</v>
      </c>
      <c r="N77" s="97" t="str">
        <f t="shared" si="3"/>
        <v/>
      </c>
      <c r="O77" s="97" t="str">
        <f t="shared" si="3"/>
        <v/>
      </c>
      <c r="P77" s="97">
        <f t="shared" si="3"/>
        <v>0.13547955155504621</v>
      </c>
      <c r="Q77" s="97">
        <f t="shared" si="3"/>
        <v>-0.11402206226686389</v>
      </c>
      <c r="R77" s="97">
        <f t="shared" si="3"/>
        <v>-0.15570261088144549</v>
      </c>
      <c r="S77" s="97" t="str">
        <f t="shared" si="8"/>
        <v/>
      </c>
      <c r="T77" s="97">
        <f t="shared" si="8"/>
        <v>-0.19977439418999959</v>
      </c>
      <c r="U77" s="97">
        <f t="shared" si="8"/>
        <v>-0.16580277888951347</v>
      </c>
      <c r="V77" s="97">
        <f t="shared" si="8"/>
        <v>0.12448648196848121</v>
      </c>
      <c r="W77" s="97">
        <f t="shared" si="8"/>
        <v>-0.18049141517002998</v>
      </c>
      <c r="X77" s="97">
        <f t="shared" si="8"/>
        <v>-0.1593334327099083</v>
      </c>
      <c r="Y77" s="97">
        <f t="shared" si="8"/>
        <v>-9.0180942378405016E-3</v>
      </c>
      <c r="Z77" s="97" t="str">
        <f t="shared" si="8"/>
        <v/>
      </c>
      <c r="AA77" s="97" t="str">
        <f t="shared" si="8"/>
        <v/>
      </c>
      <c r="AB77" s="97">
        <f t="shared" si="8"/>
        <v>3.7448710868795754E-2</v>
      </c>
      <c r="AC77" s="97" t="str">
        <f t="shared" si="8"/>
        <v/>
      </c>
      <c r="AD77" s="97">
        <f t="shared" si="8"/>
        <v>-0.72349720517349803</v>
      </c>
      <c r="AE77" s="97">
        <f t="shared" si="8"/>
        <v>0.18321463954571771</v>
      </c>
      <c r="AF77" s="97" t="str">
        <f t="shared" si="8"/>
        <v/>
      </c>
      <c r="AG77" s="97" t="str">
        <f t="shared" si="8"/>
        <v/>
      </c>
      <c r="AH77" s="97">
        <f t="shared" si="8"/>
        <v>-0.2536680625295723</v>
      </c>
      <c r="AI77" s="97">
        <f t="shared" si="8"/>
        <v>-9.1146380335966115E-2</v>
      </c>
      <c r="AJ77" s="97" t="str">
        <f t="shared" si="8"/>
        <v/>
      </c>
      <c r="AK77" s="97">
        <f t="shared" si="8"/>
        <v>-0.11454130901291748</v>
      </c>
      <c r="AL77" s="97">
        <f t="shared" si="8"/>
        <v>4.7713653093015562E-3</v>
      </c>
      <c r="AM77" s="97">
        <f t="shared" si="8"/>
        <v>-5.3967174203936923E-2</v>
      </c>
      <c r="AN77" s="97">
        <f t="shared" si="8"/>
        <v>-5.3199415154716045E-2</v>
      </c>
      <c r="AO77" s="97">
        <f t="shared" si="8"/>
        <v>-0.10871515689601989</v>
      </c>
      <c r="AP77" s="97">
        <f t="shared" si="8"/>
        <v>-0.3338916274842551</v>
      </c>
      <c r="AQ77" s="97" t="str">
        <f t="shared" si="8"/>
        <v/>
      </c>
      <c r="AR77" s="97">
        <f t="shared" si="8"/>
        <v>-0.12304433684386099</v>
      </c>
      <c r="AS77" s="97" t="str">
        <f t="shared" si="8"/>
        <v/>
      </c>
      <c r="AT77" s="97">
        <f t="shared" si="8"/>
        <v>-9.6148311976233747E-2</v>
      </c>
      <c r="AU77" s="97" t="str">
        <f t="shared" si="8"/>
        <v/>
      </c>
      <c r="AV77" s="97">
        <f t="shared" si="8"/>
        <v>-0.10799973559236309</v>
      </c>
      <c r="AW77" s="97">
        <f t="shared" si="8"/>
        <v>-0.10366521238991548</v>
      </c>
      <c r="AX77" s="97">
        <f t="shared" si="8"/>
        <v>-0.32951831533175308</v>
      </c>
      <c r="AY77" s="97">
        <f t="shared" si="8"/>
        <v>-0.10223080877080479</v>
      </c>
      <c r="AZ77" s="97">
        <f t="shared" si="8"/>
        <v>7.2775589691632669E-2</v>
      </c>
      <c r="BA77" s="97">
        <f t="shared" si="8"/>
        <v>2.4204758057913663E-2</v>
      </c>
      <c r="BB77" s="97">
        <f t="shared" si="8"/>
        <v>-7.448075517072783E-2</v>
      </c>
      <c r="BC77" s="97">
        <f t="shared" si="8"/>
        <v>-0.37955264443340769</v>
      </c>
      <c r="BD77" s="97" t="str">
        <f t="shared" si="8"/>
        <v/>
      </c>
      <c r="BE77" s="97">
        <f t="shared" si="8"/>
        <v>-0.13817156003062939</v>
      </c>
      <c r="BF77" s="97">
        <f t="shared" si="8"/>
        <v>-6.0021137197483587E-2</v>
      </c>
      <c r="BG77" s="97">
        <f t="shared" si="8"/>
        <v>-6.571240464523842E-2</v>
      </c>
      <c r="BH77" s="97" t="str">
        <f t="shared" si="8"/>
        <v/>
      </c>
      <c r="BI77" s="97" t="str">
        <f t="shared" si="8"/>
        <v/>
      </c>
      <c r="BJ77" s="97">
        <f t="shared" si="8"/>
        <v>-2.1168223228935964E-2</v>
      </c>
      <c r="BK77" s="97">
        <f t="shared" si="8"/>
        <v>-0.16159375514382959</v>
      </c>
      <c r="BL77" s="97">
        <f t="shared" si="8"/>
        <v>-6.8400226300155853E-2</v>
      </c>
      <c r="BM77" s="97">
        <f t="shared" si="8"/>
        <v>-0.11983947624566318</v>
      </c>
      <c r="BN77" s="97" t="str">
        <f t="shared" si="8"/>
        <v/>
      </c>
      <c r="BO77" s="97">
        <f t="shared" si="8"/>
        <v>1.7153827061199504E-2</v>
      </c>
      <c r="BP77" s="97" t="str">
        <f t="shared" si="8"/>
        <v/>
      </c>
      <c r="BQ77" s="97">
        <f t="shared" si="8"/>
        <v>4.5602685726593421E-2</v>
      </c>
      <c r="BR77" s="97">
        <f t="shared" si="8"/>
        <v>-0.45229502050970277</v>
      </c>
      <c r="BS77" s="97">
        <f t="shared" si="8"/>
        <v>-4.2228630024475189E-2</v>
      </c>
      <c r="BT77" s="97">
        <f t="shared" si="8"/>
        <v>-0.14013552992327957</v>
      </c>
      <c r="BU77" s="97" t="str">
        <f t="shared" si="8"/>
        <v/>
      </c>
      <c r="BV77" s="97">
        <f t="shared" si="8"/>
        <v>-0.14274877034139799</v>
      </c>
      <c r="BW77" s="97">
        <f t="shared" si="8"/>
        <v>-2.1731665570424944E-2</v>
      </c>
      <c r="BX77" s="97">
        <f t="shared" si="8"/>
        <v>3.7278628675853076E-2</v>
      </c>
      <c r="BY77" s="97" t="str">
        <f t="shared" si="8"/>
        <v/>
      </c>
      <c r="BZ77" s="97">
        <f t="shared" si="8"/>
        <v>-0.10097465997522989</v>
      </c>
      <c r="CA77" s="97">
        <f t="shared" si="8"/>
        <v>-6.1764537183251693E-2</v>
      </c>
      <c r="CB77" s="97">
        <f t="shared" si="8"/>
        <v>2.8647031266250785E-2</v>
      </c>
      <c r="CC77" s="97">
        <f t="shared" si="8"/>
        <v>-8.8085438280533501E-2</v>
      </c>
      <c r="CD77" s="97">
        <f t="shared" si="8"/>
        <v>-5.0206092893060106E-2</v>
      </c>
      <c r="CE77" s="97">
        <f t="shared" si="5"/>
        <v>-3.9177341769969343E-2</v>
      </c>
      <c r="CF77" s="97">
        <f t="shared" si="5"/>
        <v>-0.22308197600972429</v>
      </c>
      <c r="CG77" s="97" t="str">
        <f t="shared" si="5"/>
        <v/>
      </c>
      <c r="CH77" s="97" t="str">
        <f t="shared" si="5"/>
        <v/>
      </c>
      <c r="CI77" s="97" t="str">
        <f t="shared" si="5"/>
        <v/>
      </c>
      <c r="CJ77" s="97">
        <f t="shared" si="5"/>
        <v>7.091144935286664E-2</v>
      </c>
      <c r="CK77" s="97">
        <f t="shared" si="5"/>
        <v>-0.19458189297098069</v>
      </c>
      <c r="CL77" s="97">
        <f t="shared" si="5"/>
        <v>-0.11844605674824808</v>
      </c>
      <c r="CM77" s="97" t="str">
        <f t="shared" si="5"/>
        <v/>
      </c>
      <c r="CN77" s="97">
        <f t="shared" si="5"/>
        <v>-8.0130526471531183E-2</v>
      </c>
      <c r="CO77" s="97">
        <f t="shared" si="5"/>
        <v>-0.27247255170924056</v>
      </c>
      <c r="CP77" s="97">
        <f t="shared" si="5"/>
        <v>4.1982749385136797E-2</v>
      </c>
      <c r="CQ77" s="97">
        <f t="shared" si="5"/>
        <v>-0.10512608768054729</v>
      </c>
      <c r="CR77" s="97" t="str">
        <f t="shared" si="5"/>
        <v/>
      </c>
      <c r="CS77" s="97">
        <f t="shared" ref="CS77:DZ77" si="10">IF(ISBLANK(CS14),"",CS14-$D14)</f>
        <v>-0.10721359338194819</v>
      </c>
      <c r="CT77" s="97">
        <f t="shared" si="10"/>
        <v>-4.8860699649203587E-2</v>
      </c>
      <c r="CU77" s="97">
        <f t="shared" si="10"/>
        <v>0.1404001794742184</v>
      </c>
      <c r="CV77" s="97">
        <f t="shared" si="10"/>
        <v>0.13743726672415033</v>
      </c>
      <c r="CW77" s="97">
        <f t="shared" si="10"/>
        <v>5.6929278773237162E-2</v>
      </c>
      <c r="CX77" s="97">
        <f t="shared" si="10"/>
        <v>-4.6286185307384264E-2</v>
      </c>
      <c r="CY77" s="97">
        <f t="shared" si="10"/>
        <v>-4.5425778097214813E-2</v>
      </c>
      <c r="CZ77" s="97">
        <f t="shared" si="10"/>
        <v>8.1922783979701874E-2</v>
      </c>
      <c r="DA77" s="97">
        <f t="shared" si="10"/>
        <v>-0.14722420410173509</v>
      </c>
      <c r="DB77" s="97">
        <f t="shared" si="10"/>
        <v>0.18868498176325141</v>
      </c>
      <c r="DC77" s="97">
        <f t="shared" si="10"/>
        <v>8.6542677676477719E-3</v>
      </c>
      <c r="DD77" s="97">
        <f t="shared" si="10"/>
        <v>-3.4479547746082084E-2</v>
      </c>
      <c r="DE77" s="97">
        <f t="shared" si="10"/>
        <v>0.12022849263586502</v>
      </c>
      <c r="DF77" s="97">
        <f t="shared" si="10"/>
        <v>-0.13625526384789149</v>
      </c>
      <c r="DG77" s="97" t="str">
        <f t="shared" si="10"/>
        <v/>
      </c>
      <c r="DH77" s="97" t="str">
        <f t="shared" si="10"/>
        <v/>
      </c>
      <c r="DI77" s="97">
        <f t="shared" si="10"/>
        <v>5.6197154759296097E-2</v>
      </c>
      <c r="DJ77" s="97">
        <f t="shared" si="10"/>
        <v>-0.3766560140206287</v>
      </c>
      <c r="DK77" s="97">
        <f t="shared" si="10"/>
        <v>-7.4613735347573207E-2</v>
      </c>
      <c r="DL77" s="97" t="str">
        <f t="shared" si="10"/>
        <v/>
      </c>
      <c r="DM77" s="97">
        <f t="shared" si="10"/>
        <v>-9.8807616644146612E-2</v>
      </c>
      <c r="DN77" s="97">
        <f t="shared" si="10"/>
        <v>2.0673925214973684E-2</v>
      </c>
      <c r="DO77" s="97" t="str">
        <f t="shared" si="10"/>
        <v/>
      </c>
      <c r="DP77" s="97">
        <f t="shared" si="10"/>
        <v>2.8596688233770703E-2</v>
      </c>
      <c r="DQ77" s="97">
        <f t="shared" si="10"/>
        <v>-7.2517325808277411E-2</v>
      </c>
      <c r="DR77" s="97">
        <f t="shared" si="10"/>
        <v>-7.6910261024627835E-2</v>
      </c>
      <c r="DS77" s="97">
        <f t="shared" si="10"/>
        <v>-2.5570823613767616E-2</v>
      </c>
      <c r="DT77" s="97" t="str">
        <f t="shared" si="10"/>
        <v/>
      </c>
      <c r="DU77" s="97">
        <f t="shared" si="10"/>
        <v>-0.11078817920839308</v>
      </c>
      <c r="DV77" s="97" t="str">
        <f t="shared" si="10"/>
        <v/>
      </c>
      <c r="DW77" s="97" t="str">
        <f t="shared" si="10"/>
        <v/>
      </c>
      <c r="DX77" s="97" t="str">
        <f t="shared" si="10"/>
        <v/>
      </c>
      <c r="DY77" s="97">
        <f t="shared" si="10"/>
        <v>-9.5636308335318998E-2</v>
      </c>
      <c r="DZ77" s="97">
        <f t="shared" si="10"/>
        <v>-6.680459956964091E-2</v>
      </c>
      <c r="EA77" s="97">
        <f t="shared" si="9"/>
        <v>-3.2924660517288262E-2</v>
      </c>
      <c r="EB77" s="97">
        <f t="shared" si="4"/>
        <v>-0.20077162748425517</v>
      </c>
      <c r="EC77" s="97">
        <f t="shared" si="4"/>
        <v>-3.8898719682836647E-2</v>
      </c>
      <c r="ED77" s="97">
        <f t="shared" si="4"/>
        <v>-9.9589512680629766E-2</v>
      </c>
      <c r="EE77" s="97">
        <f t="shared" si="4"/>
        <v>-0.11831268011583408</v>
      </c>
      <c r="EF77" s="97">
        <f t="shared" si="4"/>
        <v>-0.22022447842492079</v>
      </c>
      <c r="EG77" s="97">
        <f t="shared" si="4"/>
        <v>0.10514119527285651</v>
      </c>
      <c r="EH77" s="97" t="str">
        <f t="shared" si="4"/>
        <v/>
      </c>
      <c r="EI77" s="97">
        <f t="shared" si="4"/>
        <v>-5.9145711919737838E-2</v>
      </c>
      <c r="EJ77" s="97" t="str">
        <f t="shared" si="4"/>
        <v/>
      </c>
      <c r="EK77" s="97">
        <f t="shared" si="4"/>
        <v>-8.2331305768437391E-2</v>
      </c>
      <c r="EL77" s="97">
        <f t="shared" si="4"/>
        <v>-0.17236869170443869</v>
      </c>
      <c r="EM77" s="97">
        <f t="shared" si="4"/>
        <v>0.10706024417349891</v>
      </c>
      <c r="EN77" s="97">
        <f t="shared" si="4"/>
        <v>1.4537384758664285E-2</v>
      </c>
      <c r="EO77" s="97">
        <f t="shared" si="4"/>
        <v>-2.9427492463158126E-2</v>
      </c>
    </row>
    <row r="78" spans="1:145" outlineLevel="1" x14ac:dyDescent="0.25">
      <c r="A78">
        <v>2021</v>
      </c>
      <c r="B78">
        <v>4</v>
      </c>
      <c r="C78" s="97">
        <f t="shared" si="3"/>
        <v>5.2910546230172661E-2</v>
      </c>
      <c r="D78" s="97">
        <f t="shared" si="3"/>
        <v>0</v>
      </c>
      <c r="E78" s="97">
        <f t="shared" si="3"/>
        <v>-5.3571428571428492E-2</v>
      </c>
      <c r="F78" s="97">
        <f t="shared" si="3"/>
        <v>-9.0909090909090939E-2</v>
      </c>
      <c r="G78" s="97" t="str">
        <f t="shared" si="3"/>
        <v/>
      </c>
      <c r="H78" s="97">
        <f t="shared" si="3"/>
        <v>-0.17814726840855111</v>
      </c>
      <c r="I78" s="97" t="str">
        <f t="shared" si="3"/>
        <v/>
      </c>
      <c r="J78" s="97">
        <f t="shared" si="3"/>
        <v>-5.0218340611353773E-2</v>
      </c>
      <c r="K78" s="97">
        <f t="shared" si="3"/>
        <v>-0.18127786032689461</v>
      </c>
      <c r="L78" s="97" t="str">
        <f t="shared" si="3"/>
        <v/>
      </c>
      <c r="M78" s="97">
        <f t="shared" si="3"/>
        <v>-7.9136690647481966E-2</v>
      </c>
      <c r="N78" s="97" t="str">
        <f t="shared" si="3"/>
        <v/>
      </c>
      <c r="O78" s="97" t="str">
        <f t="shared" si="3"/>
        <v/>
      </c>
      <c r="P78" s="97">
        <f t="shared" si="3"/>
        <v>-0.21730769230769231</v>
      </c>
      <c r="Q78" s="97">
        <f t="shared" si="3"/>
        <v>-0.1901840490797545</v>
      </c>
      <c r="R78" s="97">
        <f t="shared" si="3"/>
        <v>4.2965204236006027E-2</v>
      </c>
      <c r="S78" s="97" t="str">
        <f t="shared" si="8"/>
        <v/>
      </c>
      <c r="T78" s="97">
        <f t="shared" si="8"/>
        <v>-0.19399267399267389</v>
      </c>
      <c r="U78" s="97">
        <f t="shared" si="8"/>
        <v>6.956521739130439E-2</v>
      </c>
      <c r="V78" s="97">
        <f t="shared" si="8"/>
        <v>-0.1703539823008848</v>
      </c>
      <c r="W78" s="97">
        <f t="shared" si="8"/>
        <v>-0.59983805668016199</v>
      </c>
      <c r="X78" s="97">
        <f t="shared" si="8"/>
        <v>6.7820558106676199E-2</v>
      </c>
      <c r="Y78" s="97">
        <f t="shared" si="8"/>
        <v>-0.12894736842105259</v>
      </c>
      <c r="Z78" s="97" t="str">
        <f t="shared" si="8"/>
        <v/>
      </c>
      <c r="AA78" s="97" t="str">
        <f t="shared" si="8"/>
        <v/>
      </c>
      <c r="AB78" s="97">
        <f t="shared" si="8"/>
        <v>-1.124768067898407E-2</v>
      </c>
      <c r="AC78" s="97" t="str">
        <f t="shared" si="8"/>
        <v/>
      </c>
      <c r="AD78" s="97">
        <f t="shared" si="8"/>
        <v>-0.14594594594594601</v>
      </c>
      <c r="AE78" s="97">
        <f t="shared" si="8"/>
        <v>-0.40350069092584051</v>
      </c>
      <c r="AF78" s="97" t="str">
        <f t="shared" si="8"/>
        <v/>
      </c>
      <c r="AG78" s="97" t="str">
        <f t="shared" si="8"/>
        <v/>
      </c>
      <c r="AH78" s="97">
        <f t="shared" si="8"/>
        <v>0.2429149797570849</v>
      </c>
      <c r="AI78" s="97">
        <f t="shared" si="8"/>
        <v>-0.1631799163179917</v>
      </c>
      <c r="AJ78" s="97" t="str">
        <f t="shared" si="8"/>
        <v/>
      </c>
      <c r="AK78" s="97">
        <f t="shared" si="8"/>
        <v>-0.1510791366906474</v>
      </c>
      <c r="AL78" s="97">
        <f t="shared" si="8"/>
        <v>-5.9071729957805852E-2</v>
      </c>
      <c r="AM78" s="97">
        <f t="shared" si="8"/>
        <v>-4.2034468263976499E-2</v>
      </c>
      <c r="AN78" s="97">
        <f t="shared" si="8"/>
        <v>-8.333333333333337E-2</v>
      </c>
      <c r="AO78" s="97">
        <f t="shared" si="8"/>
        <v>-0.11881188118811881</v>
      </c>
      <c r="AP78" s="97">
        <f t="shared" si="8"/>
        <v>-0.13513513513513509</v>
      </c>
      <c r="AQ78" s="97" t="str">
        <f t="shared" si="8"/>
        <v/>
      </c>
      <c r="AR78" s="97">
        <f t="shared" si="8"/>
        <v>0.23595505617977519</v>
      </c>
      <c r="AS78" s="97" t="str">
        <f t="shared" si="8"/>
        <v/>
      </c>
      <c r="AT78" s="97">
        <f t="shared" si="8"/>
        <v>-0.106508875739645</v>
      </c>
      <c r="AU78" s="97" t="str">
        <f t="shared" si="8"/>
        <v/>
      </c>
      <c r="AV78" s="97">
        <f t="shared" si="8"/>
        <v>-4.0404040404040442E-2</v>
      </c>
      <c r="AW78" s="97">
        <f t="shared" si="8"/>
        <v>7.67402376910018E-2</v>
      </c>
      <c r="AX78" s="97">
        <f t="shared" si="8"/>
        <v>-0.1232227488151658</v>
      </c>
      <c r="AY78" s="97">
        <f t="shared" si="8"/>
        <v>-0.22475570032573289</v>
      </c>
      <c r="AZ78" s="97">
        <f t="shared" si="8"/>
        <v>-0.2986913010007699</v>
      </c>
      <c r="BA78" s="97">
        <f t="shared" si="8"/>
        <v>-3.9215686274509887E-2</v>
      </c>
      <c r="BB78" s="97">
        <f t="shared" si="8"/>
        <v>0.18579234972677591</v>
      </c>
      <c r="BC78" s="97">
        <f t="shared" si="8"/>
        <v>-0.1147540983606556</v>
      </c>
      <c r="BD78" s="97" t="str">
        <f t="shared" si="8"/>
        <v/>
      </c>
      <c r="BE78" s="97">
        <f t="shared" si="8"/>
        <v>3.5225048923678948E-2</v>
      </c>
      <c r="BF78" s="97">
        <f t="shared" si="8"/>
        <v>5.2165354330708569E-2</v>
      </c>
      <c r="BG78" s="97">
        <f t="shared" si="8"/>
        <v>-4.4991511035653582E-2</v>
      </c>
      <c r="BH78" s="97" t="str">
        <f t="shared" si="8"/>
        <v/>
      </c>
      <c r="BI78" s="97" t="str">
        <f t="shared" si="8"/>
        <v/>
      </c>
      <c r="BJ78" s="97">
        <f t="shared" si="8"/>
        <v>-5.9782608695652217E-2</v>
      </c>
      <c r="BK78" s="97">
        <f t="shared" si="8"/>
        <v>-0.233502538071066</v>
      </c>
      <c r="BL78" s="97">
        <f t="shared" si="8"/>
        <v>-0.11319612590799021</v>
      </c>
      <c r="BM78" s="97">
        <f t="shared" si="8"/>
        <v>0.13629629629629639</v>
      </c>
      <c r="BN78" s="97" t="str">
        <f t="shared" si="8"/>
        <v/>
      </c>
      <c r="BO78" s="97">
        <f t="shared" si="8"/>
        <v>-0.106145251396648</v>
      </c>
      <c r="BP78" s="97" t="str">
        <f t="shared" si="8"/>
        <v/>
      </c>
      <c r="BQ78" s="97">
        <f t="shared" si="8"/>
        <v>-4.1841004184100417E-2</v>
      </c>
      <c r="BR78" s="97">
        <f t="shared" si="8"/>
        <v>-0.1239242685025818</v>
      </c>
      <c r="BS78" s="97">
        <f t="shared" si="8"/>
        <v>1.4736221632773329E-2</v>
      </c>
      <c r="BT78" s="97">
        <f t="shared" si="8"/>
        <v>-0.1276595744680851</v>
      </c>
      <c r="BU78" s="97" t="str">
        <f t="shared" si="8"/>
        <v/>
      </c>
      <c r="BV78" s="97">
        <f t="shared" si="8"/>
        <v>-0.16111111111111109</v>
      </c>
      <c r="BW78" s="97">
        <f t="shared" si="8"/>
        <v>1.825150574923384E-4</v>
      </c>
      <c r="BX78" s="97">
        <f t="shared" si="8"/>
        <v>-9.8573808348851877E-3</v>
      </c>
      <c r="BY78" s="97" t="str">
        <f t="shared" si="8"/>
        <v/>
      </c>
      <c r="BZ78" s="97">
        <f t="shared" si="8"/>
        <v>-0.1506024096385542</v>
      </c>
      <c r="CA78" s="97">
        <f t="shared" si="8"/>
        <v>-9.8039215686274606E-2</v>
      </c>
      <c r="CB78" s="97">
        <f t="shared" si="8"/>
        <v>-4.3030501803870143E-2</v>
      </c>
      <c r="CC78" s="97">
        <f t="shared" si="8"/>
        <v>-2.167832206883347E-2</v>
      </c>
      <c r="CD78" s="97">
        <f t="shared" ref="CD78:DZ83" si="11">IF(ISBLANK(CD15),"",CD15-$D15)</f>
        <v>-6.6225165562914023E-2</v>
      </c>
      <c r="CE78" s="97">
        <f t="shared" si="11"/>
        <v>5.5762081784386693E-2</v>
      </c>
      <c r="CF78" s="97">
        <f t="shared" si="11"/>
        <v>-0.13114754098360651</v>
      </c>
      <c r="CG78" s="97" t="str">
        <f t="shared" si="11"/>
        <v/>
      </c>
      <c r="CH78" s="97" t="str">
        <f t="shared" si="11"/>
        <v/>
      </c>
      <c r="CI78" s="97" t="str">
        <f t="shared" si="11"/>
        <v/>
      </c>
      <c r="CJ78" s="97">
        <f t="shared" si="11"/>
        <v>-3.3597080569767623E-2</v>
      </c>
      <c r="CK78" s="97">
        <f t="shared" si="11"/>
        <v>-0.1004395604395605</v>
      </c>
      <c r="CL78" s="97">
        <f t="shared" si="11"/>
        <v>-1.9500000000000069E-2</v>
      </c>
      <c r="CM78" s="97" t="str">
        <f t="shared" si="11"/>
        <v/>
      </c>
      <c r="CN78" s="97">
        <f t="shared" si="11"/>
        <v>9.2603049124788228E-2</v>
      </c>
      <c r="CO78" s="97">
        <f t="shared" si="11"/>
        <v>-0.2017725289044241</v>
      </c>
      <c r="CP78" s="97">
        <f t="shared" si="11"/>
        <v>7.0813397129186662E-2</v>
      </c>
      <c r="CQ78" s="97">
        <f t="shared" si="11"/>
        <v>0.12004875076173049</v>
      </c>
      <c r="CR78" s="97" t="str">
        <f t="shared" si="11"/>
        <v/>
      </c>
      <c r="CS78" s="97">
        <f t="shared" si="11"/>
        <v>-7.8651685393258397E-3</v>
      </c>
      <c r="CT78" s="97">
        <f t="shared" si="11"/>
        <v>-3.2520325203252098E-2</v>
      </c>
      <c r="CU78" s="97">
        <f t="shared" si="11"/>
        <v>4.9212598425196763E-2</v>
      </c>
      <c r="CV78" s="97">
        <f t="shared" si="11"/>
        <v>4.9171890222605708E-3</v>
      </c>
      <c r="CW78" s="97">
        <f t="shared" si="11"/>
        <v>-1.1796733212341089E-2</v>
      </c>
      <c r="CX78" s="97">
        <f t="shared" si="11"/>
        <v>-9.8587530318162364E-2</v>
      </c>
      <c r="CY78" s="97">
        <f t="shared" si="11"/>
        <v>-0.24954128440366971</v>
      </c>
      <c r="CZ78" s="97">
        <f t="shared" si="11"/>
        <v>6.6796220466195377E-2</v>
      </c>
      <c r="DA78" s="97">
        <f t="shared" si="11"/>
        <v>2.5559105431310011E-2</v>
      </c>
      <c r="DB78" s="97">
        <f t="shared" si="11"/>
        <v>-0.148232901093313</v>
      </c>
      <c r="DC78" s="97">
        <f t="shared" si="11"/>
        <v>2.866327877137342E-2</v>
      </c>
      <c r="DD78" s="97">
        <f t="shared" si="11"/>
        <v>-0.2792510979274212</v>
      </c>
      <c r="DE78" s="97">
        <f t="shared" si="11"/>
        <v>-0.13672922252010711</v>
      </c>
      <c r="DF78" s="97">
        <f t="shared" si="11"/>
        <v>-0.2857142857142857</v>
      </c>
      <c r="DG78" s="97" t="str">
        <f t="shared" si="11"/>
        <v/>
      </c>
      <c r="DH78" s="97" t="str">
        <f t="shared" si="11"/>
        <v/>
      </c>
      <c r="DI78" s="97">
        <f t="shared" si="11"/>
        <v>9.5143425163305873E-2</v>
      </c>
      <c r="DJ78" s="97">
        <f t="shared" si="11"/>
        <v>5.2264808362367798E-3</v>
      </c>
      <c r="DK78" s="97">
        <f t="shared" si="11"/>
        <v>4.1156840934371441E-2</v>
      </c>
      <c r="DL78" s="97" t="str">
        <f t="shared" si="11"/>
        <v/>
      </c>
      <c r="DM78" s="97">
        <f t="shared" si="11"/>
        <v>-2.7067669172932459E-2</v>
      </c>
      <c r="DN78" s="97">
        <f t="shared" si="11"/>
        <v>-4.7858942065491239E-2</v>
      </c>
      <c r="DO78" s="97" t="str">
        <f t="shared" si="11"/>
        <v/>
      </c>
      <c r="DP78" s="97">
        <f t="shared" si="11"/>
        <v>0.10306595768752121</v>
      </c>
      <c r="DQ78" s="97">
        <f t="shared" si="11"/>
        <v>-6.0240963855421659E-2</v>
      </c>
      <c r="DR78" s="97">
        <f t="shared" si="11"/>
        <v>4.3068640646029673E-2</v>
      </c>
      <c r="DS78" s="97">
        <f t="shared" si="11"/>
        <v>0.16310160427807491</v>
      </c>
      <c r="DT78" s="97" t="str">
        <f t="shared" si="11"/>
        <v/>
      </c>
      <c r="DU78" s="97">
        <f t="shared" si="11"/>
        <v>-4.6850760161340273E-2</v>
      </c>
      <c r="DV78" s="97" t="str">
        <f t="shared" si="11"/>
        <v/>
      </c>
      <c r="DW78" s="97">
        <f t="shared" si="11"/>
        <v>0</v>
      </c>
      <c r="DX78" s="97" t="str">
        <f t="shared" si="11"/>
        <v/>
      </c>
      <c r="DY78" s="97">
        <f t="shared" si="11"/>
        <v>-0.2352941176470589</v>
      </c>
      <c r="DZ78" s="97">
        <f t="shared" si="11"/>
        <v>-0.19313682358117021</v>
      </c>
      <c r="EA78" s="97">
        <f t="shared" si="9"/>
        <v>-0.33229813664596258</v>
      </c>
      <c r="EB78" s="97">
        <f t="shared" si="4"/>
        <v>-0.27970767844629091</v>
      </c>
      <c r="EC78" s="97">
        <f t="shared" si="4"/>
        <v>-0.15498154981549819</v>
      </c>
      <c r="ED78" s="97">
        <f t="shared" si="4"/>
        <v>-0.15436241610738249</v>
      </c>
      <c r="EE78" s="97">
        <f t="shared" si="4"/>
        <v>-9.7014925373134275E-2</v>
      </c>
      <c r="EF78" s="97">
        <f t="shared" si="4"/>
        <v>-0.17958236658932711</v>
      </c>
      <c r="EG78" s="97">
        <f t="shared" si="4"/>
        <v>-0.1287128712871288</v>
      </c>
      <c r="EH78" s="97">
        <f t="shared" si="4"/>
        <v>-0.1571125265392781</v>
      </c>
      <c r="EI78" s="97">
        <f t="shared" si="4"/>
        <v>-4.7965435182528493E-2</v>
      </c>
      <c r="EJ78" s="97" t="str">
        <f t="shared" si="4"/>
        <v/>
      </c>
      <c r="EK78" s="97">
        <f t="shared" si="4"/>
        <v>-0.27830533235938643</v>
      </c>
      <c r="EL78" s="97">
        <f t="shared" si="4"/>
        <v>-0.15077605321507759</v>
      </c>
      <c r="EM78" s="97">
        <f t="shared" si="4"/>
        <v>-7.004830917874405E-2</v>
      </c>
      <c r="EN78" s="97">
        <f t="shared" si="4"/>
        <v>0.10037054419781601</v>
      </c>
      <c r="EO78" s="97">
        <f t="shared" si="4"/>
        <v>5.7608695652173969E-2</v>
      </c>
    </row>
    <row r="79" spans="1:145" outlineLevel="1" x14ac:dyDescent="0.25">
      <c r="A79">
        <v>2021</v>
      </c>
      <c r="B79">
        <v>5</v>
      </c>
      <c r="C79" s="97">
        <f t="shared" si="3"/>
        <v>6.6756697224009676E-3</v>
      </c>
      <c r="D79" s="97">
        <f t="shared" si="3"/>
        <v>0</v>
      </c>
      <c r="E79" s="97">
        <f t="shared" si="3"/>
        <v>-6.73956251891904E-2</v>
      </c>
      <c r="F79" s="97">
        <f t="shared" si="3"/>
        <v>0.12283688862822928</v>
      </c>
      <c r="G79" s="97" t="str">
        <f t="shared" si="3"/>
        <v/>
      </c>
      <c r="H79" s="97">
        <f t="shared" si="3"/>
        <v>-4.2256442146504369E-3</v>
      </c>
      <c r="I79" s="97" t="str">
        <f t="shared" si="3"/>
        <v/>
      </c>
      <c r="J79" s="97">
        <f t="shared" si="3"/>
        <v>8.7465937740037192E-2</v>
      </c>
      <c r="K79" s="97">
        <f t="shared" si="3"/>
        <v>2.7332846390974663E-2</v>
      </c>
      <c r="L79" s="97" t="str">
        <f t="shared" si="3"/>
        <v/>
      </c>
      <c r="M79" s="97">
        <f t="shared" si="3"/>
        <v>3.2261058208648774E-2</v>
      </c>
      <c r="N79" s="97" t="str">
        <f t="shared" si="3"/>
        <v/>
      </c>
      <c r="O79" s="97" t="str">
        <f t="shared" si="3"/>
        <v/>
      </c>
      <c r="P79" s="97">
        <f t="shared" si="3"/>
        <v>-8.8342472551132034E-2</v>
      </c>
      <c r="Q79" s="97">
        <f t="shared" si="3"/>
        <v>-6.0496444705104069E-2</v>
      </c>
      <c r="R79" s="97">
        <f t="shared" si="3"/>
        <v>5.5230010446938427E-2</v>
      </c>
      <c r="S79" s="97" t="str">
        <f t="shared" ref="S79:CD85" si="12">IF(ISBLANK(S16),"",S16-$D16)</f>
        <v/>
      </c>
      <c r="T79" s="97">
        <f t="shared" si="12"/>
        <v>-0.17731267095597872</v>
      </c>
      <c r="U79" s="97">
        <f t="shared" si="12"/>
        <v>1.3320998014777593E-2</v>
      </c>
      <c r="V79" s="97">
        <f t="shared" si="12"/>
        <v>2.5442949234289913E-2</v>
      </c>
      <c r="W79" s="97">
        <f t="shared" si="12"/>
        <v>-0.17350430558831911</v>
      </c>
      <c r="X79" s="97">
        <f t="shared" si="12"/>
        <v>4.2445811672483513E-3</v>
      </c>
      <c r="Y79" s="97">
        <f t="shared" si="12"/>
        <v>-0.23251878289058431</v>
      </c>
      <c r="Z79" s="97" t="str">
        <f t="shared" si="12"/>
        <v/>
      </c>
      <c r="AA79" s="97" t="str">
        <f t="shared" si="12"/>
        <v/>
      </c>
      <c r="AB79" s="97">
        <f t="shared" si="12"/>
        <v>5.2978156794178832E-2</v>
      </c>
      <c r="AC79" s="97" t="str">
        <f t="shared" si="12"/>
        <v/>
      </c>
      <c r="AD79" s="97">
        <f t="shared" si="12"/>
        <v>-0.16022793684165962</v>
      </c>
      <c r="AE79" s="97">
        <f t="shared" si="12"/>
        <v>4.9530465321805946E-2</v>
      </c>
      <c r="AF79" s="97" t="str">
        <f t="shared" si="12"/>
        <v/>
      </c>
      <c r="AG79" s="97" t="str">
        <f t="shared" si="12"/>
        <v/>
      </c>
      <c r="AH79" s="97">
        <f t="shared" si="12"/>
        <v>-0.16438549810555811</v>
      </c>
      <c r="AI79" s="97">
        <f t="shared" si="12"/>
        <v>-7.4890384099043472E-2</v>
      </c>
      <c r="AJ79" s="97" t="str">
        <f t="shared" si="12"/>
        <v/>
      </c>
      <c r="AK79" s="97">
        <f t="shared" si="12"/>
        <v>-4.2263265454975718E-2</v>
      </c>
      <c r="AL79" s="97">
        <f t="shared" si="12"/>
        <v>7.1410064331449807E-2</v>
      </c>
      <c r="AM79" s="97">
        <f t="shared" si="12"/>
        <v>-5.2106268258762634E-2</v>
      </c>
      <c r="AN79" s="97">
        <f t="shared" si="12"/>
        <v>-0.23365661786527722</v>
      </c>
      <c r="AO79" s="97">
        <f t="shared" si="12"/>
        <v>0.10497852975863438</v>
      </c>
      <c r="AP79" s="97">
        <f t="shared" si="12"/>
        <v>-0.16308482854348791</v>
      </c>
      <c r="AQ79" s="97" t="str">
        <f t="shared" si="12"/>
        <v/>
      </c>
      <c r="AR79" s="97">
        <f t="shared" si="12"/>
        <v>3.6473252264592866E-2</v>
      </c>
      <c r="AS79" s="97" t="str">
        <f t="shared" si="12"/>
        <v/>
      </c>
      <c r="AT79" s="97">
        <f t="shared" si="12"/>
        <v>-0.15220826489374562</v>
      </c>
      <c r="AU79" s="97" t="str">
        <f t="shared" si="12"/>
        <v/>
      </c>
      <c r="AV79" s="97">
        <f t="shared" si="12"/>
        <v>-0.13146933146746451</v>
      </c>
      <c r="AW79" s="97">
        <f t="shared" si="12"/>
        <v>0.13476745254554789</v>
      </c>
      <c r="AX79" s="97">
        <f t="shared" si="12"/>
        <v>-1.7457951666611238E-2</v>
      </c>
      <c r="AY79" s="97">
        <f t="shared" si="12"/>
        <v>-6.2915594183077128E-2</v>
      </c>
      <c r="AZ79" s="97">
        <f t="shared" si="12"/>
        <v>0.18781543368361298</v>
      </c>
      <c r="BA79" s="97">
        <f t="shared" si="12"/>
        <v>-0.26111487389496191</v>
      </c>
      <c r="BB79" s="97">
        <f t="shared" si="12"/>
        <v>-0.18652632879950443</v>
      </c>
      <c r="BC79" s="97">
        <f t="shared" si="12"/>
        <v>-0.24063112483978422</v>
      </c>
      <c r="BD79" s="97">
        <f t="shared" si="12"/>
        <v>8.140342157939684E-3</v>
      </c>
      <c r="BE79" s="97">
        <f t="shared" si="12"/>
        <v>-9.6298701679383814E-2</v>
      </c>
      <c r="BF79" s="97">
        <f t="shared" si="12"/>
        <v>-8.0339401872663641E-2</v>
      </c>
      <c r="BG79" s="97">
        <f t="shared" si="12"/>
        <v>-0.20611260632126571</v>
      </c>
      <c r="BH79" s="97" t="str">
        <f t="shared" si="12"/>
        <v/>
      </c>
      <c r="BI79" s="97" t="str">
        <f t="shared" si="12"/>
        <v/>
      </c>
      <c r="BJ79" s="97">
        <f t="shared" si="12"/>
        <v>-1.7231424561471306E-2</v>
      </c>
      <c r="BK79" s="97">
        <f t="shared" si="12"/>
        <v>-3.9625483436791849E-2</v>
      </c>
      <c r="BL79" s="97">
        <f t="shared" si="12"/>
        <v>9.0894598836110174E-2</v>
      </c>
      <c r="BM79" s="97">
        <f t="shared" si="12"/>
        <v>0.1995881035150372</v>
      </c>
      <c r="BN79" s="97" t="str">
        <f t="shared" si="12"/>
        <v/>
      </c>
      <c r="BO79" s="97">
        <f t="shared" si="12"/>
        <v>-0.11239038409904352</v>
      </c>
      <c r="BP79" s="97">
        <f t="shared" si="12"/>
        <v>-0.26429577845948482</v>
      </c>
      <c r="BQ79" s="97">
        <f t="shared" si="12"/>
        <v>0.17478210498392588</v>
      </c>
      <c r="BR79" s="97">
        <f t="shared" si="12"/>
        <v>-0.10794539392222621</v>
      </c>
      <c r="BS79" s="97">
        <f t="shared" si="12"/>
        <v>0.1447509170917784</v>
      </c>
      <c r="BT79" s="97">
        <f t="shared" si="12"/>
        <v>0.17897140451884277</v>
      </c>
      <c r="BU79" s="97" t="str">
        <f t="shared" si="12"/>
        <v/>
      </c>
      <c r="BV79" s="97">
        <f t="shared" si="12"/>
        <v>5.9712264907579082E-2</v>
      </c>
      <c r="BW79" s="97">
        <f t="shared" si="12"/>
        <v>8.3625430986114524E-2</v>
      </c>
      <c r="BX79" s="97">
        <f t="shared" si="12"/>
        <v>4.6640742894021536E-2</v>
      </c>
      <c r="BY79" s="97" t="str">
        <f t="shared" si="12"/>
        <v/>
      </c>
      <c r="BZ79" s="97">
        <f t="shared" si="12"/>
        <v>3.7934675002611384E-2</v>
      </c>
      <c r="CA79" s="97">
        <f t="shared" si="12"/>
        <v>0.2016906435689409</v>
      </c>
      <c r="CB79" s="97">
        <f t="shared" si="12"/>
        <v>-0.19311815844958152</v>
      </c>
      <c r="CC79" s="97">
        <f t="shared" si="12"/>
        <v>9.7723704303949943E-2</v>
      </c>
      <c r="CD79" s="97">
        <f t="shared" si="12"/>
        <v>-0.13464215714868891</v>
      </c>
      <c r="CE79" s="97">
        <f t="shared" si="11"/>
        <v>5.9968770830533986E-2</v>
      </c>
      <c r="CF79" s="97">
        <f t="shared" si="11"/>
        <v>-0.2868814466611091</v>
      </c>
      <c r="CG79" s="97" t="str">
        <f t="shared" si="11"/>
        <v/>
      </c>
      <c r="CH79" s="97" t="str">
        <f t="shared" si="11"/>
        <v/>
      </c>
      <c r="CI79" s="97" t="str">
        <f t="shared" si="11"/>
        <v/>
      </c>
      <c r="CJ79" s="97">
        <f t="shared" si="11"/>
        <v>1.8766492299348795E-2</v>
      </c>
      <c r="CK79" s="97">
        <f t="shared" si="11"/>
        <v>-0.13670934329767523</v>
      </c>
      <c r="CL79" s="97">
        <f t="shared" si="11"/>
        <v>-7.8421745649272956E-2</v>
      </c>
      <c r="CM79" s="97" t="str">
        <f t="shared" si="11"/>
        <v/>
      </c>
      <c r="CN79" s="97">
        <f t="shared" si="11"/>
        <v>-0.43141493190266111</v>
      </c>
      <c r="CO79" s="97">
        <f t="shared" si="11"/>
        <v>1.096159009564834E-4</v>
      </c>
      <c r="CP79" s="97">
        <f t="shared" si="11"/>
        <v>0.27088709579371806</v>
      </c>
      <c r="CQ79" s="97">
        <f t="shared" si="11"/>
        <v>-0.20772498692820562</v>
      </c>
      <c r="CR79" s="97" t="str">
        <f t="shared" si="11"/>
        <v/>
      </c>
      <c r="CS79" s="97">
        <f t="shared" si="11"/>
        <v>-0.13975448375929272</v>
      </c>
      <c r="CT79" s="97">
        <f t="shared" si="11"/>
        <v>-0.10633296112985581</v>
      </c>
      <c r="CU79" s="97">
        <f t="shared" si="11"/>
        <v>8.0785038039793311E-2</v>
      </c>
      <c r="CV79" s="97">
        <f t="shared" si="11"/>
        <v>0.14978447436606887</v>
      </c>
      <c r="CW79" s="97">
        <f t="shared" si="11"/>
        <v>0.14496728348589669</v>
      </c>
      <c r="CX79" s="97">
        <f t="shared" si="11"/>
        <v>-3.9618146049027685E-2</v>
      </c>
      <c r="CY79" s="97">
        <f t="shared" si="11"/>
        <v>-0.24805664326774771</v>
      </c>
      <c r="CZ79" s="97">
        <f t="shared" si="11"/>
        <v>1.2151575329435784E-2</v>
      </c>
      <c r="DA79" s="97">
        <f t="shared" si="11"/>
        <v>-8.2185295833207661E-2</v>
      </c>
      <c r="DB79" s="97">
        <f t="shared" si="11"/>
        <v>-0.10257695126322261</v>
      </c>
      <c r="DC79" s="97">
        <f t="shared" si="11"/>
        <v>0.10844551943254549</v>
      </c>
      <c r="DD79" s="97">
        <f t="shared" si="11"/>
        <v>-5.4152458372662915E-2</v>
      </c>
      <c r="DE79" s="97">
        <f t="shared" si="11"/>
        <v>-5.8896595279167796E-2</v>
      </c>
      <c r="DF79" s="97">
        <f t="shared" si="11"/>
        <v>-2.0416699888517246E-2</v>
      </c>
      <c r="DG79" s="97" t="str">
        <f t="shared" si="11"/>
        <v/>
      </c>
      <c r="DH79" s="97" t="str">
        <f t="shared" si="11"/>
        <v/>
      </c>
      <c r="DI79" s="97">
        <f t="shared" si="11"/>
        <v>-0.10284681563431322</v>
      </c>
      <c r="DJ79" s="97">
        <f t="shared" si="11"/>
        <v>-0.13333925758257903</v>
      </c>
      <c r="DK79" s="97">
        <f t="shared" si="11"/>
        <v>0.15224636803770877</v>
      </c>
      <c r="DL79" s="97">
        <f t="shared" si="11"/>
        <v>-3.9145289682587237E-3</v>
      </c>
      <c r="DM79" s="97">
        <f t="shared" si="11"/>
        <v>-0.12508358348080542</v>
      </c>
      <c r="DN79" s="97">
        <f t="shared" si="11"/>
        <v>0.26730538309672369</v>
      </c>
      <c r="DO79" s="97" t="str">
        <f t="shared" si="11"/>
        <v/>
      </c>
      <c r="DP79" s="97">
        <f t="shared" si="11"/>
        <v>-1.6625426834086077E-2</v>
      </c>
      <c r="DQ79" s="97">
        <f t="shared" si="11"/>
        <v>3.857115436249503E-2</v>
      </c>
      <c r="DR79" s="97">
        <f t="shared" si="11"/>
        <v>-1.4083932486140257E-2</v>
      </c>
      <c r="DS79" s="97">
        <f t="shared" si="11"/>
        <v>-1.9594817596580435E-2</v>
      </c>
      <c r="DT79" s="97" t="str">
        <f t="shared" si="11"/>
        <v/>
      </c>
      <c r="DU79" s="97">
        <f t="shared" si="11"/>
        <v>8.4745032567623224E-2</v>
      </c>
      <c r="DV79" s="97" t="str">
        <f t="shared" si="11"/>
        <v/>
      </c>
      <c r="DW79" s="97">
        <f t="shared" si="11"/>
        <v>-0.22216311137177081</v>
      </c>
      <c r="DX79" s="97" t="str">
        <f t="shared" si="11"/>
        <v/>
      </c>
      <c r="DY79" s="97">
        <f t="shared" si="11"/>
        <v>6.934038513172569E-2</v>
      </c>
      <c r="DZ79" s="97">
        <f t="shared" si="11"/>
        <v>-9.0948181263710848E-2</v>
      </c>
      <c r="EA79" s="97">
        <f t="shared" si="9"/>
        <v>1.6388685668398243E-2</v>
      </c>
      <c r="EB79" s="97">
        <f t="shared" si="4"/>
        <v>-0.38001547096492261</v>
      </c>
      <c r="EC79" s="97">
        <f t="shared" si="4"/>
        <v>-6.9759379732231341E-2</v>
      </c>
      <c r="ED79" s="97">
        <f t="shared" si="4"/>
        <v>-3.1636415845075254E-2</v>
      </c>
      <c r="EE79" s="97">
        <f t="shared" si="4"/>
        <v>1.096159009564834E-4</v>
      </c>
      <c r="EF79" s="97">
        <f t="shared" si="4"/>
        <v>-1.0216058185005266E-3</v>
      </c>
      <c r="EG79" s="97">
        <f t="shared" si="4"/>
        <v>-0.14686008106874052</v>
      </c>
      <c r="EH79" s="97">
        <f t="shared" si="4"/>
        <v>8.5751933281309145E-2</v>
      </c>
      <c r="EI79" s="97">
        <f t="shared" si="4"/>
        <v>0.15421623009372717</v>
      </c>
      <c r="EJ79" s="97" t="str">
        <f t="shared" si="4"/>
        <v/>
      </c>
      <c r="EK79" s="97">
        <f t="shared" si="4"/>
        <v>-0.20029524239863872</v>
      </c>
      <c r="EL79" s="97">
        <f t="shared" si="4"/>
        <v>-0.18526897417737251</v>
      </c>
      <c r="EM79" s="97">
        <f t="shared" si="4"/>
        <v>-0.21287739708605663</v>
      </c>
      <c r="EN79" s="97">
        <f t="shared" si="4"/>
        <v>2.1204344127817024E-2</v>
      </c>
      <c r="EO79" s="97">
        <f t="shared" si="4"/>
        <v>5.252482658954849E-2</v>
      </c>
    </row>
    <row r="80" spans="1:145" outlineLevel="1" x14ac:dyDescent="0.25">
      <c r="A80">
        <v>2021</v>
      </c>
      <c r="B80">
        <v>6</v>
      </c>
      <c r="C80" s="97">
        <f t="shared" si="3"/>
        <v>2.2691828709742068E-2</v>
      </c>
      <c r="D80" s="97">
        <f t="shared" si="3"/>
        <v>0</v>
      </c>
      <c r="E80" s="97">
        <f t="shared" si="3"/>
        <v>-0.21021239884041995</v>
      </c>
      <c r="F80" s="97">
        <f t="shared" si="3"/>
        <v>3.2607919803450458E-2</v>
      </c>
      <c r="G80" s="97" t="str">
        <f t="shared" si="3"/>
        <v/>
      </c>
      <c r="H80" s="97">
        <f t="shared" si="3"/>
        <v>0.13229472753395224</v>
      </c>
      <c r="I80" s="97" t="str">
        <f t="shared" si="3"/>
        <v/>
      </c>
      <c r="J80" s="97">
        <f t="shared" si="3"/>
        <v>6.575836788657885E-2</v>
      </c>
      <c r="K80" s="97">
        <f t="shared" si="3"/>
        <v>-9.5187104588189242E-2</v>
      </c>
      <c r="L80" s="97" t="str">
        <f t="shared" si="3"/>
        <v/>
      </c>
      <c r="M80" s="97">
        <f t="shared" si="3"/>
        <v>2.0597712895518708E-2</v>
      </c>
      <c r="N80" s="97" t="str">
        <f t="shared" si="3"/>
        <v/>
      </c>
      <c r="O80" s="97" t="str">
        <f t="shared" si="3"/>
        <v/>
      </c>
      <c r="P80" s="97">
        <f t="shared" si="3"/>
        <v>7.0300118369531872E-2</v>
      </c>
      <c r="Q80" s="97">
        <f t="shared" si="3"/>
        <v>-4.0103324809322209E-2</v>
      </c>
      <c r="R80" s="97">
        <f t="shared" si="3"/>
        <v>5.8784007004384686E-2</v>
      </c>
      <c r="S80" s="97" t="str">
        <f t="shared" si="12"/>
        <v/>
      </c>
      <c r="T80" s="97">
        <f t="shared" si="12"/>
        <v>-0.13790229112548685</v>
      </c>
      <c r="U80" s="97">
        <f t="shared" si="12"/>
        <v>-0.48624012229856417</v>
      </c>
      <c r="V80" s="97">
        <f t="shared" si="12"/>
        <v>-0.12461819539953156</v>
      </c>
      <c r="W80" s="97">
        <f t="shared" si="12"/>
        <v>5.2129148098326701E-2</v>
      </c>
      <c r="X80" s="97">
        <f t="shared" si="12"/>
        <v>0.11140357472893733</v>
      </c>
      <c r="Y80" s="97">
        <f t="shared" si="12"/>
        <v>-1.3560271723215941E-2</v>
      </c>
      <c r="Z80" s="97" t="str">
        <f t="shared" si="12"/>
        <v/>
      </c>
      <c r="AA80" s="97" t="str">
        <f t="shared" si="12"/>
        <v/>
      </c>
      <c r="AB80" s="97">
        <f t="shared" si="12"/>
        <v>1.6956024149894389E-2</v>
      </c>
      <c r="AC80" s="97">
        <f t="shared" si="12"/>
        <v>-1.2535846204977271E-2</v>
      </c>
      <c r="AD80" s="97">
        <f t="shared" si="12"/>
        <v>0.36454086387604001</v>
      </c>
      <c r="AE80" s="97">
        <f t="shared" si="12"/>
        <v>5.0256047594484987E-2</v>
      </c>
      <c r="AF80" s="97" t="str">
        <f t="shared" si="12"/>
        <v/>
      </c>
      <c r="AG80" s="97" t="str">
        <f t="shared" si="12"/>
        <v/>
      </c>
      <c r="AH80" s="97">
        <f t="shared" si="12"/>
        <v>0.89885473341868505</v>
      </c>
      <c r="AI80" s="97">
        <f t="shared" si="12"/>
        <v>5.9678715295298557E-2</v>
      </c>
      <c r="AJ80" s="97" t="str">
        <f t="shared" si="12"/>
        <v/>
      </c>
      <c r="AK80" s="97">
        <f t="shared" si="12"/>
        <v>0.10641394610132573</v>
      </c>
      <c r="AL80" s="97">
        <f t="shared" si="12"/>
        <v>-1.0245373716274762E-2</v>
      </c>
      <c r="AM80" s="97">
        <f t="shared" si="12"/>
        <v>1.8737774354357417E-2</v>
      </c>
      <c r="AN80" s="97">
        <f t="shared" si="12"/>
        <v>0.22598196770024584</v>
      </c>
      <c r="AO80" s="97">
        <f t="shared" si="12"/>
        <v>-3.5373964503143999E-2</v>
      </c>
      <c r="AP80" s="97">
        <f t="shared" si="12"/>
        <v>-5.0956401148946624E-2</v>
      </c>
      <c r="AQ80" s="97" t="str">
        <f t="shared" si="12"/>
        <v/>
      </c>
      <c r="AR80" s="97">
        <f t="shared" si="12"/>
        <v>0.52653504530952333</v>
      </c>
      <c r="AS80" s="97" t="str">
        <f t="shared" si="12"/>
        <v/>
      </c>
      <c r="AT80" s="97">
        <f t="shared" si="12"/>
        <v>0.47678175583583904</v>
      </c>
      <c r="AU80" s="97" t="str">
        <f t="shared" si="12"/>
        <v/>
      </c>
      <c r="AV80" s="97">
        <f t="shared" si="12"/>
        <v>-1.1901956285373052E-2</v>
      </c>
      <c r="AW80" s="97">
        <f t="shared" si="12"/>
        <v>-3.5633995970720145E-2</v>
      </c>
      <c r="AX80" s="97">
        <f t="shared" si="12"/>
        <v>8.6876752397049617E-2</v>
      </c>
      <c r="AY80" s="97">
        <f t="shared" si="12"/>
        <v>6.7483829826870401E-2</v>
      </c>
      <c r="AZ80" s="97">
        <f t="shared" si="12"/>
        <v>0.16935049428315885</v>
      </c>
      <c r="BA80" s="97">
        <f t="shared" si="12"/>
        <v>6.2499517011127659E-2</v>
      </c>
      <c r="BB80" s="97">
        <f t="shared" si="12"/>
        <v>-0.12725949770523737</v>
      </c>
      <c r="BC80" s="97">
        <f t="shared" si="12"/>
        <v>0.11404039404722113</v>
      </c>
      <c r="BD80" s="97">
        <f t="shared" si="12"/>
        <v>-0.26095150966468067</v>
      </c>
      <c r="BE80" s="97">
        <f t="shared" si="12"/>
        <v>3.7876159601529458E-2</v>
      </c>
      <c r="BF80" s="97">
        <f t="shared" si="12"/>
        <v>-8.52334399932555E-2</v>
      </c>
      <c r="BG80" s="97">
        <f t="shared" si="12"/>
        <v>0.17379148427928814</v>
      </c>
      <c r="BH80" s="97" t="str">
        <f t="shared" si="12"/>
        <v/>
      </c>
      <c r="BI80" s="97" t="str">
        <f t="shared" si="12"/>
        <v/>
      </c>
      <c r="BJ80" s="97">
        <f t="shared" si="12"/>
        <v>0.16492513818878035</v>
      </c>
      <c r="BK80" s="97">
        <f t="shared" si="12"/>
        <v>0.10366753169790804</v>
      </c>
      <c r="BL80" s="97">
        <f t="shared" si="12"/>
        <v>-0.11648912964601336</v>
      </c>
      <c r="BM80" s="97">
        <f t="shared" si="12"/>
        <v>1.00018645314911E-2</v>
      </c>
      <c r="BN80" s="97" t="str">
        <f t="shared" si="12"/>
        <v/>
      </c>
      <c r="BO80" s="97">
        <f t="shared" si="12"/>
        <v>0.15514883330062773</v>
      </c>
      <c r="BP80" s="97">
        <f t="shared" si="12"/>
        <v>-0.21978074416416107</v>
      </c>
      <c r="BQ80" s="97">
        <f t="shared" si="12"/>
        <v>-2.7547218593282356E-3</v>
      </c>
      <c r="BR80" s="97">
        <f t="shared" si="12"/>
        <v>0.16321485054949553</v>
      </c>
      <c r="BS80" s="97">
        <f t="shared" si="12"/>
        <v>3.5996977226349196E-2</v>
      </c>
      <c r="BT80" s="97">
        <f t="shared" si="12"/>
        <v>0.59332270411170096</v>
      </c>
      <c r="BU80" s="97" t="str">
        <f t="shared" si="12"/>
        <v/>
      </c>
      <c r="BV80" s="97">
        <f t="shared" si="12"/>
        <v>-1.2280744164160922E-2</v>
      </c>
      <c r="BW80" s="97">
        <f t="shared" si="12"/>
        <v>-2.5315441417055324E-3</v>
      </c>
      <c r="BX80" s="97">
        <f t="shared" si="12"/>
        <v>-2.6428229850782081E-2</v>
      </c>
      <c r="BY80" s="97" t="str">
        <f t="shared" si="12"/>
        <v/>
      </c>
      <c r="BZ80" s="97">
        <f t="shared" si="12"/>
        <v>-0.17062356876552767</v>
      </c>
      <c r="CA80" s="97">
        <f t="shared" si="12"/>
        <v>0.15153504530952333</v>
      </c>
      <c r="CB80" s="97">
        <f t="shared" si="12"/>
        <v>0.11483267979505733</v>
      </c>
      <c r="CC80" s="97">
        <f t="shared" si="12"/>
        <v>0.14931282187082745</v>
      </c>
      <c r="CD80" s="97">
        <f t="shared" si="12"/>
        <v>0.14776023944239655</v>
      </c>
      <c r="CE80" s="97">
        <f t="shared" si="11"/>
        <v>-4.9614631207350324E-2</v>
      </c>
      <c r="CF80" s="97">
        <f t="shared" si="11"/>
        <v>0.11860365695004514</v>
      </c>
      <c r="CG80" s="97" t="str">
        <f t="shared" si="11"/>
        <v/>
      </c>
      <c r="CH80" s="97" t="str">
        <f t="shared" si="11"/>
        <v/>
      </c>
      <c r="CI80" s="97" t="str">
        <f t="shared" si="11"/>
        <v/>
      </c>
      <c r="CJ80" s="97">
        <f t="shared" si="11"/>
        <v>8.3433335556489463E-2</v>
      </c>
      <c r="CK80" s="97">
        <f t="shared" si="11"/>
        <v>-4.9596764543442085E-2</v>
      </c>
      <c r="CL80" s="97">
        <f t="shared" si="11"/>
        <v>-5.0140456394376809E-2</v>
      </c>
      <c r="CM80" s="97" t="str">
        <f t="shared" si="11"/>
        <v/>
      </c>
      <c r="CN80" s="97">
        <f t="shared" si="11"/>
        <v>-0.47159892598234276</v>
      </c>
      <c r="CO80" s="97">
        <f t="shared" si="11"/>
        <v>-0.30255841397902627</v>
      </c>
      <c r="CP80" s="97">
        <f t="shared" si="11"/>
        <v>-0.34506907046514546</v>
      </c>
      <c r="CQ80" s="97">
        <f t="shared" si="11"/>
        <v>-2.5879645263062082E-2</v>
      </c>
      <c r="CR80" s="97" t="str">
        <f t="shared" si="11"/>
        <v/>
      </c>
      <c r="CS80" s="97">
        <f t="shared" si="11"/>
        <v>-2.2822218818538853E-2</v>
      </c>
      <c r="CT80" s="97">
        <f t="shared" si="11"/>
        <v>-2.4859114070117091E-2</v>
      </c>
      <c r="CU80" s="97">
        <f t="shared" si="11"/>
        <v>0.16167758916917255</v>
      </c>
      <c r="CV80" s="97">
        <f t="shared" si="11"/>
        <v>2.9061279033560598E-2</v>
      </c>
      <c r="CW80" s="97">
        <f t="shared" si="11"/>
        <v>4.4935518117772077E-2</v>
      </c>
      <c r="CX80" s="97">
        <f t="shared" si="11"/>
        <v>3.8408194429451203E-4</v>
      </c>
      <c r="CY80" s="97">
        <f t="shared" si="11"/>
        <v>0.33192657290900984</v>
      </c>
      <c r="CZ80" s="97">
        <f t="shared" si="11"/>
        <v>1.1322033826196459E-2</v>
      </c>
      <c r="DA80" s="97">
        <f t="shared" si="11"/>
        <v>-4.2213558874203409E-2</v>
      </c>
      <c r="DB80" s="97">
        <f t="shared" si="11"/>
        <v>-3.1051535913994559E-2</v>
      </c>
      <c r="DC80" s="97">
        <f t="shared" si="11"/>
        <v>-1.0292942945570036E-3</v>
      </c>
      <c r="DD80" s="97">
        <f t="shared" si="11"/>
        <v>0.29188874831916695</v>
      </c>
      <c r="DE80" s="97">
        <f t="shared" si="11"/>
        <v>3.3222556165871997E-2</v>
      </c>
      <c r="DF80" s="97">
        <f t="shared" si="11"/>
        <v>0.11789792321896644</v>
      </c>
      <c r="DG80" s="97" t="str">
        <f t="shared" si="11"/>
        <v/>
      </c>
      <c r="DH80" s="97" t="str">
        <f t="shared" si="11"/>
        <v/>
      </c>
      <c r="DI80" s="97">
        <f t="shared" si="11"/>
        <v>-7.4368775387057884E-2</v>
      </c>
      <c r="DJ80" s="97">
        <f t="shared" si="11"/>
        <v>-2.7780744164160872E-2</v>
      </c>
      <c r="DK80" s="97">
        <f t="shared" si="11"/>
        <v>0.58478898877352437</v>
      </c>
      <c r="DL80" s="97">
        <f t="shared" si="11"/>
        <v>2.2394578560410716E-3</v>
      </c>
      <c r="DM80" s="97">
        <f t="shared" si="11"/>
        <v>7.972455618919605E-2</v>
      </c>
      <c r="DN80" s="97">
        <f t="shared" si="11"/>
        <v>-0.23151352078211496</v>
      </c>
      <c r="DO80" s="97" t="str">
        <f t="shared" si="11"/>
        <v/>
      </c>
      <c r="DP80" s="97">
        <f t="shared" si="11"/>
        <v>-0.10899303185039737</v>
      </c>
      <c r="DQ80" s="97">
        <f t="shared" si="11"/>
        <v>-5.9535836703338285E-3</v>
      </c>
      <c r="DR80" s="97">
        <f t="shared" si="11"/>
        <v>-3.9047759870967202E-2</v>
      </c>
      <c r="DS80" s="97">
        <f t="shared" si="11"/>
        <v>3.1710043105520731E-2</v>
      </c>
      <c r="DT80" s="97" t="str">
        <f t="shared" si="11"/>
        <v/>
      </c>
      <c r="DU80" s="97">
        <f t="shared" si="11"/>
        <v>-0.13003284500449705</v>
      </c>
      <c r="DV80" s="97" t="str">
        <f t="shared" si="11"/>
        <v/>
      </c>
      <c r="DW80" s="97">
        <f t="shared" si="11"/>
        <v>-0.28324070909694876</v>
      </c>
      <c r="DX80" s="97" t="str">
        <f t="shared" si="11"/>
        <v/>
      </c>
      <c r="DY80" s="97">
        <f t="shared" si="11"/>
        <v>-6.9749887684774636E-3</v>
      </c>
      <c r="DZ80" s="97">
        <f t="shared" si="11"/>
        <v>8.4802339219162248E-2</v>
      </c>
      <c r="EA80" s="97">
        <f t="shared" si="9"/>
        <v>0.44186685308984364</v>
      </c>
      <c r="EB80" s="97">
        <f t="shared" si="4"/>
        <v>3.609369529772255E-2</v>
      </c>
      <c r="EC80" s="97">
        <f t="shared" si="4"/>
        <v>5.655728400485327E-2</v>
      </c>
      <c r="ED80" s="97">
        <f t="shared" si="4"/>
        <v>6.579302632764239E-2</v>
      </c>
      <c r="EE80" s="97">
        <f t="shared" si="4"/>
        <v>-1.6309669783995621E-2</v>
      </c>
      <c r="EF80" s="97">
        <f t="shared" si="4"/>
        <v>-8.5850959339698885E-2</v>
      </c>
      <c r="EG80" s="97">
        <f t="shared" si="4"/>
        <v>3.7716537044004683E-3</v>
      </c>
      <c r="EH80" s="97">
        <f t="shared" si="4"/>
        <v>5.5903710592219658E-2</v>
      </c>
      <c r="EI80" s="97">
        <f t="shared" si="4"/>
        <v>-6.2121378860483634E-2</v>
      </c>
      <c r="EJ80" s="97" t="str">
        <f t="shared" si="4"/>
        <v/>
      </c>
      <c r="EK80" s="97">
        <f t="shared" si="4"/>
        <v>-0.11117314922745206</v>
      </c>
      <c r="EL80" s="97">
        <f t="shared" si="4"/>
        <v>0.30470643532301855</v>
      </c>
      <c r="EM80" s="97">
        <f t="shared" si="4"/>
        <v>-4.268503459320383E-2</v>
      </c>
      <c r="EN80" s="97">
        <f t="shared" si="4"/>
        <v>5.5007902243952578E-2</v>
      </c>
      <c r="EO80" s="97">
        <f t="shared" si="4"/>
        <v>0.25217238083583904</v>
      </c>
    </row>
    <row r="81" spans="1:145" outlineLevel="1" x14ac:dyDescent="0.25">
      <c r="A81">
        <v>2021</v>
      </c>
      <c r="B81">
        <v>7</v>
      </c>
      <c r="C81" s="97">
        <f t="shared" si="3"/>
        <v>2.4520876081216114E-2</v>
      </c>
      <c r="D81" s="97">
        <f t="shared" si="3"/>
        <v>0</v>
      </c>
      <c r="E81" s="97">
        <f t="shared" si="3"/>
        <v>-0.1496637896519383</v>
      </c>
      <c r="F81" s="97">
        <f t="shared" si="3"/>
        <v>-4.3028834986700848E-2</v>
      </c>
      <c r="G81" s="97" t="str">
        <f t="shared" si="3"/>
        <v/>
      </c>
      <c r="H81" s="97">
        <f t="shared" si="3"/>
        <v>-6.527619546935548E-2</v>
      </c>
      <c r="I81" s="97" t="str">
        <f t="shared" si="3"/>
        <v/>
      </c>
      <c r="J81" s="97">
        <f t="shared" si="3"/>
        <v>3.9294927851767802E-2</v>
      </c>
      <c r="K81" s="97">
        <f t="shared" si="3"/>
        <v>-3.7000955084740217E-2</v>
      </c>
      <c r="L81" s="97">
        <f t="shared" si="3"/>
        <v>6.4389944841946045E-2</v>
      </c>
      <c r="M81" s="97">
        <f t="shared" si="3"/>
        <v>-3.1845931011986843E-2</v>
      </c>
      <c r="N81" s="97" t="str">
        <f t="shared" si="3"/>
        <v/>
      </c>
      <c r="O81" s="97" t="str">
        <f t="shared" si="3"/>
        <v/>
      </c>
      <c r="P81" s="97">
        <f t="shared" si="3"/>
        <v>-0.18125178159607511</v>
      </c>
      <c r="Q81" s="97">
        <f t="shared" si="3"/>
        <v>-0.15989158008474011</v>
      </c>
      <c r="R81" s="97">
        <f t="shared" si="3"/>
        <v>0.31309543290227282</v>
      </c>
      <c r="S81" s="97" t="str">
        <f t="shared" si="12"/>
        <v/>
      </c>
      <c r="T81" s="97">
        <f t="shared" si="12"/>
        <v>-0.1921992723924324</v>
      </c>
      <c r="U81" s="97">
        <f t="shared" si="12"/>
        <v>-6.1415017584740217E-2</v>
      </c>
      <c r="V81" s="97">
        <f t="shared" si="12"/>
        <v>0.15464036642343221</v>
      </c>
      <c r="W81" s="97">
        <f t="shared" si="12"/>
        <v>0.1658439878854647</v>
      </c>
      <c r="X81" s="97">
        <f t="shared" si="12"/>
        <v>-0.27961289642034631</v>
      </c>
      <c r="Y81" s="97">
        <f t="shared" si="12"/>
        <v>-0.2074764104240614</v>
      </c>
      <c r="Z81" s="97" t="str">
        <f t="shared" si="12"/>
        <v/>
      </c>
      <c r="AA81" s="97" t="str">
        <f t="shared" si="12"/>
        <v/>
      </c>
      <c r="AB81" s="97">
        <f t="shared" si="12"/>
        <v>2.3300697774434335E-2</v>
      </c>
      <c r="AC81" s="97">
        <f t="shared" si="12"/>
        <v>-1.4419676816393998E-3</v>
      </c>
      <c r="AD81" s="97">
        <f t="shared" si="12"/>
        <v>-0.2337773996059187</v>
      </c>
      <c r="AE81" s="97">
        <f t="shared" si="12"/>
        <v>-0.16106887510926732</v>
      </c>
      <c r="AF81" s="97" t="str">
        <f t="shared" si="12"/>
        <v/>
      </c>
      <c r="AG81" s="97" t="str">
        <f t="shared" si="12"/>
        <v/>
      </c>
      <c r="AH81" s="97">
        <f t="shared" si="12"/>
        <v>1.0375360367005143E-2</v>
      </c>
      <c r="AI81" s="97">
        <f t="shared" si="12"/>
        <v>-0.12234055967657691</v>
      </c>
      <c r="AJ81" s="97" t="str">
        <f t="shared" si="12"/>
        <v/>
      </c>
      <c r="AK81" s="97">
        <f t="shared" si="12"/>
        <v>-7.1891580084740059E-2</v>
      </c>
      <c r="AL81" s="97">
        <f t="shared" si="12"/>
        <v>5.2984900456715112E-2</v>
      </c>
      <c r="AM81" s="97">
        <f t="shared" si="12"/>
        <v>-5.5800670993831014E-2</v>
      </c>
      <c r="AN81" s="97">
        <f t="shared" si="12"/>
        <v>0.12013054380906539</v>
      </c>
      <c r="AO81" s="97">
        <f t="shared" si="12"/>
        <v>0.14246342870260609</v>
      </c>
      <c r="AP81" s="97">
        <f t="shared" si="12"/>
        <v>-0.15295280457453611</v>
      </c>
      <c r="AQ81" s="97" t="str">
        <f t="shared" si="12"/>
        <v/>
      </c>
      <c r="AR81" s="97">
        <f t="shared" si="12"/>
        <v>-0.45678813180887801</v>
      </c>
      <c r="AS81" s="97" t="str">
        <f t="shared" si="12"/>
        <v/>
      </c>
      <c r="AT81" s="97">
        <f t="shared" si="12"/>
        <v>-0.1850767652699252</v>
      </c>
      <c r="AU81" s="97" t="str">
        <f t="shared" si="12"/>
        <v/>
      </c>
      <c r="AV81" s="97">
        <f t="shared" si="12"/>
        <v>-0.13486090523811439</v>
      </c>
      <c r="AW81" s="97">
        <f t="shared" si="12"/>
        <v>5.1420037096003623E-2</v>
      </c>
      <c r="AX81" s="97">
        <f t="shared" si="12"/>
        <v>-0.31761309907208191</v>
      </c>
      <c r="AY81" s="97">
        <f t="shared" si="12"/>
        <v>-0.1973705716813787</v>
      </c>
      <c r="AZ81" s="97">
        <f t="shared" si="12"/>
        <v>-0.14455561170529352</v>
      </c>
      <c r="BA81" s="97">
        <f t="shared" si="12"/>
        <v>-0.27223200561665489</v>
      </c>
      <c r="BB81" s="97">
        <f t="shared" si="12"/>
        <v>-0.16547599566915572</v>
      </c>
      <c r="BC81" s="97">
        <f t="shared" si="12"/>
        <v>-0.1823733319095576</v>
      </c>
      <c r="BD81" s="97">
        <f t="shared" si="12"/>
        <v>-0.17898206297269131</v>
      </c>
      <c r="BE81" s="97">
        <f t="shared" si="12"/>
        <v>-0.1470689994395788</v>
      </c>
      <c r="BF81" s="97">
        <f t="shared" si="12"/>
        <v>-8.5542303110324069E-2</v>
      </c>
      <c r="BG81" s="97">
        <f t="shared" si="12"/>
        <v>-0.3023724961152745</v>
      </c>
      <c r="BH81" s="97" t="str">
        <f t="shared" si="12"/>
        <v/>
      </c>
      <c r="BI81" s="97" t="str">
        <f t="shared" si="12"/>
        <v/>
      </c>
      <c r="BJ81" s="97">
        <f t="shared" si="12"/>
        <v>-0.22211380230696232</v>
      </c>
      <c r="BK81" s="97">
        <f t="shared" si="12"/>
        <v>-0.19364158008474011</v>
      </c>
      <c r="BL81" s="97">
        <f t="shared" si="12"/>
        <v>-7.3217828756366066E-2</v>
      </c>
      <c r="BM81" s="97">
        <f t="shared" si="12"/>
        <v>-3.9719351882371856E-2</v>
      </c>
      <c r="BN81" s="97" t="str">
        <f t="shared" si="12"/>
        <v/>
      </c>
      <c r="BO81" s="97">
        <f t="shared" si="12"/>
        <v>7.9376712598186794E-2</v>
      </c>
      <c r="BP81" s="97">
        <f t="shared" si="12"/>
        <v>-0.29405112424428431</v>
      </c>
      <c r="BQ81" s="97">
        <f t="shared" si="12"/>
        <v>5.7528255858585675E-2</v>
      </c>
      <c r="BR81" s="97">
        <f t="shared" si="12"/>
        <v>-0.20443703463019472</v>
      </c>
      <c r="BS81" s="97">
        <f t="shared" si="12"/>
        <v>-0.15888227092256479</v>
      </c>
      <c r="BT81" s="97">
        <f t="shared" si="12"/>
        <v>-0.66270543289859285</v>
      </c>
      <c r="BU81" s="97" t="str">
        <f t="shared" si="12"/>
        <v/>
      </c>
      <c r="BV81" s="97">
        <f t="shared" si="12"/>
        <v>-0.11381563071765151</v>
      </c>
      <c r="BW81" s="97">
        <f t="shared" si="12"/>
        <v>-4.5602005664564293E-2</v>
      </c>
      <c r="BX81" s="97">
        <f t="shared" si="12"/>
        <v>4.5391897811789317E-2</v>
      </c>
      <c r="BY81" s="97" t="str">
        <f t="shared" si="12"/>
        <v/>
      </c>
      <c r="BZ81" s="97">
        <f t="shared" si="12"/>
        <v>-0.30758388777704782</v>
      </c>
      <c r="CA81" s="97">
        <f t="shared" si="12"/>
        <v>-0.10989158008474011</v>
      </c>
      <c r="CB81" s="97">
        <f t="shared" si="12"/>
        <v>-0.1346579494726507</v>
      </c>
      <c r="CC81" s="97">
        <f t="shared" si="12"/>
        <v>6.1018125904764853E-2</v>
      </c>
      <c r="CD81" s="97">
        <f t="shared" si="12"/>
        <v>-5.7034437227597268E-2</v>
      </c>
      <c r="CE81" s="97">
        <f t="shared" si="11"/>
        <v>-0.19569577588893591</v>
      </c>
      <c r="CF81" s="97">
        <f t="shared" si="11"/>
        <v>-0.1978990520648147</v>
      </c>
      <c r="CG81" s="97" t="str">
        <f t="shared" si="11"/>
        <v/>
      </c>
      <c r="CH81" s="97" t="str">
        <f t="shared" si="11"/>
        <v/>
      </c>
      <c r="CI81" s="97" t="str">
        <f t="shared" si="11"/>
        <v/>
      </c>
      <c r="CJ81" s="97">
        <f t="shared" si="11"/>
        <v>-1.1463512141193675E-2</v>
      </c>
      <c r="CK81" s="97">
        <f t="shared" si="11"/>
        <v>2.1109313570308874E-2</v>
      </c>
      <c r="CL81" s="97">
        <f t="shared" si="11"/>
        <v>-7.9728409921570043E-2</v>
      </c>
      <c r="CM81" s="97" t="str">
        <f t="shared" si="11"/>
        <v/>
      </c>
      <c r="CN81" s="97">
        <f t="shared" si="11"/>
        <v>0.3064767503799759</v>
      </c>
      <c r="CO81" s="97">
        <f t="shared" si="11"/>
        <v>-0.28276021702694182</v>
      </c>
      <c r="CP81" s="97">
        <f t="shared" si="11"/>
        <v>-7.185720844134591E-2</v>
      </c>
      <c r="CQ81" s="97">
        <f t="shared" si="11"/>
        <v>-0.2234458819183085</v>
      </c>
      <c r="CR81" s="97">
        <f t="shared" si="11"/>
        <v>-4.1199186680489948E-2</v>
      </c>
      <c r="CS81" s="97">
        <f t="shared" si="11"/>
        <v>-2.2802631297678125E-2</v>
      </c>
      <c r="CT81" s="97">
        <f t="shared" si="11"/>
        <v>-8.6708300341974742E-2</v>
      </c>
      <c r="CU81" s="97">
        <f t="shared" si="11"/>
        <v>6.0646536507187987E-2</v>
      </c>
      <c r="CV81" s="97">
        <f t="shared" si="11"/>
        <v>-0.1802901805370801</v>
      </c>
      <c r="CW81" s="97">
        <f t="shared" si="11"/>
        <v>8.7456559997127759E-3</v>
      </c>
      <c r="CX81" s="97">
        <f t="shared" si="11"/>
        <v>-2.8401797619347805E-2</v>
      </c>
      <c r="CY81" s="97">
        <f t="shared" si="11"/>
        <v>-0.26973284992600999</v>
      </c>
      <c r="CZ81" s="97">
        <f t="shared" si="11"/>
        <v>0.103280668342457</v>
      </c>
      <c r="DA81" s="97">
        <f t="shared" si="11"/>
        <v>-5.1590250690353057E-2</v>
      </c>
      <c r="DB81" s="97">
        <f t="shared" si="11"/>
        <v>-0.30621026140342139</v>
      </c>
      <c r="DC81" s="97">
        <f t="shared" si="11"/>
        <v>4.7654553201251781E-2</v>
      </c>
      <c r="DD81" s="97">
        <f t="shared" si="11"/>
        <v>0.15496429264221429</v>
      </c>
      <c r="DE81" s="97">
        <f t="shared" si="11"/>
        <v>-2.8645573694963785E-2</v>
      </c>
      <c r="DF81" s="97">
        <f t="shared" si="11"/>
        <v>-0.18758388777704782</v>
      </c>
      <c r="DG81" s="97" t="str">
        <f t="shared" si="11"/>
        <v/>
      </c>
      <c r="DH81" s="97" t="str">
        <f t="shared" si="11"/>
        <v/>
      </c>
      <c r="DI81" s="97">
        <f t="shared" si="11"/>
        <v>-0.18764540701382471</v>
      </c>
      <c r="DJ81" s="97">
        <f t="shared" si="11"/>
        <v>-0.27972697103124222</v>
      </c>
      <c r="DK81" s="97">
        <f t="shared" si="11"/>
        <v>-0.1861041269012195</v>
      </c>
      <c r="DL81" s="97">
        <f t="shared" si="11"/>
        <v>4.1406779797761297E-3</v>
      </c>
      <c r="DM81" s="97">
        <f t="shared" si="11"/>
        <v>-0.10300123638588581</v>
      </c>
      <c r="DN81" s="97">
        <f t="shared" si="11"/>
        <v>-5.2880710519522818E-2</v>
      </c>
      <c r="DO81" s="97" t="str">
        <f t="shared" si="11"/>
        <v/>
      </c>
      <c r="DP81" s="97">
        <f t="shared" si="11"/>
        <v>1.4433445774468813E-2</v>
      </c>
      <c r="DQ81" s="97">
        <f t="shared" si="11"/>
        <v>-5.5792201202752523E-2</v>
      </c>
      <c r="DR81" s="97">
        <f t="shared" si="11"/>
        <v>-8.5722642755039935E-2</v>
      </c>
      <c r="DS81" s="97">
        <f t="shared" si="11"/>
        <v>-0.14474380483303512</v>
      </c>
      <c r="DT81" s="97" t="str">
        <f t="shared" si="11"/>
        <v/>
      </c>
      <c r="DU81" s="97">
        <f t="shared" si="11"/>
        <v>-0.22107860561959169</v>
      </c>
      <c r="DV81" s="97" t="str">
        <f t="shared" si="11"/>
        <v/>
      </c>
      <c r="DW81" s="97">
        <f t="shared" si="11"/>
        <v>-0.38814606621850839</v>
      </c>
      <c r="DX81" s="97" t="str">
        <f t="shared" si="11"/>
        <v/>
      </c>
      <c r="DY81" s="97">
        <f t="shared" si="11"/>
        <v>-0.14481911631662411</v>
      </c>
      <c r="DZ81" s="97">
        <f t="shared" si="11"/>
        <v>-0.19181635884580212</v>
      </c>
      <c r="EA81" s="97">
        <f t="shared" si="9"/>
        <v>-0.21417729437045441</v>
      </c>
      <c r="EB81" s="97">
        <f t="shared" si="4"/>
        <v>-0.28271986291302298</v>
      </c>
      <c r="EC81" s="97">
        <f t="shared" si="4"/>
        <v>-0.15544713564029572</v>
      </c>
      <c r="ED81" s="97">
        <f t="shared" si="4"/>
        <v>-0.1383531185462786</v>
      </c>
      <c r="EE81" s="97">
        <f t="shared" si="4"/>
        <v>-0.15955544563095861</v>
      </c>
      <c r="EF81" s="97">
        <f t="shared" si="4"/>
        <v>-0.1485904648431044</v>
      </c>
      <c r="EG81" s="97">
        <f t="shared" si="4"/>
        <v>-5.2988925217483558E-2</v>
      </c>
      <c r="EH81" s="97">
        <f t="shared" si="4"/>
        <v>-2.1869602062762117E-2</v>
      </c>
      <c r="EI81" s="97">
        <f t="shared" si="4"/>
        <v>-1.5282244119403935E-2</v>
      </c>
      <c r="EJ81" s="97" t="str">
        <f t="shared" si="4"/>
        <v/>
      </c>
      <c r="EK81" s="97">
        <f t="shared" si="4"/>
        <v>-0.2306608108539708</v>
      </c>
      <c r="EL81" s="97">
        <f t="shared" si="4"/>
        <v>-0.2455918257849859</v>
      </c>
      <c r="EM81" s="97">
        <f t="shared" si="4"/>
        <v>-0.110236407670947</v>
      </c>
      <c r="EN81" s="97">
        <f t="shared" si="4"/>
        <v>8.9147000641679019E-2</v>
      </c>
      <c r="EO81" s="97">
        <f t="shared" si="4"/>
        <v>-0.21284009802545781</v>
      </c>
    </row>
    <row r="82" spans="1:145" outlineLevel="1" x14ac:dyDescent="0.25">
      <c r="A82">
        <v>2021</v>
      </c>
      <c r="B82">
        <v>8</v>
      </c>
      <c r="C82" s="97">
        <f t="shared" ref="C82:BN85" si="13">IF(ISBLANK(C19),"",C19-$D19)</f>
        <v>2.9869749332129603E-2</v>
      </c>
      <c r="D82" s="97">
        <f t="shared" si="13"/>
        <v>0</v>
      </c>
      <c r="E82" s="97">
        <f t="shared" si="13"/>
        <v>8.5843086488478937E-2</v>
      </c>
      <c r="F82" s="97">
        <f t="shared" si="13"/>
        <v>0.68043753270195584</v>
      </c>
      <c r="G82" s="97" t="str">
        <f t="shared" si="13"/>
        <v/>
      </c>
      <c r="H82" s="97">
        <f t="shared" si="13"/>
        <v>-0.10414273669919996</v>
      </c>
      <c r="I82" s="97" t="str">
        <f t="shared" si="13"/>
        <v/>
      </c>
      <c r="J82" s="97">
        <f t="shared" si="13"/>
        <v>-6.146551514811649E-2</v>
      </c>
      <c r="K82" s="97">
        <f t="shared" si="13"/>
        <v>0.14412589103002424</v>
      </c>
      <c r="L82" s="97">
        <f t="shared" si="13"/>
        <v>-6.9933320830322443E-2</v>
      </c>
      <c r="M82" s="97">
        <f t="shared" si="13"/>
        <v>-0.10599113190647136</v>
      </c>
      <c r="N82" s="97" t="str">
        <f t="shared" si="13"/>
        <v/>
      </c>
      <c r="O82" s="97" t="str">
        <f t="shared" si="13"/>
        <v/>
      </c>
      <c r="P82" s="97">
        <f t="shared" si="13"/>
        <v>0.40934043308026613</v>
      </c>
      <c r="Q82" s="97">
        <f t="shared" si="13"/>
        <v>-8.8625830348182166E-2</v>
      </c>
      <c r="R82" s="97">
        <f t="shared" si="13"/>
        <v>-0.14717025702092845</v>
      </c>
      <c r="S82" s="97" t="str">
        <f t="shared" si="13"/>
        <v/>
      </c>
      <c r="T82" s="97">
        <f t="shared" si="13"/>
        <v>-0.15068398694415386</v>
      </c>
      <c r="U82" s="97">
        <f t="shared" si="13"/>
        <v>0.10208677102951765</v>
      </c>
      <c r="V82" s="97">
        <f t="shared" si="13"/>
        <v>6.7033730773563782E-2</v>
      </c>
      <c r="W82" s="97">
        <f t="shared" si="13"/>
        <v>0.18701062231595045</v>
      </c>
      <c r="X82" s="97">
        <f t="shared" si="13"/>
        <v>-0.47138652878273207</v>
      </c>
      <c r="Y82" s="97">
        <f t="shared" si="13"/>
        <v>-4.2711494840679598E-2</v>
      </c>
      <c r="Z82" s="97" t="str">
        <f t="shared" si="13"/>
        <v/>
      </c>
      <c r="AA82" s="97" t="str">
        <f t="shared" si="13"/>
        <v/>
      </c>
      <c r="AB82" s="97">
        <f t="shared" si="13"/>
        <v>-1.4772286268847856E-2</v>
      </c>
      <c r="AC82" s="97">
        <f t="shared" si="13"/>
        <v>1.096638494968438E-4</v>
      </c>
      <c r="AD82" s="97">
        <f t="shared" si="13"/>
        <v>5.2994279234112263E-2</v>
      </c>
      <c r="AE82" s="97">
        <f t="shared" si="13"/>
        <v>0.31840540319786803</v>
      </c>
      <c r="AF82" s="97" t="str">
        <f t="shared" si="13"/>
        <v/>
      </c>
      <c r="AG82" s="97" t="str">
        <f t="shared" si="13"/>
        <v/>
      </c>
      <c r="AH82" s="97">
        <f t="shared" si="13"/>
        <v>0.40051616791453742</v>
      </c>
      <c r="AI82" s="97">
        <f t="shared" si="13"/>
        <v>-1.1518243127247366E-2</v>
      </c>
      <c r="AJ82" s="97" t="str">
        <f t="shared" si="13"/>
        <v/>
      </c>
      <c r="AK82" s="97">
        <f t="shared" si="13"/>
        <v>8.7303535046692193E-3</v>
      </c>
      <c r="AL82" s="97">
        <f t="shared" si="13"/>
        <v>-0.17506108745624835</v>
      </c>
      <c r="AM82" s="97">
        <f t="shared" si="13"/>
        <v>2.4664309973714493E-2</v>
      </c>
      <c r="AN82" s="97">
        <f t="shared" si="13"/>
        <v>-0.15322366948383645</v>
      </c>
      <c r="AO82" s="97">
        <f t="shared" si="13"/>
        <v>-0.11373648999665706</v>
      </c>
      <c r="AP82" s="97">
        <f t="shared" si="13"/>
        <v>0.11198573958099424</v>
      </c>
      <c r="AQ82" s="97" t="str">
        <f t="shared" si="13"/>
        <v/>
      </c>
      <c r="AR82" s="97">
        <f t="shared" si="13"/>
        <v>0.19058585432568734</v>
      </c>
      <c r="AS82" s="97" t="str">
        <f t="shared" si="13"/>
        <v/>
      </c>
      <c r="AT82" s="97">
        <f t="shared" si="13"/>
        <v>0.13647330021313303</v>
      </c>
      <c r="AU82" s="97" t="str">
        <f t="shared" si="13"/>
        <v/>
      </c>
      <c r="AV82" s="97">
        <f t="shared" si="13"/>
        <v>-1.4074733313623636E-2</v>
      </c>
      <c r="AW82" s="97">
        <f t="shared" si="13"/>
        <v>-8.4617509169422678E-2</v>
      </c>
      <c r="AX82" s="97">
        <f t="shared" si="13"/>
        <v>-0.11120759032490016</v>
      </c>
      <c r="AY82" s="97">
        <f t="shared" si="13"/>
        <v>4.1994480603423597E-2</v>
      </c>
      <c r="AZ82" s="97">
        <f t="shared" si="13"/>
        <v>-2.0223053340891365E-2</v>
      </c>
      <c r="BA82" s="97">
        <f t="shared" si="13"/>
        <v>-0.15388643751502565</v>
      </c>
      <c r="BB82" s="97">
        <f t="shared" si="13"/>
        <v>2.5401492643271073E-2</v>
      </c>
      <c r="BC82" s="97">
        <f t="shared" si="13"/>
        <v>4.4752520992353821E-2</v>
      </c>
      <c r="BD82" s="97">
        <f t="shared" si="13"/>
        <v>-9.5264408109383858E-2</v>
      </c>
      <c r="BE82" s="97">
        <f t="shared" si="13"/>
        <v>0.30034607046888223</v>
      </c>
      <c r="BF82" s="97">
        <f t="shared" si="13"/>
        <v>0.33100990715849915</v>
      </c>
      <c r="BG82" s="97">
        <f t="shared" si="13"/>
        <v>3.0630371604295239</v>
      </c>
      <c r="BH82" s="97">
        <f t="shared" si="13"/>
        <v>0.11026194811345634</v>
      </c>
      <c r="BI82" s="97" t="str">
        <f t="shared" si="13"/>
        <v/>
      </c>
      <c r="BJ82" s="97">
        <f t="shared" si="13"/>
        <v>4.5564209304042251E-2</v>
      </c>
      <c r="BK82" s="97">
        <f t="shared" si="13"/>
        <v>5.4373229740969801E-2</v>
      </c>
      <c r="BL82" s="97">
        <f t="shared" si="13"/>
        <v>0.29559896048558243</v>
      </c>
      <c r="BM82" s="97">
        <f t="shared" si="13"/>
        <v>0.18845047102438464</v>
      </c>
      <c r="BN82" s="97" t="str">
        <f t="shared" si="13"/>
        <v/>
      </c>
      <c r="BO82" s="97">
        <f t="shared" si="12"/>
        <v>-7.8986381348243317E-2</v>
      </c>
      <c r="BP82" s="97">
        <f t="shared" si="12"/>
        <v>0.29879785759319005</v>
      </c>
      <c r="BQ82" s="97">
        <f t="shared" si="12"/>
        <v>7.6273274568819938E-2</v>
      </c>
      <c r="BR82" s="97">
        <f t="shared" si="12"/>
        <v>5.9633473373306371E-2</v>
      </c>
      <c r="BS82" s="97">
        <f t="shared" si="12"/>
        <v>-3.2806153220121474E-2</v>
      </c>
      <c r="BT82" s="97">
        <f t="shared" si="12"/>
        <v>-0.13970289231945934</v>
      </c>
      <c r="BU82" s="97" t="str">
        <f t="shared" si="12"/>
        <v/>
      </c>
      <c r="BV82" s="97">
        <f t="shared" si="12"/>
        <v>-0.14274747900764606</v>
      </c>
      <c r="BW82" s="97">
        <f t="shared" si="12"/>
        <v>-0.22293186517362726</v>
      </c>
      <c r="BX82" s="97">
        <f t="shared" si="12"/>
        <v>1.1510967095716534E-2</v>
      </c>
      <c r="BY82" s="97" t="str">
        <f t="shared" si="12"/>
        <v/>
      </c>
      <c r="BZ82" s="97">
        <f t="shared" si="12"/>
        <v>-0.26973160599177304</v>
      </c>
      <c r="CA82" s="97">
        <f t="shared" si="12"/>
        <v>-1.4954725871003662E-3</v>
      </c>
      <c r="CB82" s="97">
        <f t="shared" si="12"/>
        <v>0.16564573996613866</v>
      </c>
      <c r="CC82" s="97">
        <f t="shared" si="12"/>
        <v>6.4271370050583698E-2</v>
      </c>
      <c r="CD82" s="97">
        <f t="shared" si="12"/>
        <v>-7.4660937262608362E-3</v>
      </c>
      <c r="CE82" s="97">
        <f t="shared" si="11"/>
        <v>0.16097922906688814</v>
      </c>
      <c r="CF82" s="97">
        <f t="shared" si="11"/>
        <v>0.10880531602340975</v>
      </c>
      <c r="CG82" s="97" t="str">
        <f t="shared" si="11"/>
        <v/>
      </c>
      <c r="CH82" s="97" t="str">
        <f t="shared" si="11"/>
        <v/>
      </c>
      <c r="CI82" s="97" t="str">
        <f t="shared" si="11"/>
        <v/>
      </c>
      <c r="CJ82" s="97">
        <f t="shared" si="11"/>
        <v>-7.4351434536205074E-3</v>
      </c>
      <c r="CK82" s="97">
        <f t="shared" si="11"/>
        <v>-1.7833443371509716E-2</v>
      </c>
      <c r="CL82" s="97">
        <f t="shared" si="11"/>
        <v>-1.9523015061206017E-2</v>
      </c>
      <c r="CM82" s="97" t="str">
        <f t="shared" si="11"/>
        <v/>
      </c>
      <c r="CN82" s="97">
        <f t="shared" si="11"/>
        <v>3.4365263322487571E-2</v>
      </c>
      <c r="CO82" s="97">
        <f t="shared" si="11"/>
        <v>0.11121645644410474</v>
      </c>
      <c r="CP82" s="97">
        <f t="shared" si="11"/>
        <v>6.8396700886533823E-2</v>
      </c>
      <c r="CQ82" s="97">
        <f t="shared" si="11"/>
        <v>-4.0762270755407726E-2</v>
      </c>
      <c r="CR82" s="97">
        <f t="shared" si="11"/>
        <v>0.17817461694078895</v>
      </c>
      <c r="CS82" s="97">
        <f t="shared" si="11"/>
        <v>0.12424759488397964</v>
      </c>
      <c r="CT82" s="97">
        <f t="shared" si="11"/>
        <v>2.4757551173440365E-2</v>
      </c>
      <c r="CU82" s="97">
        <f t="shared" si="11"/>
        <v>0.38700184143934874</v>
      </c>
      <c r="CV82" s="97">
        <f t="shared" si="11"/>
        <v>3.1369982537761576E-2</v>
      </c>
      <c r="CW82" s="97">
        <f t="shared" si="11"/>
        <v>9.221242312637612E-2</v>
      </c>
      <c r="CX82" s="97">
        <f t="shared" si="11"/>
        <v>5.8772635102262161E-3</v>
      </c>
      <c r="CY82" s="97">
        <f t="shared" si="11"/>
        <v>9.0410667193978611E-2</v>
      </c>
      <c r="CZ82" s="97">
        <f t="shared" si="11"/>
        <v>7.6258190113287272E-2</v>
      </c>
      <c r="DA82" s="97">
        <f t="shared" si="11"/>
        <v>0.10883240528251874</v>
      </c>
      <c r="DB82" s="97">
        <f t="shared" si="11"/>
        <v>-9.6920039120800272E-2</v>
      </c>
      <c r="DC82" s="97">
        <f t="shared" si="11"/>
        <v>-0.14729869727815614</v>
      </c>
      <c r="DD82" s="97">
        <f t="shared" si="11"/>
        <v>-0.25129595864046284</v>
      </c>
      <c r="DE82" s="97">
        <f t="shared" si="11"/>
        <v>-0.25975875720313468</v>
      </c>
      <c r="DF82" s="97">
        <f t="shared" si="11"/>
        <v>-2.9364767968685035E-2</v>
      </c>
      <c r="DG82" s="97" t="str">
        <f t="shared" si="11"/>
        <v/>
      </c>
      <c r="DH82" s="97" t="str">
        <f t="shared" si="11"/>
        <v/>
      </c>
      <c r="DI82" s="97">
        <f t="shared" si="11"/>
        <v>-8.0274951535118544E-2</v>
      </c>
      <c r="DJ82" s="97">
        <f t="shared" si="11"/>
        <v>0.25725252099235413</v>
      </c>
      <c r="DK82" s="97">
        <f t="shared" si="11"/>
        <v>-0.18225765960800355</v>
      </c>
      <c r="DL82" s="97">
        <f t="shared" si="11"/>
        <v>2.117695978010925E-3</v>
      </c>
      <c r="DM82" s="97">
        <f t="shared" si="11"/>
        <v>0.14427024779110245</v>
      </c>
      <c r="DN82" s="97">
        <f t="shared" si="11"/>
        <v>-6.4452746480488821E-2</v>
      </c>
      <c r="DO82" s="97" t="str">
        <f t="shared" si="11"/>
        <v/>
      </c>
      <c r="DP82" s="97">
        <f t="shared" si="11"/>
        <v>2.5218855160369813E-2</v>
      </c>
      <c r="DQ82" s="97">
        <f t="shared" si="11"/>
        <v>0.13826755858633885</v>
      </c>
      <c r="DR82" s="97">
        <f t="shared" si="11"/>
        <v>-5.5031915882246769E-2</v>
      </c>
      <c r="DS82" s="97">
        <f t="shared" si="11"/>
        <v>4.5685053139280507E-2</v>
      </c>
      <c r="DT82" s="97" t="str">
        <f t="shared" si="11"/>
        <v/>
      </c>
      <c r="DU82" s="97">
        <f t="shared" si="11"/>
        <v>0.17423460846624475</v>
      </c>
      <c r="DV82" s="97" t="str">
        <f t="shared" si="11"/>
        <v/>
      </c>
      <c r="DW82" s="97">
        <f t="shared" si="11"/>
        <v>0.7947763305161637</v>
      </c>
      <c r="DX82" s="97" t="str">
        <f t="shared" si="11"/>
        <v/>
      </c>
      <c r="DY82" s="97">
        <f t="shared" si="11"/>
        <v>-5.0737793777621887E-2</v>
      </c>
      <c r="DZ82" s="97">
        <f t="shared" si="11"/>
        <v>-6.2860904254541494E-2</v>
      </c>
      <c r="EA82" s="97">
        <f t="shared" si="9"/>
        <v>0.31324097698080994</v>
      </c>
      <c r="EB82" s="97">
        <f t="shared" si="4"/>
        <v>7.2544271495372126E-2</v>
      </c>
      <c r="EC82" s="97">
        <f t="shared" si="4"/>
        <v>-0.12620612562418734</v>
      </c>
      <c r="ED82" s="97">
        <f t="shared" si="4"/>
        <v>1.096638494968438E-4</v>
      </c>
      <c r="EE82" s="97">
        <f t="shared" si="4"/>
        <v>-0.20489033615050314</v>
      </c>
      <c r="EF82" s="97">
        <f t="shared" si="4"/>
        <v>0.29850849936623636</v>
      </c>
      <c r="EG82" s="97">
        <f t="shared" si="4"/>
        <v>4.683863581211356E-2</v>
      </c>
      <c r="EH82" s="97">
        <f t="shared" si="4"/>
        <v>3.2922444953101708</v>
      </c>
      <c r="EI82" s="97">
        <f t="shared" si="4"/>
        <v>4.7652256688575756E-2</v>
      </c>
      <c r="EJ82" s="97" t="str">
        <f t="shared" si="4"/>
        <v/>
      </c>
      <c r="EK82" s="97">
        <f t="shared" si="4"/>
        <v>-0.37026070652087345</v>
      </c>
      <c r="EL82" s="97">
        <f t="shared" si="4"/>
        <v>-0.10086753484757155</v>
      </c>
      <c r="EM82" s="97">
        <f t="shared" si="4"/>
        <v>-0.16655700281716976</v>
      </c>
      <c r="EN82" s="97">
        <f t="shared" si="4"/>
        <v>9.2855295223910339E-3</v>
      </c>
      <c r="EO82" s="97">
        <f t="shared" si="4"/>
        <v>-7.8185678073198761E-2</v>
      </c>
    </row>
    <row r="83" spans="1:145" outlineLevel="1" x14ac:dyDescent="0.25">
      <c r="A83">
        <v>2021</v>
      </c>
      <c r="B83">
        <v>9</v>
      </c>
      <c r="C83" s="97">
        <f t="shared" si="13"/>
        <v>-4.6685072767290614E-2</v>
      </c>
      <c r="D83" s="97">
        <f t="shared" si="13"/>
        <v>0</v>
      </c>
      <c r="E83" s="97">
        <f t="shared" si="13"/>
        <v>0.11031598729390657</v>
      </c>
      <c r="F83" s="97">
        <f t="shared" si="13"/>
        <v>4.6231787537658553E-2</v>
      </c>
      <c r="G83" s="97" t="str">
        <f t="shared" si="13"/>
        <v/>
      </c>
      <c r="H83" s="97">
        <f t="shared" si="13"/>
        <v>4.7363524735581697E-2</v>
      </c>
      <c r="I83" s="97" t="str">
        <f t="shared" si="13"/>
        <v/>
      </c>
      <c r="J83" s="97">
        <f t="shared" si="13"/>
        <v>-3.3171730810851452E-2</v>
      </c>
      <c r="K83" s="97">
        <f t="shared" si="13"/>
        <v>-5.3301165238677783E-2</v>
      </c>
      <c r="L83" s="97">
        <f t="shared" si="13"/>
        <v>-2.9739305506605303E-2</v>
      </c>
      <c r="M83" s="97">
        <f t="shared" si="13"/>
        <v>8.1987257852005557E-2</v>
      </c>
      <c r="N83" s="97" t="str">
        <f t="shared" si="13"/>
        <v/>
      </c>
      <c r="O83" s="97" t="str">
        <f t="shared" si="13"/>
        <v/>
      </c>
      <c r="P83" s="97">
        <f t="shared" si="13"/>
        <v>-4.8144610374792111E-2</v>
      </c>
      <c r="Q83" s="97">
        <f t="shared" si="13"/>
        <v>-0.13228664371098595</v>
      </c>
      <c r="R83" s="97">
        <f t="shared" si="13"/>
        <v>-4.6855993009558672E-2</v>
      </c>
      <c r="S83" s="97" t="str">
        <f t="shared" si="13"/>
        <v/>
      </c>
      <c r="T83" s="97">
        <f t="shared" si="13"/>
        <v>-0.15338070391435885</v>
      </c>
      <c r="U83" s="97">
        <f t="shared" si="13"/>
        <v>-0.11436841053231074</v>
      </c>
      <c r="V83" s="97">
        <f t="shared" si="13"/>
        <v>0.18203748938237327</v>
      </c>
      <c r="W83" s="97">
        <f t="shared" si="13"/>
        <v>0.17956730931817935</v>
      </c>
      <c r="X83" s="97">
        <f t="shared" si="13"/>
        <v>0.28337942069623329</v>
      </c>
      <c r="Y83" s="97">
        <f t="shared" si="13"/>
        <v>-0.24221493903487035</v>
      </c>
      <c r="Z83" s="97" t="str">
        <f t="shared" si="13"/>
        <v/>
      </c>
      <c r="AA83" s="97" t="str">
        <f t="shared" si="13"/>
        <v/>
      </c>
      <c r="AB83" s="97">
        <f t="shared" si="13"/>
        <v>-0.10779627456261484</v>
      </c>
      <c r="AC83" s="97">
        <f t="shared" si="13"/>
        <v>7.6542992783037445E-3</v>
      </c>
      <c r="AD83" s="97">
        <f t="shared" si="13"/>
        <v>-0.24211880829706703</v>
      </c>
      <c r="AE83" s="97">
        <f t="shared" si="13"/>
        <v>-2.1022223405492754E-2</v>
      </c>
      <c r="AF83" s="97" t="str">
        <f t="shared" si="13"/>
        <v/>
      </c>
      <c r="AG83" s="97" t="str">
        <f t="shared" si="13"/>
        <v/>
      </c>
      <c r="AH83" s="97">
        <f t="shared" si="13"/>
        <v>-0.12928238995535005</v>
      </c>
      <c r="AI83" s="97">
        <f t="shared" si="13"/>
        <v>-0.12363908764168154</v>
      </c>
      <c r="AJ83" s="97" t="str">
        <f t="shared" si="13"/>
        <v/>
      </c>
      <c r="AK83" s="97">
        <f t="shared" si="13"/>
        <v>-0.10267377844107814</v>
      </c>
      <c r="AL83" s="97">
        <f t="shared" si="13"/>
        <v>-3.8589948648529604E-2</v>
      </c>
      <c r="AM83" s="97">
        <f t="shared" si="13"/>
        <v>-7.5297645801787771E-2</v>
      </c>
      <c r="AN83" s="97">
        <f t="shared" si="13"/>
        <v>-0.18573230638149582</v>
      </c>
      <c r="AO83" s="97">
        <f t="shared" si="13"/>
        <v>-6.9554120321419943E-2</v>
      </c>
      <c r="AP83" s="97">
        <f t="shared" si="13"/>
        <v>-0.28029543439090743</v>
      </c>
      <c r="AQ83" s="97" t="str">
        <f t="shared" si="13"/>
        <v/>
      </c>
      <c r="AR83" s="97">
        <f t="shared" si="13"/>
        <v>-9.7887453654753376E-2</v>
      </c>
      <c r="AS83" s="97" t="str">
        <f t="shared" si="13"/>
        <v/>
      </c>
      <c r="AT83" s="97">
        <f t="shared" si="13"/>
        <v>-4.5823961591261342E-2</v>
      </c>
      <c r="AU83" s="97" t="str">
        <f t="shared" si="13"/>
        <v/>
      </c>
      <c r="AV83" s="97">
        <f t="shared" si="13"/>
        <v>-7.9246366524457601E-2</v>
      </c>
      <c r="AW83" s="97">
        <f t="shared" si="13"/>
        <v>-4.4747183366490417E-2</v>
      </c>
      <c r="AX83" s="97">
        <f t="shared" si="13"/>
        <v>-0.14833514560557692</v>
      </c>
      <c r="AY83" s="97">
        <f t="shared" si="13"/>
        <v>4.0091329148149946E-2</v>
      </c>
      <c r="AZ83" s="97">
        <f t="shared" si="13"/>
        <v>-0.28124175134867374</v>
      </c>
      <c r="BA83" s="97">
        <f t="shared" si="13"/>
        <v>-7.4610443926130698E-2</v>
      </c>
      <c r="BB83" s="97">
        <f t="shared" si="13"/>
        <v>-4.3752939634091326E-2</v>
      </c>
      <c r="BC83" s="97">
        <f t="shared" si="13"/>
        <v>0.11100143523413557</v>
      </c>
      <c r="BD83" s="97">
        <f t="shared" si="13"/>
        <v>4.7870122102822377E-2</v>
      </c>
      <c r="BE83" s="97">
        <f t="shared" si="13"/>
        <v>-0.10920058496788473</v>
      </c>
      <c r="BF83" s="97">
        <f t="shared" si="13"/>
        <v>-4.7641668564361361E-2</v>
      </c>
      <c r="BG83" s="97">
        <f t="shared" si="13"/>
        <v>-5.0278026045325712E-2</v>
      </c>
      <c r="BH83" s="97">
        <f t="shared" si="13"/>
        <v>8.5780241687489767E-3</v>
      </c>
      <c r="BI83" s="97" t="str">
        <f t="shared" si="13"/>
        <v/>
      </c>
      <c r="BJ83" s="97">
        <f t="shared" si="13"/>
        <v>-4.9799116870764437E-2</v>
      </c>
      <c r="BK83" s="97">
        <f t="shared" si="13"/>
        <v>-0.12510967587697563</v>
      </c>
      <c r="BL83" s="97">
        <f t="shared" si="13"/>
        <v>0.13090242208702538</v>
      </c>
      <c r="BM83" s="97">
        <f t="shared" si="13"/>
        <v>-0.14256250606565493</v>
      </c>
      <c r="BN83" s="97" t="str">
        <f t="shared" si="13"/>
        <v/>
      </c>
      <c r="BO83" s="97">
        <f t="shared" si="12"/>
        <v>-9.2134215754276161E-2</v>
      </c>
      <c r="BP83" s="97">
        <f t="shared" si="12"/>
        <v>-1.9534695301995034E-2</v>
      </c>
      <c r="BQ83" s="97">
        <f t="shared" si="12"/>
        <v>9.4909983362867267E-2</v>
      </c>
      <c r="BR83" s="97">
        <f t="shared" si="12"/>
        <v>0.15719369490954116</v>
      </c>
      <c r="BS83" s="97">
        <f t="shared" si="12"/>
        <v>0.12278189038808467</v>
      </c>
      <c r="BT83" s="97">
        <f t="shared" si="12"/>
        <v>-0.16667684005608024</v>
      </c>
      <c r="BU83" s="97" t="str">
        <f t="shared" si="12"/>
        <v/>
      </c>
      <c r="BV83" s="97">
        <f t="shared" si="12"/>
        <v>-0.36955412032142015</v>
      </c>
      <c r="BW83" s="97">
        <f t="shared" si="12"/>
        <v>-1.1498332774705465E-2</v>
      </c>
      <c r="BX83" s="97">
        <f t="shared" si="12"/>
        <v>-6.7284826798613917E-2</v>
      </c>
      <c r="BY83" s="97" t="str">
        <f t="shared" si="12"/>
        <v/>
      </c>
      <c r="BZ83" s="97">
        <f t="shared" si="12"/>
        <v>0.22271641107954607</v>
      </c>
      <c r="CA83" s="97">
        <f t="shared" si="12"/>
        <v>6.3211922902268736E-3</v>
      </c>
      <c r="CB83" s="97">
        <f t="shared" si="12"/>
        <v>5.2951548612820039E-2</v>
      </c>
      <c r="CC83" s="97">
        <f t="shared" si="12"/>
        <v>-0.10557265405793384</v>
      </c>
      <c r="CD83" s="97">
        <f t="shared" si="12"/>
        <v>-0.16804860717468553</v>
      </c>
      <c r="CE83" s="97">
        <f t="shared" si="11"/>
        <v>3.3598189291563559E-2</v>
      </c>
      <c r="CF83" s="97">
        <f t="shared" si="11"/>
        <v>0.27776147258240824</v>
      </c>
      <c r="CG83" s="97" t="str">
        <f t="shared" si="11"/>
        <v/>
      </c>
      <c r="CH83" s="97" t="str">
        <f t="shared" si="11"/>
        <v/>
      </c>
      <c r="CI83" s="97" t="str">
        <f t="shared" si="11"/>
        <v/>
      </c>
      <c r="CJ83" s="97">
        <f t="shared" si="11"/>
        <v>-6.7025214512309583E-3</v>
      </c>
      <c r="CK83" s="97">
        <f t="shared" si="11"/>
        <v>-4.5712765597712313E-2</v>
      </c>
      <c r="CL83" s="97">
        <f t="shared" si="11"/>
        <v>0.16009704246927756</v>
      </c>
      <c r="CM83" s="97" t="str">
        <f t="shared" si="11"/>
        <v/>
      </c>
      <c r="CN83" s="97">
        <f t="shared" si="11"/>
        <v>-0.40966381600436425</v>
      </c>
      <c r="CO83" s="97">
        <f t="shared" si="11"/>
        <v>-0.12510530336202164</v>
      </c>
      <c r="CP83" s="97">
        <f t="shared" si="11"/>
        <v>7.6813401046101237E-2</v>
      </c>
      <c r="CQ83" s="97">
        <f t="shared" si="11"/>
        <v>-5.3139978907278722E-2</v>
      </c>
      <c r="CR83" s="97">
        <f t="shared" si="11"/>
        <v>-3.2567736981600204E-2</v>
      </c>
      <c r="CS83" s="97">
        <f t="shared" ref="CS83:DZ83" si="14">IF(ISBLANK(CS20),"",CS20-$D20)</f>
        <v>-0.15409740593832544</v>
      </c>
      <c r="CT83" s="97">
        <f t="shared" si="14"/>
        <v>3.0818159174570866E-2</v>
      </c>
      <c r="CU83" s="97">
        <f t="shared" si="14"/>
        <v>0.11676024282221147</v>
      </c>
      <c r="CV83" s="97">
        <f t="shared" si="14"/>
        <v>-0.11332386847512503</v>
      </c>
      <c r="CW83" s="97">
        <f t="shared" si="14"/>
        <v>-2.2413213078578683E-2</v>
      </c>
      <c r="CX83" s="97">
        <f t="shared" si="14"/>
        <v>-5.5599640457849264E-2</v>
      </c>
      <c r="CY83" s="97">
        <f t="shared" si="14"/>
        <v>0.31430750203713487</v>
      </c>
      <c r="CZ83" s="97">
        <f t="shared" si="14"/>
        <v>-6.6529483745344842E-2</v>
      </c>
      <c r="DA83" s="97">
        <f t="shared" si="14"/>
        <v>-9.8170929037975974E-2</v>
      </c>
      <c r="DB83" s="97">
        <f t="shared" si="14"/>
        <v>-7.4671079385747574E-2</v>
      </c>
      <c r="DC83" s="97">
        <f t="shared" si="14"/>
        <v>0.16239056568825677</v>
      </c>
      <c r="DD83" s="97">
        <f t="shared" si="14"/>
        <v>-2.9950148789762095E-2</v>
      </c>
      <c r="DE83" s="97">
        <f t="shared" si="14"/>
        <v>-0.11122078698808684</v>
      </c>
      <c r="DF83" s="97">
        <f t="shared" si="14"/>
        <v>-2.4502894562181136E-2</v>
      </c>
      <c r="DG83" s="97">
        <f t="shared" si="14"/>
        <v>-3.3732235529904127E-2</v>
      </c>
      <c r="DH83" s="97" t="str">
        <f t="shared" si="14"/>
        <v/>
      </c>
      <c r="DI83" s="97">
        <f t="shared" si="14"/>
        <v>9.6084385185341459E-2</v>
      </c>
      <c r="DJ83" s="97">
        <f t="shared" si="14"/>
        <v>-7.510967587697559E-2</v>
      </c>
      <c r="DK83" s="97">
        <f t="shared" si="14"/>
        <v>9.1886806093121054E-2</v>
      </c>
      <c r="DL83" s="97">
        <f t="shared" si="14"/>
        <v>1.8943321390563206E-3</v>
      </c>
      <c r="DM83" s="97">
        <f t="shared" si="14"/>
        <v>6.0496384729085133E-2</v>
      </c>
      <c r="DN83" s="97">
        <f t="shared" si="14"/>
        <v>-0.18722624029415344</v>
      </c>
      <c r="DO83" s="97" t="str">
        <f t="shared" si="14"/>
        <v/>
      </c>
      <c r="DP83" s="97">
        <f t="shared" si="14"/>
        <v>0.13159571846965898</v>
      </c>
      <c r="DQ83" s="97">
        <f t="shared" si="14"/>
        <v>-0.12727730593477912</v>
      </c>
      <c r="DR83" s="97">
        <f t="shared" si="14"/>
        <v>-0.11998349291167594</v>
      </c>
      <c r="DS83" s="97">
        <f t="shared" si="14"/>
        <v>-3.1348324623797212E-2</v>
      </c>
      <c r="DT83" s="97" t="str">
        <f t="shared" si="14"/>
        <v/>
      </c>
      <c r="DU83" s="97">
        <f t="shared" si="14"/>
        <v>-0.18690212870716424</v>
      </c>
      <c r="DV83" s="97" t="str">
        <f t="shared" si="14"/>
        <v/>
      </c>
      <c r="DW83" s="97">
        <f t="shared" si="14"/>
        <v>-0.22596405923507384</v>
      </c>
      <c r="DX83" s="97" t="str">
        <f t="shared" si="14"/>
        <v/>
      </c>
      <c r="DY83" s="97">
        <f t="shared" si="14"/>
        <v>-8.9395390162689936E-2</v>
      </c>
      <c r="DZ83" s="97">
        <f t="shared" si="14"/>
        <v>-0.17542012145769142</v>
      </c>
      <c r="EA83" s="97">
        <f t="shared" si="9"/>
        <v>0.10758263181533216</v>
      </c>
      <c r="EB83" s="97">
        <f t="shared" si="4"/>
        <v>-0.28153556705896443</v>
      </c>
      <c r="EC83" s="97">
        <f t="shared" si="4"/>
        <v>-0.15673618190107202</v>
      </c>
      <c r="ED83" s="97">
        <f t="shared" si="4"/>
        <v>-0.16528824730554703</v>
      </c>
      <c r="EE83" s="97">
        <f t="shared" si="4"/>
        <v>-6.7531059524774339E-2</v>
      </c>
      <c r="EF83" s="97">
        <f t="shared" si="4"/>
        <v>-4.3831648971146102E-2</v>
      </c>
      <c r="EG83" s="97">
        <f t="shared" si="4"/>
        <v>0.11596175269445297</v>
      </c>
      <c r="EH83" s="97">
        <f t="shared" si="4"/>
        <v>-0.74880077535341538</v>
      </c>
      <c r="EI83" s="97">
        <f t="shared" si="4"/>
        <v>-7.3924626283176198E-2</v>
      </c>
      <c r="EJ83" s="97" t="str">
        <f t="shared" si="4"/>
        <v/>
      </c>
      <c r="EK83" s="97">
        <f t="shared" si="4"/>
        <v>-0.18246261705344624</v>
      </c>
      <c r="EL83" s="97">
        <f t="shared" si="4"/>
        <v>-0.11242851645668564</v>
      </c>
      <c r="EM83" s="97">
        <f t="shared" si="4"/>
        <v>-3.2667815411859362E-2</v>
      </c>
      <c r="EN83" s="97">
        <f t="shared" si="4"/>
        <v>-5.1048375772706371E-2</v>
      </c>
      <c r="EO83" s="97">
        <f t="shared" si="4"/>
        <v>3.1161305746372214E-3</v>
      </c>
    </row>
    <row r="84" spans="1:145" outlineLevel="1" x14ac:dyDescent="0.25">
      <c r="A84">
        <v>2021</v>
      </c>
      <c r="B84">
        <v>10</v>
      </c>
      <c r="C84" s="97">
        <f t="shared" si="13"/>
        <v>7.0273177469340364E-2</v>
      </c>
      <c r="D84" s="97">
        <f t="shared" si="13"/>
        <v>0</v>
      </c>
      <c r="E84" s="97">
        <f t="shared" si="13"/>
        <v>-3.6001447261614139E-2</v>
      </c>
      <c r="F84" s="97">
        <f t="shared" si="13"/>
        <v>-0.25163858789875493</v>
      </c>
      <c r="G84" s="97" t="str">
        <f t="shared" si="13"/>
        <v/>
      </c>
      <c r="H84" s="97">
        <f t="shared" si="13"/>
        <v>-0.10369150574114636</v>
      </c>
      <c r="I84" s="97" t="str">
        <f t="shared" si="13"/>
        <v/>
      </c>
      <c r="J84" s="97">
        <f t="shared" si="13"/>
        <v>-1.7249620737562647E-2</v>
      </c>
      <c r="K84" s="97">
        <f t="shared" si="13"/>
        <v>2.8199551489946243E-2</v>
      </c>
      <c r="L84" s="97">
        <f t="shared" si="13"/>
        <v>1.5376839422015953E-2</v>
      </c>
      <c r="M84" s="97">
        <f t="shared" si="13"/>
        <v>0.13904933478185535</v>
      </c>
      <c r="N84" s="97" t="str">
        <f t="shared" si="13"/>
        <v/>
      </c>
      <c r="O84" s="97" t="str">
        <f t="shared" si="13"/>
        <v/>
      </c>
      <c r="P84" s="97">
        <f t="shared" si="13"/>
        <v>0.17900874641830414</v>
      </c>
      <c r="Q84" s="97">
        <f t="shared" si="13"/>
        <v>-9.4640494278270371E-2</v>
      </c>
      <c r="R84" s="97">
        <f t="shared" si="13"/>
        <v>5.3650671393911331E-2</v>
      </c>
      <c r="S84" s="97" t="str">
        <f t="shared" si="13"/>
        <v/>
      </c>
      <c r="T84" s="97">
        <f t="shared" si="13"/>
        <v>0.13697500601285226</v>
      </c>
      <c r="U84" s="97">
        <f t="shared" si="13"/>
        <v>0.39349985574715146</v>
      </c>
      <c r="V84" s="97">
        <f t="shared" si="13"/>
        <v>-9.0740096198909104E-3</v>
      </c>
      <c r="W84" s="97">
        <f t="shared" si="13"/>
        <v>-0.66788805434787912</v>
      </c>
      <c r="X84" s="97">
        <f t="shared" si="13"/>
        <v>0.16819218812134154</v>
      </c>
      <c r="Y84" s="97">
        <f t="shared" si="13"/>
        <v>-0.13530700281716987</v>
      </c>
      <c r="Z84" s="97" t="str">
        <f t="shared" si="13"/>
        <v/>
      </c>
      <c r="AA84" s="97" t="str">
        <f t="shared" si="13"/>
        <v/>
      </c>
      <c r="AB84" s="97">
        <f t="shared" si="13"/>
        <v>-1.2904926059644547E-2</v>
      </c>
      <c r="AC84" s="97">
        <f t="shared" si="13"/>
        <v>1.6504958988035059E-3</v>
      </c>
      <c r="AD84" s="97">
        <f t="shared" si="13"/>
        <v>-8.4227685548093456E-2</v>
      </c>
      <c r="AE84" s="97">
        <f t="shared" si="13"/>
        <v>8.9430052199011456E-2</v>
      </c>
      <c r="AF84" s="97" t="str">
        <f t="shared" si="13"/>
        <v/>
      </c>
      <c r="AG84" s="97" t="str">
        <f t="shared" si="13"/>
        <v/>
      </c>
      <c r="AH84" s="97">
        <f t="shared" si="13"/>
        <v>-8.9890336150503125E-2</v>
      </c>
      <c r="AI84" s="97">
        <f t="shared" si="13"/>
        <v>-7.3715839506207859E-2</v>
      </c>
      <c r="AJ84" s="97" t="str">
        <f t="shared" si="13"/>
        <v/>
      </c>
      <c r="AK84" s="97">
        <f t="shared" si="13"/>
        <v>-0.15017605043621735</v>
      </c>
      <c r="AL84" s="97">
        <f t="shared" si="13"/>
        <v>-5.4627778931576332E-3</v>
      </c>
      <c r="AM84" s="97">
        <f t="shared" si="13"/>
        <v>-8.5256189809039706E-2</v>
      </c>
      <c r="AN84" s="97">
        <f t="shared" si="13"/>
        <v>0.15982318220222735</v>
      </c>
      <c r="AO84" s="97">
        <f t="shared" si="13"/>
        <v>3.8410071330787776E-3</v>
      </c>
      <c r="AP84" s="97">
        <f t="shared" si="13"/>
        <v>4.5270954172077493E-2</v>
      </c>
      <c r="AQ84" s="97" t="str">
        <f t="shared" si="13"/>
        <v/>
      </c>
      <c r="AR84" s="97">
        <f t="shared" si="13"/>
        <v>-7.8708070140650954E-2</v>
      </c>
      <c r="AS84" s="97" t="str">
        <f t="shared" si="13"/>
        <v/>
      </c>
      <c r="AT84" s="97">
        <f t="shared" si="13"/>
        <v>-0.12563883914451515</v>
      </c>
      <c r="AU84" s="97" t="str">
        <f t="shared" si="13"/>
        <v/>
      </c>
      <c r="AV84" s="97">
        <f t="shared" si="13"/>
        <v>1.096638494968438E-4</v>
      </c>
      <c r="AW84" s="97">
        <f t="shared" si="13"/>
        <v>3.1153878336797055E-2</v>
      </c>
      <c r="AX84" s="97">
        <f t="shared" si="13"/>
        <v>-0.11753739497403255</v>
      </c>
      <c r="AY84" s="97">
        <f t="shared" si="13"/>
        <v>-0.14964879025678335</v>
      </c>
      <c r="AZ84" s="97">
        <f t="shared" si="13"/>
        <v>2.6356383009601855E-2</v>
      </c>
      <c r="BA84" s="97">
        <f t="shared" si="13"/>
        <v>-0.25798162245755718</v>
      </c>
      <c r="BB84" s="97">
        <f t="shared" si="13"/>
        <v>0.14296680670663964</v>
      </c>
      <c r="BC84" s="97">
        <f t="shared" si="13"/>
        <v>-5.3736489996656929E-2</v>
      </c>
      <c r="BD84" s="97">
        <f t="shared" si="13"/>
        <v>-5.9144325360453998E-3</v>
      </c>
      <c r="BE84" s="97">
        <f t="shared" si="13"/>
        <v>-0.22029849941580926</v>
      </c>
      <c r="BF84" s="97">
        <f t="shared" si="13"/>
        <v>0.10087741816811495</v>
      </c>
      <c r="BG84" s="97">
        <f t="shared" si="13"/>
        <v>-0.21506226099984735</v>
      </c>
      <c r="BH84" s="97">
        <f t="shared" si="13"/>
        <v>0.14743513982411163</v>
      </c>
      <c r="BI84" s="97" t="str">
        <f t="shared" si="13"/>
        <v/>
      </c>
      <c r="BJ84" s="97">
        <f t="shared" si="13"/>
        <v>-6.5249813274686153E-2</v>
      </c>
      <c r="BK84" s="97">
        <f t="shared" si="13"/>
        <v>-0.10073067228495695</v>
      </c>
      <c r="BL84" s="97">
        <f t="shared" si="13"/>
        <v>8.202983082053783E-2</v>
      </c>
      <c r="BM84" s="97">
        <f t="shared" si="13"/>
        <v>0.11012066494960694</v>
      </c>
      <c r="BN84" s="97" t="str">
        <f t="shared" si="13"/>
        <v/>
      </c>
      <c r="BO84" s="97">
        <f t="shared" si="12"/>
        <v>-5.3944390204557213E-2</v>
      </c>
      <c r="BP84" s="97">
        <f t="shared" si="12"/>
        <v>-0.14806783218853795</v>
      </c>
      <c r="BQ84" s="97">
        <f t="shared" si="12"/>
        <v>4.4394523215146142E-2</v>
      </c>
      <c r="BR84" s="97">
        <f t="shared" si="12"/>
        <v>-0.23484179246118286</v>
      </c>
      <c r="BS84" s="97">
        <f t="shared" si="12"/>
        <v>0.15542082264778004</v>
      </c>
      <c r="BT84" s="97">
        <f t="shared" si="12"/>
        <v>-4.3586611222136369E-2</v>
      </c>
      <c r="BU84" s="97" t="str">
        <f t="shared" si="12"/>
        <v/>
      </c>
      <c r="BV84" s="97">
        <f t="shared" si="12"/>
        <v>-6.1564344961075879E-2</v>
      </c>
      <c r="BW84" s="97">
        <f t="shared" si="12"/>
        <v>2.1843785652737594E-2</v>
      </c>
      <c r="BX84" s="97">
        <f t="shared" si="12"/>
        <v>8.6548567502024998E-3</v>
      </c>
      <c r="BY84" s="97" t="str">
        <f t="shared" si="12"/>
        <v/>
      </c>
      <c r="BZ84" s="97">
        <f t="shared" si="12"/>
        <v>-0.15544589170605877</v>
      </c>
      <c r="CA84" s="97">
        <f t="shared" si="12"/>
        <v>-1.1072444776701107E-2</v>
      </c>
      <c r="CB84" s="97">
        <f t="shared" si="12"/>
        <v>4.7626172606315631E-2</v>
      </c>
      <c r="CC84" s="97">
        <f t="shared" si="12"/>
        <v>0.10272801250048434</v>
      </c>
      <c r="CD84" s="97">
        <f t="shared" si="12"/>
        <v>-4.5761895783530737E-2</v>
      </c>
      <c r="CE84" s="97">
        <f t="shared" ref="CE84:EO99" si="15">IF(ISBLANK(CE21),"",CE21-$D21)</f>
        <v>0.35880531602340993</v>
      </c>
      <c r="CF84" s="97">
        <f t="shared" si="15"/>
        <v>-0.19980265530876715</v>
      </c>
      <c r="CG84" s="97" t="str">
        <f t="shared" si="15"/>
        <v/>
      </c>
      <c r="CH84" s="97" t="str">
        <f t="shared" si="15"/>
        <v/>
      </c>
      <c r="CI84" s="97" t="str">
        <f t="shared" si="15"/>
        <v/>
      </c>
      <c r="CJ84" s="97">
        <f t="shared" si="15"/>
        <v>0.17238952928631024</v>
      </c>
      <c r="CK84" s="97">
        <f t="shared" si="15"/>
        <v>-0.17498761241509467</v>
      </c>
      <c r="CL84" s="97">
        <f t="shared" si="15"/>
        <v>-0.15579234060484615</v>
      </c>
      <c r="CM84" s="97" t="str">
        <f t="shared" si="15"/>
        <v/>
      </c>
      <c r="CN84" s="97">
        <f t="shared" si="15"/>
        <v>9.2882047884016661E-2</v>
      </c>
      <c r="CO84" s="97">
        <f t="shared" si="15"/>
        <v>-0.28446051591410526</v>
      </c>
      <c r="CP84" s="97">
        <f t="shared" si="15"/>
        <v>-7.735512488289753E-2</v>
      </c>
      <c r="CQ84" s="97">
        <f t="shared" si="15"/>
        <v>-0.33589033615050323</v>
      </c>
      <c r="CR84" s="97">
        <f t="shared" si="15"/>
        <v>0.12087640888769835</v>
      </c>
      <c r="CS84" s="97">
        <f t="shared" si="15"/>
        <v>-0.54521303375746477</v>
      </c>
      <c r="CT84" s="97">
        <f t="shared" si="15"/>
        <v>-0.11655700281716985</v>
      </c>
      <c r="CU84" s="97">
        <f t="shared" si="15"/>
        <v>6.5168808526475885E-2</v>
      </c>
      <c r="CV84" s="97">
        <f t="shared" si="15"/>
        <v>1.8678808121431523E-2</v>
      </c>
      <c r="CW84" s="97">
        <f t="shared" si="15"/>
        <v>6.9259548005618843E-2</v>
      </c>
      <c r="CX84" s="97">
        <f t="shared" si="15"/>
        <v>-6.6318907579074549E-2</v>
      </c>
      <c r="CY84" s="97">
        <f t="shared" si="15"/>
        <v>-0.19242242483195005</v>
      </c>
      <c r="CZ84" s="97">
        <f t="shared" si="15"/>
        <v>1.7081271303564623E-2</v>
      </c>
      <c r="DA84" s="97">
        <f t="shared" si="15"/>
        <v>-0.26686852929692068</v>
      </c>
      <c r="DB84" s="97">
        <f t="shared" si="15"/>
        <v>-5.6169957003583737E-2</v>
      </c>
      <c r="DC84" s="97">
        <f t="shared" si="15"/>
        <v>-4.5950248471618653E-2</v>
      </c>
      <c r="DD84" s="97">
        <f t="shared" si="15"/>
        <v>0.13280445955919173</v>
      </c>
      <c r="DE84" s="97">
        <f t="shared" si="15"/>
        <v>-0.12989033615050324</v>
      </c>
      <c r="DF84" s="97">
        <f t="shared" si="15"/>
        <v>8.7745618343808562E-2</v>
      </c>
      <c r="DG84" s="97">
        <f t="shared" si="15"/>
        <v>0.29079428786745404</v>
      </c>
      <c r="DH84" s="97" t="str">
        <f t="shared" si="15"/>
        <v/>
      </c>
      <c r="DI84" s="97">
        <f t="shared" si="15"/>
        <v>-0.10443058796278856</v>
      </c>
      <c r="DJ84" s="97">
        <f t="shared" si="15"/>
        <v>-0.13993947619964336</v>
      </c>
      <c r="DK84" s="97">
        <f t="shared" si="15"/>
        <v>-0.30514162481029694</v>
      </c>
      <c r="DL84" s="97">
        <f t="shared" si="15"/>
        <v>2.1596638494969507E-3</v>
      </c>
      <c r="DM84" s="97">
        <f t="shared" si="15"/>
        <v>-0.11567980983471375</v>
      </c>
      <c r="DN84" s="97">
        <f t="shared" si="15"/>
        <v>-5.4607317282578616E-2</v>
      </c>
      <c r="DO84" s="97" t="str">
        <f t="shared" si="15"/>
        <v/>
      </c>
      <c r="DP84" s="97">
        <f t="shared" si="15"/>
        <v>-2.4237296926686858E-2</v>
      </c>
      <c r="DQ84" s="97">
        <f t="shared" si="15"/>
        <v>-2.6380402375668747E-2</v>
      </c>
      <c r="DR84" s="97">
        <f t="shared" si="15"/>
        <v>3.9536187146987922E-2</v>
      </c>
      <c r="DS84" s="97">
        <f t="shared" si="15"/>
        <v>0.11934475946254515</v>
      </c>
      <c r="DT84" s="97" t="str">
        <f t="shared" si="15"/>
        <v/>
      </c>
      <c r="DU84" s="97">
        <f t="shared" si="15"/>
        <v>0.28827671721376597</v>
      </c>
      <c r="DV84" s="97" t="str">
        <f t="shared" si="15"/>
        <v/>
      </c>
      <c r="DW84" s="97">
        <f t="shared" si="15"/>
        <v>-8.818208279157802E-2</v>
      </c>
      <c r="DX84" s="97" t="str">
        <f t="shared" si="15"/>
        <v/>
      </c>
      <c r="DY84" s="97">
        <f t="shared" si="15"/>
        <v>-0.13714523811128734</v>
      </c>
      <c r="DZ84" s="97">
        <f t="shared" si="15"/>
        <v>-8.7578555813921932E-2</v>
      </c>
      <c r="EA84" s="97">
        <f t="shared" si="9"/>
        <v>0.33066521940505234</v>
      </c>
      <c r="EB84" s="97">
        <f t="shared" si="9"/>
        <v>-9.6496080275829565E-2</v>
      </c>
      <c r="EC84" s="97">
        <f t="shared" si="9"/>
        <v>-0.16060462186478874</v>
      </c>
      <c r="ED84" s="97">
        <f t="shared" si="9"/>
        <v>-8.0104239893818652E-2</v>
      </c>
      <c r="EE84" s="97">
        <f t="shared" si="9"/>
        <v>-1.7964250366850676E-2</v>
      </c>
      <c r="EF84" s="97">
        <f t="shared" si="9"/>
        <v>-4.2094322082507733E-2</v>
      </c>
      <c r="EG84" s="97">
        <f t="shared" si="9"/>
        <v>7.309663849496939E-3</v>
      </c>
      <c r="EH84" s="97">
        <f t="shared" si="9"/>
        <v>-0.12905700281716986</v>
      </c>
      <c r="EI84" s="97">
        <f t="shared" si="9"/>
        <v>-1.4655229658065646E-2</v>
      </c>
      <c r="EJ84" s="97" t="str">
        <f t="shared" si="9"/>
        <v/>
      </c>
      <c r="EK84" s="97">
        <f t="shared" si="9"/>
        <v>-3.5861559172085888E-2</v>
      </c>
      <c r="EL84" s="97">
        <f t="shared" si="9"/>
        <v>-0.24070666268111535</v>
      </c>
      <c r="EM84" s="97">
        <f t="shared" si="9"/>
        <v>-0.14892879768896466</v>
      </c>
      <c r="EN84" s="97">
        <f t="shared" si="9"/>
        <v>0.11504851825235154</v>
      </c>
      <c r="EO84" s="97">
        <f t="shared" si="9"/>
        <v>1.8330456989904095E-2</v>
      </c>
    </row>
    <row r="85" spans="1:145" outlineLevel="1" x14ac:dyDescent="0.25">
      <c r="A85">
        <v>2021</v>
      </c>
      <c r="B85">
        <v>11</v>
      </c>
      <c r="C85" s="97">
        <f t="shared" si="13"/>
        <v>-7.8155318125023854E-3</v>
      </c>
      <c r="D85" s="97">
        <f t="shared" si="13"/>
        <v>0</v>
      </c>
      <c r="E85" s="97">
        <f t="shared" si="13"/>
        <v>-0.2620284868627632</v>
      </c>
      <c r="F85" s="97">
        <f t="shared" si="13"/>
        <v>-0.13373703453888341</v>
      </c>
      <c r="G85" s="97" t="str">
        <f t="shared" si="13"/>
        <v/>
      </c>
      <c r="H85" s="97">
        <f t="shared" si="13"/>
        <v>-0.2036958195347924</v>
      </c>
      <c r="I85" s="97" t="str">
        <f t="shared" si="13"/>
        <v/>
      </c>
      <c r="J85" s="97">
        <f t="shared" si="13"/>
        <v>4.7328559462730839E-2</v>
      </c>
      <c r="K85" s="97">
        <f t="shared" si="13"/>
        <v>-0.2383963130912217</v>
      </c>
      <c r="L85" s="97">
        <f t="shared" si="13"/>
        <v>-9.7525009148304198E-2</v>
      </c>
      <c r="M85" s="97">
        <f t="shared" si="13"/>
        <v>0.10080790178070378</v>
      </c>
      <c r="N85" s="97" t="str">
        <f t="shared" si="13"/>
        <v/>
      </c>
      <c r="O85" s="97" t="str">
        <f t="shared" si="13"/>
        <v/>
      </c>
      <c r="P85" s="97">
        <f t="shared" si="13"/>
        <v>0.14807927393293999</v>
      </c>
      <c r="Q85" s="97">
        <f t="shared" si="13"/>
        <v>-0.11940054763117991</v>
      </c>
      <c r="R85" s="97">
        <f t="shared" si="13"/>
        <v>-0.12648427494967521</v>
      </c>
      <c r="S85" s="97" t="str">
        <f t="shared" si="13"/>
        <v/>
      </c>
      <c r="T85" s="97">
        <f t="shared" si="13"/>
        <v>0.3788601284529805</v>
      </c>
      <c r="U85" s="97">
        <f t="shared" si="13"/>
        <v>3.1588900338496151E-2</v>
      </c>
      <c r="V85" s="97">
        <f t="shared" si="13"/>
        <v>-7.7020607051403789E-2</v>
      </c>
      <c r="W85" s="97">
        <f t="shared" si="13"/>
        <v>-0.30476346611546429</v>
      </c>
      <c r="X85" s="97">
        <f t="shared" si="13"/>
        <v>-0.10263779110319141</v>
      </c>
      <c r="Y85" s="97">
        <f t="shared" si="13"/>
        <v>-0.21263205386853831</v>
      </c>
      <c r="Z85" s="97" t="str">
        <f t="shared" si="13"/>
        <v/>
      </c>
      <c r="AA85" s="97" t="str">
        <f t="shared" si="13"/>
        <v/>
      </c>
      <c r="AB85" s="97">
        <f t="shared" si="13"/>
        <v>-8.1458991106741929E-2</v>
      </c>
      <c r="AC85" s="97">
        <f t="shared" si="13"/>
        <v>-1.8319302973305307E-3</v>
      </c>
      <c r="AD85" s="97">
        <f t="shared" si="13"/>
        <v>-0.15767538508815371</v>
      </c>
      <c r="AE85" s="97">
        <f t="shared" si="13"/>
        <v>-0.21665527688538311</v>
      </c>
      <c r="AF85" s="97" t="str">
        <f t="shared" si="13"/>
        <v/>
      </c>
      <c r="AG85" s="97" t="str">
        <f t="shared" si="13"/>
        <v/>
      </c>
      <c r="AH85" s="97">
        <f t="shared" si="13"/>
        <v>-0.3276194760848764</v>
      </c>
      <c r="AI85" s="97">
        <f t="shared" si="13"/>
        <v>-0.18818644534749771</v>
      </c>
      <c r="AJ85" s="97" t="str">
        <f t="shared" si="13"/>
        <v/>
      </c>
      <c r="AK85" s="97">
        <f t="shared" si="13"/>
        <v>6.2718063605420307E-3</v>
      </c>
      <c r="AL85" s="97">
        <f t="shared" si="13"/>
        <v>-0.104212640095259</v>
      </c>
      <c r="AM85" s="97">
        <f t="shared" si="13"/>
        <v>0.1668860184206182</v>
      </c>
      <c r="AN85" s="97">
        <f t="shared" si="13"/>
        <v>-4.2547361230454772E-2</v>
      </c>
      <c r="AO85" s="97">
        <f t="shared" si="13"/>
        <v>0.87010782759038285</v>
      </c>
      <c r="AP85" s="97">
        <f t="shared" si="13"/>
        <v>2.4910709778642962E-2</v>
      </c>
      <c r="AQ85" s="97" t="str">
        <f t="shared" si="13"/>
        <v/>
      </c>
      <c r="AR85" s="97">
        <f t="shared" si="13"/>
        <v>-9.603733273802717E-2</v>
      </c>
      <c r="AS85" s="97" t="str">
        <f t="shared" si="13"/>
        <v/>
      </c>
      <c r="AT85" s="97">
        <f t="shared" si="13"/>
        <v>0.23309606408271868</v>
      </c>
      <c r="AU85" s="97" t="str">
        <f t="shared" si="13"/>
        <v/>
      </c>
      <c r="AV85" s="97">
        <f t="shared" si="13"/>
        <v>-0.22649939824604862</v>
      </c>
      <c r="AW85" s="97">
        <f t="shared" si="13"/>
        <v>-0.12569305700517272</v>
      </c>
      <c r="AX85" s="97">
        <f t="shared" si="13"/>
        <v>-6.0891759357159632E-2</v>
      </c>
      <c r="AY85" s="97">
        <f t="shared" si="13"/>
        <v>-0.26114428460968492</v>
      </c>
      <c r="AZ85" s="97">
        <f t="shared" si="13"/>
        <v>-0.29134075054783881</v>
      </c>
      <c r="BA85" s="97">
        <f t="shared" si="13"/>
        <v>-2.327058113195446E-2</v>
      </c>
      <c r="BB85" s="97">
        <f t="shared" si="13"/>
        <v>-0.32269731491271508</v>
      </c>
      <c r="BC85" s="97">
        <f t="shared" si="13"/>
        <v>-0.38197577019726803</v>
      </c>
      <c r="BD85" s="97">
        <f t="shared" si="13"/>
        <v>5.5976927511527379E-2</v>
      </c>
      <c r="BE85" s="97">
        <f t="shared" si="13"/>
        <v>-4.4283266047095649E-2</v>
      </c>
      <c r="BF85" s="97">
        <f t="shared" si="13"/>
        <v>0.37772589055081301</v>
      </c>
      <c r="BG85" s="97">
        <f t="shared" si="13"/>
        <v>-0.34485743234722294</v>
      </c>
      <c r="BH85" s="97">
        <f t="shared" si="13"/>
        <v>4.6051038834156843E-2</v>
      </c>
      <c r="BI85" s="97" t="str">
        <f t="shared" si="13"/>
        <v/>
      </c>
      <c r="BJ85" s="97">
        <f t="shared" si="13"/>
        <v>-0.1326477811131814</v>
      </c>
      <c r="BK85" s="97">
        <f t="shared" si="13"/>
        <v>-0.23436008749838491</v>
      </c>
      <c r="BL85" s="97">
        <f t="shared" si="13"/>
        <v>-0.17774061930946772</v>
      </c>
      <c r="BM85" s="97">
        <f t="shared" si="13"/>
        <v>-8.7003707435707733E-3</v>
      </c>
      <c r="BN85" s="97" t="str">
        <f t="shared" ref="BN85:DY89" si="16">IF(ISBLANK(BN22),"",BN22-$D22)</f>
        <v/>
      </c>
      <c r="BO85" s="97">
        <f t="shared" si="16"/>
        <v>-6.4066362531762677E-2</v>
      </c>
      <c r="BP85" s="97">
        <f t="shared" si="12"/>
        <v>0.33091702617255597</v>
      </c>
      <c r="BQ85" s="97">
        <f t="shared" si="12"/>
        <v>-4.161445913430073E-2</v>
      </c>
      <c r="BR85" s="97">
        <f t="shared" si="12"/>
        <v>-7.3948614440180185E-3</v>
      </c>
      <c r="BS85" s="97">
        <f t="shared" si="12"/>
        <v>-5.9915312745700278E-2</v>
      </c>
      <c r="BT85" s="97">
        <f t="shared" si="12"/>
        <v>-8.0304992815336873E-2</v>
      </c>
      <c r="BU85" s="97" t="str">
        <f t="shared" si="12"/>
        <v/>
      </c>
      <c r="BV85" s="97">
        <f t="shared" si="12"/>
        <v>-0.3847571740676447</v>
      </c>
      <c r="BW85" s="97">
        <f t="shared" si="12"/>
        <v>-9.8773432371123571E-2</v>
      </c>
      <c r="BX85" s="97">
        <f t="shared" si="12"/>
        <v>-3.6096105144884587E-2</v>
      </c>
      <c r="BY85" s="97" t="str">
        <f t="shared" si="12"/>
        <v/>
      </c>
      <c r="BZ85" s="97">
        <f t="shared" si="12"/>
        <v>-0.2050438061407853</v>
      </c>
      <c r="CA85" s="97">
        <f t="shared" si="12"/>
        <v>-0.14356093903764802</v>
      </c>
      <c r="CB85" s="97">
        <f t="shared" si="12"/>
        <v>0.10971640533761579</v>
      </c>
      <c r="CC85" s="97">
        <f t="shared" si="12"/>
        <v>-2.297090589932127E-2</v>
      </c>
      <c r="CD85" s="97">
        <f t="shared" si="12"/>
        <v>5.79116594462592E-2</v>
      </c>
      <c r="CE85" s="97">
        <f t="shared" si="15"/>
        <v>0.10688601842061819</v>
      </c>
      <c r="CF85" s="97">
        <f t="shared" si="15"/>
        <v>-0.2326573605748157</v>
      </c>
      <c r="CG85" s="97" t="str">
        <f t="shared" si="15"/>
        <v/>
      </c>
      <c r="CH85" s="97" t="str">
        <f t="shared" si="15"/>
        <v/>
      </c>
      <c r="CI85" s="97" t="str">
        <f t="shared" si="15"/>
        <v/>
      </c>
      <c r="CJ85" s="97">
        <f t="shared" si="15"/>
        <v>-0.149013340035309</v>
      </c>
      <c r="CK85" s="97">
        <f t="shared" si="15"/>
        <v>-5.6384421830954157E-2</v>
      </c>
      <c r="CL85" s="97">
        <f t="shared" si="15"/>
        <v>-0.25703658492151032</v>
      </c>
      <c r="CM85" s="97" t="str">
        <f t="shared" si="15"/>
        <v/>
      </c>
      <c r="CN85" s="97">
        <f t="shared" si="15"/>
        <v>-0.3403532050081412</v>
      </c>
      <c r="CO85" s="97">
        <f t="shared" si="15"/>
        <v>2.5774410612541931E-2</v>
      </c>
      <c r="CP85" s="97">
        <f t="shared" si="15"/>
        <v>-2.1590899063932859E-2</v>
      </c>
      <c r="CQ85" s="97">
        <f t="shared" si="15"/>
        <v>3.0339833681662261E-2</v>
      </c>
      <c r="CR85" s="97">
        <f t="shared" si="15"/>
        <v>-0.19727834099177932</v>
      </c>
      <c r="CS85" s="97">
        <f t="shared" si="15"/>
        <v>0.1485447106056261</v>
      </c>
      <c r="CT85" s="97">
        <f t="shared" si="15"/>
        <v>-0.39978064824604842</v>
      </c>
      <c r="CU85" s="97">
        <f t="shared" si="15"/>
        <v>-0.17876398869884652</v>
      </c>
      <c r="CV85" s="97">
        <f t="shared" si="15"/>
        <v>-0.1019784504438507</v>
      </c>
      <c r="CW85" s="97">
        <f t="shared" si="15"/>
        <v>-6.7125205672286192E-2</v>
      </c>
      <c r="CX85" s="97">
        <f t="shared" si="15"/>
        <v>6.7227947531862675E-3</v>
      </c>
      <c r="CY85" s="97">
        <f t="shared" si="15"/>
        <v>-0.21076330720558611</v>
      </c>
      <c r="CZ85" s="97">
        <f t="shared" si="15"/>
        <v>0.2395403203406905</v>
      </c>
      <c r="DA85" s="97">
        <f t="shared" si="15"/>
        <v>-0.23734970901952912</v>
      </c>
      <c r="DB85" s="97">
        <f t="shared" si="15"/>
        <v>-0.1096362665762431</v>
      </c>
      <c r="DC85" s="97">
        <f t="shared" si="15"/>
        <v>-0.18671475365648021</v>
      </c>
      <c r="DD85" s="97">
        <f t="shared" si="15"/>
        <v>6.6430364815612153E-2</v>
      </c>
      <c r="DE85" s="97">
        <f t="shared" si="15"/>
        <v>0.64389751267349205</v>
      </c>
      <c r="DF85" s="97">
        <f t="shared" si="15"/>
        <v>-0.23311398157938182</v>
      </c>
      <c r="DG85" s="97">
        <f t="shared" si="15"/>
        <v>0.28891500392786451</v>
      </c>
      <c r="DH85" s="97" t="str">
        <f t="shared" si="15"/>
        <v/>
      </c>
      <c r="DI85" s="97">
        <f t="shared" si="15"/>
        <v>-0.23880919532742892</v>
      </c>
      <c r="DJ85" s="97">
        <f t="shared" si="15"/>
        <v>3.7362208896808628E-2</v>
      </c>
      <c r="DK85" s="97">
        <f t="shared" si="15"/>
        <v>0.24042338606881339</v>
      </c>
      <c r="DL85" s="97">
        <f t="shared" si="15"/>
        <v>3.2631120453541222E-3</v>
      </c>
      <c r="DM85" s="97">
        <f t="shared" si="15"/>
        <v>-0.26168541015081043</v>
      </c>
      <c r="DN85" s="97">
        <f t="shared" si="15"/>
        <v>0.47327324396952042</v>
      </c>
      <c r="DO85" s="97" t="str">
        <f t="shared" si="15"/>
        <v/>
      </c>
      <c r="DP85" s="97">
        <f t="shared" si="15"/>
        <v>0.13197857795960538</v>
      </c>
      <c r="DQ85" s="97">
        <f t="shared" si="15"/>
        <v>-0.15624323328006212</v>
      </c>
      <c r="DR85" s="97">
        <f t="shared" si="15"/>
        <v>-8.5987544797772597E-2</v>
      </c>
      <c r="DS85" s="97">
        <f t="shared" si="15"/>
        <v>4.2394522564639381E-3</v>
      </c>
      <c r="DT85" s="97" t="str">
        <f t="shared" si="15"/>
        <v/>
      </c>
      <c r="DU85" s="97">
        <f t="shared" si="15"/>
        <v>-4.1567391761898609E-2</v>
      </c>
      <c r="DV85" s="97" t="str">
        <f t="shared" si="15"/>
        <v/>
      </c>
      <c r="DW85" s="97">
        <f t="shared" si="15"/>
        <v>-0.2050438061407853</v>
      </c>
      <c r="DX85" s="97" t="str">
        <f t="shared" si="15"/>
        <v/>
      </c>
      <c r="DY85" s="97">
        <f t="shared" si="15"/>
        <v>-0.2590988300642304</v>
      </c>
      <c r="DZ85" s="97">
        <f t="shared" si="15"/>
        <v>-1.725637640138844E-2</v>
      </c>
      <c r="EA85" s="97">
        <f t="shared" si="9"/>
        <v>-0.2001981847804952</v>
      </c>
      <c r="EB85" s="97">
        <f t="shared" si="9"/>
        <v>-0.13272862512466121</v>
      </c>
      <c r="EC85" s="97">
        <f t="shared" si="9"/>
        <v>-0.1533125631396656</v>
      </c>
      <c r="ED85" s="97">
        <f t="shared" si="9"/>
        <v>-0.1626294854553508</v>
      </c>
      <c r="EE85" s="97">
        <f t="shared" si="9"/>
        <v>-0.31983559330099348</v>
      </c>
      <c r="EF85" s="97">
        <f t="shared" si="9"/>
        <v>-8.1787992187296932E-2</v>
      </c>
      <c r="EG85" s="97">
        <f t="shared" si="9"/>
        <v>-0.17769963156614391</v>
      </c>
      <c r="EH85" s="97">
        <f t="shared" si="9"/>
        <v>0.11983657663433429</v>
      </c>
      <c r="EI85" s="97">
        <f t="shared" si="9"/>
        <v>-6.9951048399217175E-2</v>
      </c>
      <c r="EJ85" s="97" t="str">
        <f t="shared" si="9"/>
        <v/>
      </c>
      <c r="EK85" s="97">
        <f t="shared" si="9"/>
        <v>-0.2311239318281382</v>
      </c>
      <c r="EL85" s="97">
        <f t="shared" si="9"/>
        <v>0.12387526573244599</v>
      </c>
      <c r="EM85" s="97">
        <f t="shared" si="9"/>
        <v>-5.062810587316724E-2</v>
      </c>
      <c r="EN85" s="97">
        <f t="shared" si="9"/>
        <v>2.7231292712123881E-2</v>
      </c>
      <c r="EO85" s="97">
        <f t="shared" si="9"/>
        <v>-0.175570121930259</v>
      </c>
    </row>
    <row r="86" spans="1:145" outlineLevel="1" x14ac:dyDescent="0.25">
      <c r="A86">
        <v>2021</v>
      </c>
      <c r="B86">
        <v>12</v>
      </c>
      <c r="C86" s="97">
        <f t="shared" ref="C86:BN89" si="17">IF(ISBLANK(C23),"",C23-$D23)</f>
        <v>4.628842196021532E-2</v>
      </c>
      <c r="D86" s="97">
        <f t="shared" si="17"/>
        <v>0</v>
      </c>
      <c r="E86" s="97">
        <f t="shared" si="17"/>
        <v>0.13593749999999979</v>
      </c>
      <c r="F86" s="97">
        <f t="shared" si="17"/>
        <v>-2.877697841726623E-2</v>
      </c>
      <c r="G86" s="97" t="str">
        <f t="shared" si="17"/>
        <v/>
      </c>
      <c r="H86" s="97">
        <f t="shared" si="17"/>
        <v>-0.1618852459016393</v>
      </c>
      <c r="I86" s="97" t="str">
        <f t="shared" si="17"/>
        <v/>
      </c>
      <c r="J86" s="97">
        <f t="shared" si="17"/>
        <v>0.19069529652351741</v>
      </c>
      <c r="K86" s="97">
        <f t="shared" si="17"/>
        <v>0.14593301435406711</v>
      </c>
      <c r="L86" s="97">
        <f t="shared" si="17"/>
        <v>2.500000000000013E-2</v>
      </c>
      <c r="M86" s="97">
        <f t="shared" si="17"/>
        <v>0.1200777831793873</v>
      </c>
      <c r="N86" s="97" t="str">
        <f t="shared" si="17"/>
        <v/>
      </c>
      <c r="O86" s="97" t="str">
        <f t="shared" si="17"/>
        <v/>
      </c>
      <c r="P86" s="97">
        <f t="shared" si="17"/>
        <v>-0.34067796610169498</v>
      </c>
      <c r="Q86" s="97">
        <f t="shared" si="17"/>
        <v>-0.17619047619047609</v>
      </c>
      <c r="R86" s="97">
        <f t="shared" si="17"/>
        <v>8.6364237534717558E-2</v>
      </c>
      <c r="S86" s="97" t="str">
        <f t="shared" si="17"/>
        <v/>
      </c>
      <c r="T86" s="97">
        <f t="shared" si="17"/>
        <v>0.53521126760563398</v>
      </c>
      <c r="U86" s="97">
        <f t="shared" si="17"/>
        <v>-3.3382789317507489E-2</v>
      </c>
      <c r="V86" s="97">
        <f t="shared" si="17"/>
        <v>-9.8214285714285809E-2</v>
      </c>
      <c r="W86" s="97">
        <f t="shared" si="17"/>
        <v>0.1050679851668725</v>
      </c>
      <c r="X86" s="97">
        <f t="shared" si="17"/>
        <v>9.3804284887087475E-2</v>
      </c>
      <c r="Y86" s="97">
        <f t="shared" si="17"/>
        <v>-0.31122448979591838</v>
      </c>
      <c r="Z86" s="97">
        <f t="shared" si="17"/>
        <v>0.25542570951585991</v>
      </c>
      <c r="AA86" s="97" t="str">
        <f t="shared" si="17"/>
        <v/>
      </c>
      <c r="AB86" s="97">
        <f t="shared" si="17"/>
        <v>0.16259676113189131</v>
      </c>
      <c r="AC86" s="97">
        <f t="shared" si="17"/>
        <v>7.194244604316502E-3</v>
      </c>
      <c r="AD86" s="97">
        <f t="shared" si="17"/>
        <v>-0.28515625</v>
      </c>
      <c r="AE86" s="97">
        <f t="shared" si="17"/>
        <v>-7.5872534142640391E-2</v>
      </c>
      <c r="AF86" s="97">
        <f t="shared" si="17"/>
        <v>-0.27188940092165892</v>
      </c>
      <c r="AG86" s="97" t="str">
        <f t="shared" si="17"/>
        <v/>
      </c>
      <c r="AH86" s="97">
        <f t="shared" si="17"/>
        <v>-0.25068119891008178</v>
      </c>
      <c r="AI86" s="97">
        <f t="shared" si="17"/>
        <v>-0.37285714285714289</v>
      </c>
      <c r="AJ86" s="97">
        <f t="shared" si="17"/>
        <v>-0.61337209302325579</v>
      </c>
      <c r="AK86" s="97">
        <f t="shared" si="17"/>
        <v>-0.27584670231729058</v>
      </c>
      <c r="AL86" s="97">
        <f t="shared" si="17"/>
        <v>6.2571103526735117E-2</v>
      </c>
      <c r="AM86" s="97">
        <f t="shared" si="17"/>
        <v>-5.7142857142857162E-2</v>
      </c>
      <c r="AN86" s="97">
        <f t="shared" si="17"/>
        <v>-0.22161290322580651</v>
      </c>
      <c r="AO86" s="97">
        <f t="shared" si="17"/>
        <v>-7.1570576540755493E-2</v>
      </c>
      <c r="AP86" s="97">
        <f t="shared" si="17"/>
        <v>-8.6345381526104492E-2</v>
      </c>
      <c r="AQ86" s="97" t="str">
        <f t="shared" si="17"/>
        <v/>
      </c>
      <c r="AR86" s="97">
        <f t="shared" si="17"/>
        <v>-8.8757396449704151E-2</v>
      </c>
      <c r="AS86" s="97" t="str">
        <f t="shared" si="17"/>
        <v/>
      </c>
      <c r="AT86" s="97">
        <f t="shared" si="17"/>
        <v>0.1111111111111109</v>
      </c>
      <c r="AU86" s="97" t="str">
        <f t="shared" si="17"/>
        <v/>
      </c>
      <c r="AV86" s="97">
        <f t="shared" si="17"/>
        <v>-3.940189937361005E-3</v>
      </c>
      <c r="AW86" s="97">
        <f t="shared" si="17"/>
        <v>-1.252609603340293E-2</v>
      </c>
      <c r="AX86" s="97">
        <f t="shared" si="17"/>
        <v>-0.33431952662721892</v>
      </c>
      <c r="AY86" s="97">
        <f t="shared" si="17"/>
        <v>-0.2846153846153846</v>
      </c>
      <c r="AZ86" s="97">
        <f t="shared" si="17"/>
        <v>0.1750902527075813</v>
      </c>
      <c r="BA86" s="97">
        <f t="shared" si="17"/>
        <v>-0.42726231386025199</v>
      </c>
      <c r="BB86" s="97">
        <f t="shared" si="17"/>
        <v>0.1000000000000001</v>
      </c>
      <c r="BC86" s="97">
        <f t="shared" si="17"/>
        <v>-0.27622055533622852</v>
      </c>
      <c r="BD86" s="97">
        <f t="shared" si="17"/>
        <v>-0.1228473019517797</v>
      </c>
      <c r="BE86" s="97">
        <f t="shared" si="17"/>
        <v>9.5890410958904049E-2</v>
      </c>
      <c r="BF86" s="97">
        <f t="shared" si="17"/>
        <v>-0.22531645569620251</v>
      </c>
      <c r="BG86" s="97">
        <f t="shared" si="17"/>
        <v>0.2200000000000002</v>
      </c>
      <c r="BH86" s="97">
        <f t="shared" si="17"/>
        <v>-0.1186248583301851</v>
      </c>
      <c r="BI86" s="97" t="str">
        <f t="shared" si="17"/>
        <v/>
      </c>
      <c r="BJ86" s="97">
        <f t="shared" si="17"/>
        <v>-8.064516129032262E-2</v>
      </c>
      <c r="BK86" s="97">
        <f t="shared" si="17"/>
        <v>-0.19426129426129429</v>
      </c>
      <c r="BL86" s="97">
        <f t="shared" si="17"/>
        <v>0.25080668817835128</v>
      </c>
      <c r="BM86" s="97">
        <f t="shared" si="17"/>
        <v>-0.1359999999999999</v>
      </c>
      <c r="BN86" s="97" t="str">
        <f t="shared" si="17"/>
        <v/>
      </c>
      <c r="BO86" s="97">
        <f t="shared" si="16"/>
        <v>-0.25458015267175571</v>
      </c>
      <c r="BP86" s="97">
        <f t="shared" si="16"/>
        <v>-0.1233834323663056</v>
      </c>
      <c r="BQ86" s="97">
        <f t="shared" si="16"/>
        <v>3.1698564593301448E-2</v>
      </c>
      <c r="BR86" s="97">
        <f t="shared" si="16"/>
        <v>-4.6035805626598481E-2</v>
      </c>
      <c r="BS86" s="97">
        <f t="shared" si="16"/>
        <v>0.2929841897233203</v>
      </c>
      <c r="BT86" s="97">
        <f t="shared" si="16"/>
        <v>-0.20203665987780051</v>
      </c>
      <c r="BU86" s="97" t="str">
        <f t="shared" si="16"/>
        <v/>
      </c>
      <c r="BV86" s="97">
        <f t="shared" si="16"/>
        <v>-0.20610687022900759</v>
      </c>
      <c r="BW86" s="97">
        <f t="shared" si="16"/>
        <v>6.2818052890631471E-2</v>
      </c>
      <c r="BX86" s="97">
        <f t="shared" si="16"/>
        <v>9.7095017915536763E-2</v>
      </c>
      <c r="BY86" s="97" t="str">
        <f t="shared" si="16"/>
        <v/>
      </c>
      <c r="BZ86" s="97">
        <f t="shared" si="16"/>
        <v>0</v>
      </c>
      <c r="CA86" s="97">
        <f t="shared" si="16"/>
        <v>-0.23962264150943391</v>
      </c>
      <c r="CB86" s="97">
        <f t="shared" si="16"/>
        <v>-4.6072134387351693E-2</v>
      </c>
      <c r="CC86" s="97">
        <f t="shared" si="16"/>
        <v>0.1136105674495396</v>
      </c>
      <c r="CD86" s="97">
        <f t="shared" si="16"/>
        <v>-9.8999999999999866E-2</v>
      </c>
      <c r="CE86" s="97">
        <f t="shared" si="16"/>
        <v>0.17349397590361451</v>
      </c>
      <c r="CF86" s="97">
        <f t="shared" si="16"/>
        <v>-0.22142857142857131</v>
      </c>
      <c r="CG86" s="97" t="str">
        <f t="shared" si="16"/>
        <v/>
      </c>
      <c r="CH86" s="97" t="str">
        <f t="shared" si="16"/>
        <v/>
      </c>
      <c r="CI86" s="97" t="str">
        <f t="shared" si="16"/>
        <v/>
      </c>
      <c r="CJ86" s="97">
        <f t="shared" si="16"/>
        <v>3.266893807812532E-2</v>
      </c>
      <c r="CK86" s="97">
        <f t="shared" si="16"/>
        <v>-0.24679999999999999</v>
      </c>
      <c r="CL86" s="97">
        <f t="shared" si="16"/>
        <v>0.19982238010657191</v>
      </c>
      <c r="CM86" s="97" t="str">
        <f t="shared" si="16"/>
        <v/>
      </c>
      <c r="CN86" s="97">
        <f t="shared" si="16"/>
        <v>-0.28443113772455092</v>
      </c>
      <c r="CO86" s="97">
        <f t="shared" si="16"/>
        <v>0.57008717762440964</v>
      </c>
      <c r="CP86" s="97">
        <f t="shared" si="16"/>
        <v>-5.2396878483835119E-2</v>
      </c>
      <c r="CQ86" s="97">
        <f t="shared" si="16"/>
        <v>1.9005847953216248E-2</v>
      </c>
      <c r="CR86" s="97">
        <f t="shared" si="16"/>
        <v>4.1735484949696262E-2</v>
      </c>
      <c r="CS86" s="97">
        <f t="shared" si="16"/>
        <v>-0.10694444444444449</v>
      </c>
      <c r="CT86" s="97">
        <f t="shared" si="16"/>
        <v>1.8867924528301879E-2</v>
      </c>
      <c r="CU86" s="97">
        <f t="shared" si="16"/>
        <v>-0.25702393340270552</v>
      </c>
      <c r="CV86" s="97">
        <f t="shared" si="16"/>
        <v>4.2371495129421399E-2</v>
      </c>
      <c r="CW86" s="97">
        <f t="shared" si="16"/>
        <v>8.4003574620196586E-2</v>
      </c>
      <c r="CX86" s="97">
        <f t="shared" si="16"/>
        <v>0.14348156594450789</v>
      </c>
      <c r="CY86" s="97">
        <f t="shared" si="16"/>
        <v>-0.10256410256410251</v>
      </c>
      <c r="CZ86" s="97">
        <f t="shared" si="16"/>
        <v>9.9013205661984571E-2</v>
      </c>
      <c r="DA86" s="97">
        <f t="shared" si="16"/>
        <v>9.6432552954292206E-2</v>
      </c>
      <c r="DB86" s="97">
        <f t="shared" si="16"/>
        <v>-4.7954866008462549E-2</v>
      </c>
      <c r="DC86" s="97">
        <f t="shared" si="16"/>
        <v>6.6754848468147499E-2</v>
      </c>
      <c r="DD86" s="97">
        <f t="shared" si="16"/>
        <v>0.14171922246220331</v>
      </c>
      <c r="DE86" s="97">
        <f t="shared" si="16"/>
        <v>0.16433566433566421</v>
      </c>
      <c r="DF86" s="97">
        <f t="shared" si="16"/>
        <v>-0.34392803598200888</v>
      </c>
      <c r="DG86" s="97">
        <f t="shared" si="16"/>
        <v>-0.44838056680161942</v>
      </c>
      <c r="DH86" s="97" t="str">
        <f t="shared" si="16"/>
        <v/>
      </c>
      <c r="DI86" s="97">
        <f t="shared" si="16"/>
        <v>0.26147816349384101</v>
      </c>
      <c r="DJ86" s="97">
        <f t="shared" si="16"/>
        <v>-0.20385674931129469</v>
      </c>
      <c r="DK86" s="97">
        <f t="shared" si="16"/>
        <v>-0.18302486446064681</v>
      </c>
      <c r="DL86" s="97">
        <f t="shared" si="16"/>
        <v>-1.094418465824365E-3</v>
      </c>
      <c r="DM86" s="97">
        <f t="shared" si="16"/>
        <v>0.1566820276497696</v>
      </c>
      <c r="DN86" s="97">
        <f t="shared" si="16"/>
        <v>-0.1734417344173442</v>
      </c>
      <c r="DO86" s="97" t="str">
        <f t="shared" si="16"/>
        <v/>
      </c>
      <c r="DP86" s="97">
        <f t="shared" si="16"/>
        <v>-7.8434317642464446E-2</v>
      </c>
      <c r="DQ86" s="97">
        <f t="shared" si="16"/>
        <v>-0.2106451612903226</v>
      </c>
      <c r="DR86" s="97">
        <f t="shared" si="16"/>
        <v>-0.1396226415094339</v>
      </c>
      <c r="DS86" s="97">
        <f t="shared" si="16"/>
        <v>-2.702702702702697E-2</v>
      </c>
      <c r="DT86" s="97" t="str">
        <f t="shared" si="16"/>
        <v/>
      </c>
      <c r="DU86" s="97">
        <f t="shared" si="16"/>
        <v>-0.15413533834586471</v>
      </c>
      <c r="DV86" s="97" t="str">
        <f t="shared" si="16"/>
        <v/>
      </c>
      <c r="DW86" s="97">
        <f t="shared" si="16"/>
        <v>-6.3576158940397254E-2</v>
      </c>
      <c r="DX86" s="97" t="str">
        <f t="shared" si="16"/>
        <v/>
      </c>
      <c r="DY86" s="97">
        <f t="shared" si="16"/>
        <v>-0.14053390610616739</v>
      </c>
      <c r="DZ86" s="97">
        <f t="shared" si="15"/>
        <v>-0.30533596837944649</v>
      </c>
      <c r="EA86" s="97">
        <f t="shared" si="9"/>
        <v>-0.20887728459530031</v>
      </c>
      <c r="EB86" s="97">
        <f t="shared" si="9"/>
        <v>-0.15</v>
      </c>
      <c r="EC86" s="97">
        <f t="shared" si="9"/>
        <v>-0.2135531872109391</v>
      </c>
      <c r="ED86" s="97">
        <f t="shared" si="9"/>
        <v>-0.29161747343565531</v>
      </c>
      <c r="EE86" s="97">
        <f t="shared" si="9"/>
        <v>-0.28181818181818191</v>
      </c>
      <c r="EF86" s="97">
        <f t="shared" si="9"/>
        <v>-0.2146666666666667</v>
      </c>
      <c r="EG86" s="97">
        <f t="shared" si="9"/>
        <v>-0.114975845410628</v>
      </c>
      <c r="EH86" s="97">
        <f t="shared" si="9"/>
        <v>-0.26709401709401709</v>
      </c>
      <c r="EI86" s="97">
        <f t="shared" si="9"/>
        <v>9.9108037026290896E-2</v>
      </c>
      <c r="EJ86" s="97">
        <f t="shared" si="9"/>
        <v>1.0687022900763401E-2</v>
      </c>
      <c r="EK86" s="97">
        <f t="shared" si="9"/>
        <v>-9.7087378640776656E-3</v>
      </c>
      <c r="EL86" s="97">
        <f t="shared" si="9"/>
        <v>0.40191387559808622</v>
      </c>
      <c r="EM86" s="97">
        <f t="shared" si="9"/>
        <v>-0.3571428571428571</v>
      </c>
      <c r="EN86" s="97">
        <f t="shared" si="9"/>
        <v>9.9035884213357628E-2</v>
      </c>
      <c r="EO86" s="97">
        <f t="shared" si="9"/>
        <v>0.112388250319285</v>
      </c>
    </row>
    <row r="87" spans="1:145" outlineLevel="1" x14ac:dyDescent="0.25">
      <c r="A87">
        <v>2022</v>
      </c>
      <c r="B87">
        <v>1</v>
      </c>
      <c r="C87" s="97">
        <f t="shared" si="17"/>
        <v>-5.2741390128007382E-2</v>
      </c>
      <c r="D87" s="97">
        <f t="shared" si="17"/>
        <v>0</v>
      </c>
      <c r="E87" s="97">
        <f t="shared" si="17"/>
        <v>-0.24896836313617601</v>
      </c>
      <c r="F87" s="97">
        <f t="shared" si="17"/>
        <v>-0.2296296296296296</v>
      </c>
      <c r="G87" s="97" t="str">
        <f t="shared" si="17"/>
        <v/>
      </c>
      <c r="H87" s="97">
        <f t="shared" si="17"/>
        <v>-0.25672371638141811</v>
      </c>
      <c r="I87" s="97" t="str">
        <f t="shared" si="17"/>
        <v/>
      </c>
      <c r="J87" s="97">
        <f t="shared" si="17"/>
        <v>-8.587376556462023E-3</v>
      </c>
      <c r="K87" s="97">
        <f t="shared" si="17"/>
        <v>-7.5156576200417602E-2</v>
      </c>
      <c r="L87" s="97">
        <f t="shared" si="17"/>
        <v>7.4796747967479593E-2</v>
      </c>
      <c r="M87" s="97">
        <f t="shared" si="17"/>
        <v>-0.12282986111111099</v>
      </c>
      <c r="N87" s="97" t="str">
        <f t="shared" si="17"/>
        <v/>
      </c>
      <c r="O87" s="97" t="str">
        <f t="shared" si="17"/>
        <v/>
      </c>
      <c r="P87" s="97">
        <f t="shared" si="17"/>
        <v>-0.30077120822622111</v>
      </c>
      <c r="Q87" s="97">
        <f t="shared" si="17"/>
        <v>-0.1907514450867053</v>
      </c>
      <c r="R87" s="97">
        <f t="shared" si="17"/>
        <v>-0.1296566837107378</v>
      </c>
      <c r="S87" s="97" t="str">
        <f t="shared" si="17"/>
        <v/>
      </c>
      <c r="T87" s="97">
        <f t="shared" si="17"/>
        <v>0.18807339449541269</v>
      </c>
      <c r="U87" s="97">
        <f t="shared" si="17"/>
        <v>-0.20951650038372971</v>
      </c>
      <c r="V87" s="97">
        <f t="shared" si="17"/>
        <v>-0.25495049504950501</v>
      </c>
      <c r="W87" s="97">
        <f t="shared" si="17"/>
        <v>-0.2013422818791947</v>
      </c>
      <c r="X87" s="97">
        <f t="shared" si="17"/>
        <v>-0.27368978295394392</v>
      </c>
      <c r="Y87" s="97">
        <f t="shared" si="17"/>
        <v>-2.9629629629629669E-2</v>
      </c>
      <c r="Z87" s="97">
        <f t="shared" si="17"/>
        <v>-0.54920212765957444</v>
      </c>
      <c r="AA87" s="97" t="str">
        <f t="shared" si="17"/>
        <v/>
      </c>
      <c r="AB87" s="97">
        <f t="shared" si="17"/>
        <v>4.9877964942656172E-2</v>
      </c>
      <c r="AC87" s="97">
        <f t="shared" si="17"/>
        <v>4.0816326530610514E-3</v>
      </c>
      <c r="AD87" s="97">
        <f t="shared" si="17"/>
        <v>-0.26229508196721318</v>
      </c>
      <c r="AE87" s="97">
        <f t="shared" si="17"/>
        <v>-4.9261083743842297E-2</v>
      </c>
      <c r="AF87" s="97">
        <f t="shared" si="17"/>
        <v>-0.30379746835443028</v>
      </c>
      <c r="AG87" s="97" t="str">
        <f t="shared" si="17"/>
        <v/>
      </c>
      <c r="AH87" s="97">
        <f t="shared" si="17"/>
        <v>-0.29090909090909089</v>
      </c>
      <c r="AI87" s="97">
        <f t="shared" si="17"/>
        <v>-0.14436218678815491</v>
      </c>
      <c r="AJ87" s="97">
        <f t="shared" si="17"/>
        <v>-0.23308270676691731</v>
      </c>
      <c r="AK87" s="97">
        <f t="shared" si="17"/>
        <v>-0.13076923076923069</v>
      </c>
      <c r="AL87" s="97">
        <f t="shared" si="17"/>
        <v>-4.4432548179871412E-2</v>
      </c>
      <c r="AM87" s="97">
        <f t="shared" si="17"/>
        <v>-5.2020202020202078E-2</v>
      </c>
      <c r="AN87" s="97">
        <f t="shared" si="17"/>
        <v>-0.15043514297554911</v>
      </c>
      <c r="AO87" s="97">
        <f t="shared" si="17"/>
        <v>-0.28051391862955027</v>
      </c>
      <c r="AP87" s="97">
        <f t="shared" si="17"/>
        <v>-7.0329670329670191E-2</v>
      </c>
      <c r="AQ87" s="97" t="str">
        <f t="shared" si="17"/>
        <v/>
      </c>
      <c r="AR87" s="97">
        <f t="shared" si="17"/>
        <v>-1.9480519480519431E-2</v>
      </c>
      <c r="AS87" s="97" t="str">
        <f t="shared" si="17"/>
        <v/>
      </c>
      <c r="AT87" s="97">
        <f t="shared" si="17"/>
        <v>-0.215</v>
      </c>
      <c r="AU87" s="97">
        <f t="shared" si="17"/>
        <v>-7.4349442379182404E-3</v>
      </c>
      <c r="AV87" s="97">
        <f t="shared" si="17"/>
        <v>-0.23227507860837809</v>
      </c>
      <c r="AW87" s="97">
        <f t="shared" si="17"/>
        <v>-8.2452431289640638E-2</v>
      </c>
      <c r="AX87" s="97">
        <f t="shared" si="17"/>
        <v>-0.38222222222222219</v>
      </c>
      <c r="AY87" s="97">
        <f t="shared" si="17"/>
        <v>-0.31580645161290322</v>
      </c>
      <c r="AZ87" s="97">
        <f t="shared" si="17"/>
        <v>0.13978494623655921</v>
      </c>
      <c r="BA87" s="97">
        <f t="shared" si="17"/>
        <v>-0.14199999999999999</v>
      </c>
      <c r="BB87" s="97">
        <f t="shared" si="17"/>
        <v>-0.13752913752913751</v>
      </c>
      <c r="BC87" s="97">
        <f t="shared" si="17"/>
        <v>-8.7272727272728057E-3</v>
      </c>
      <c r="BD87" s="97">
        <f t="shared" si="17"/>
        <v>-0.1099476439790575</v>
      </c>
      <c r="BE87" s="97">
        <f t="shared" si="17"/>
        <v>-0.23</v>
      </c>
      <c r="BF87" s="97">
        <f t="shared" si="17"/>
        <v>-0.23447712418300659</v>
      </c>
      <c r="BG87" s="97">
        <f t="shared" si="17"/>
        <v>-0.31260599208592432</v>
      </c>
      <c r="BH87" s="97">
        <f t="shared" si="17"/>
        <v>-0.27218174024860692</v>
      </c>
      <c r="BI87" s="97" t="str">
        <f t="shared" si="17"/>
        <v/>
      </c>
      <c r="BJ87" s="97">
        <f t="shared" si="17"/>
        <v>-0.1402631578947369</v>
      </c>
      <c r="BK87" s="97">
        <f t="shared" si="17"/>
        <v>-0.14108198211850281</v>
      </c>
      <c r="BL87" s="97">
        <f t="shared" si="17"/>
        <v>-0.1590056285178236</v>
      </c>
      <c r="BM87" s="97">
        <f t="shared" si="17"/>
        <v>-0.1319444444444445</v>
      </c>
      <c r="BN87" s="97" t="str">
        <f t="shared" si="17"/>
        <v/>
      </c>
      <c r="BO87" s="97">
        <f t="shared" si="16"/>
        <v>-1.8945212493599709E-2</v>
      </c>
      <c r="BP87" s="97">
        <f t="shared" si="16"/>
        <v>-0.2240829346092503</v>
      </c>
      <c r="BQ87" s="97">
        <f t="shared" si="16"/>
        <v>-7.072463768115933E-2</v>
      </c>
      <c r="BR87" s="97">
        <f t="shared" si="16"/>
        <v>-0.15013404825737259</v>
      </c>
      <c r="BS87" s="97">
        <f t="shared" si="16"/>
        <v>-9.2663354986625923E-2</v>
      </c>
      <c r="BT87" s="97">
        <f t="shared" si="16"/>
        <v>-0.12557427258805509</v>
      </c>
      <c r="BU87" s="97" t="str">
        <f t="shared" si="16"/>
        <v/>
      </c>
      <c r="BV87" s="97">
        <f t="shared" si="16"/>
        <v>-0.21769230769230771</v>
      </c>
      <c r="BW87" s="97">
        <f t="shared" si="16"/>
        <v>9.0345368916797453E-2</v>
      </c>
      <c r="BX87" s="97">
        <f t="shared" si="16"/>
        <v>7.1315922402723766E-3</v>
      </c>
      <c r="BY87" s="97" t="str">
        <f t="shared" si="16"/>
        <v/>
      </c>
      <c r="BZ87" s="97">
        <f t="shared" si="16"/>
        <v>-0.49006622516556297</v>
      </c>
      <c r="CA87" s="97">
        <f t="shared" si="16"/>
        <v>-7.4441687344913854E-3</v>
      </c>
      <c r="CB87" s="97">
        <f t="shared" si="16"/>
        <v>-0.19312443351029401</v>
      </c>
      <c r="CC87" s="97">
        <f t="shared" si="16"/>
        <v>-0.1116138379997266</v>
      </c>
      <c r="CD87" s="97">
        <f t="shared" si="16"/>
        <v>2.9159519725557411E-2</v>
      </c>
      <c r="CE87" s="97">
        <f t="shared" si="16"/>
        <v>0.16221765913757699</v>
      </c>
      <c r="CF87" s="97">
        <f t="shared" si="16"/>
        <v>-6.1926605504587277E-2</v>
      </c>
      <c r="CG87" s="97" t="str">
        <f t="shared" si="16"/>
        <v/>
      </c>
      <c r="CH87" s="97" t="str">
        <f t="shared" si="16"/>
        <v/>
      </c>
      <c r="CI87" s="97" t="str">
        <f t="shared" si="16"/>
        <v/>
      </c>
      <c r="CJ87" s="97">
        <f t="shared" si="16"/>
        <v>6.3153306357486283E-2</v>
      </c>
      <c r="CK87" s="97">
        <f t="shared" si="16"/>
        <v>-0.20313329792883689</v>
      </c>
      <c r="CL87" s="97">
        <f t="shared" si="16"/>
        <v>-0.17690599555884531</v>
      </c>
      <c r="CM87" s="97" t="str">
        <f t="shared" si="16"/>
        <v/>
      </c>
      <c r="CN87" s="97">
        <f t="shared" si="16"/>
        <v>-0.37866108786610869</v>
      </c>
      <c r="CO87" s="97">
        <f t="shared" si="16"/>
        <v>-0.56646115050492196</v>
      </c>
      <c r="CP87" s="97">
        <f t="shared" si="16"/>
        <v>-0.28235294117647058</v>
      </c>
      <c r="CQ87" s="97">
        <f t="shared" si="16"/>
        <v>-0.18794835007173591</v>
      </c>
      <c r="CR87" s="97">
        <f t="shared" si="16"/>
        <v>4.7947699113312092E-2</v>
      </c>
      <c r="CS87" s="97">
        <f t="shared" si="16"/>
        <v>-6.6874027993779173E-2</v>
      </c>
      <c r="CT87" s="97">
        <f t="shared" si="16"/>
        <v>0.41975308641975301</v>
      </c>
      <c r="CU87" s="97">
        <f t="shared" si="16"/>
        <v>-0.37254901960784298</v>
      </c>
      <c r="CV87" s="97">
        <f t="shared" si="16"/>
        <v>-5.4848188050930502E-2</v>
      </c>
      <c r="CW87" s="97">
        <f t="shared" si="16"/>
        <v>-6.9249793899422873E-2</v>
      </c>
      <c r="CX87" s="97">
        <f t="shared" si="16"/>
        <v>4.3210902443078007E-2</v>
      </c>
      <c r="CY87" s="97">
        <f t="shared" si="16"/>
        <v>-0.24489795918367349</v>
      </c>
      <c r="CZ87" s="97">
        <f t="shared" si="16"/>
        <v>-0.1010162164720546</v>
      </c>
      <c r="DA87" s="97">
        <f t="shared" si="16"/>
        <v>-0.1459074733096086</v>
      </c>
      <c r="DB87" s="97">
        <f t="shared" si="16"/>
        <v>-0.13111111111111109</v>
      </c>
      <c r="DC87" s="97">
        <f t="shared" si="16"/>
        <v>-2.1334672789896762E-2</v>
      </c>
      <c r="DD87" s="97">
        <f t="shared" si="16"/>
        <v>9.0651815306383998E-3</v>
      </c>
      <c r="DE87" s="97">
        <f t="shared" si="16"/>
        <v>-0.48048048048048042</v>
      </c>
      <c r="DF87" s="97">
        <f t="shared" si="16"/>
        <v>-9.7577696526508384E-2</v>
      </c>
      <c r="DG87" s="97">
        <f t="shared" si="16"/>
        <v>0.26788990825688058</v>
      </c>
      <c r="DH87" s="97" t="str">
        <f t="shared" si="16"/>
        <v/>
      </c>
      <c r="DI87" s="97">
        <f t="shared" si="16"/>
        <v>-0.18375499334221029</v>
      </c>
      <c r="DJ87" s="97">
        <f t="shared" si="16"/>
        <v>-0.41522491349480972</v>
      </c>
      <c r="DK87" s="97">
        <f t="shared" si="16"/>
        <v>1.2585812356979311E-2</v>
      </c>
      <c r="DL87" s="97">
        <f t="shared" si="16"/>
        <v>4.980079681274896E-3</v>
      </c>
      <c r="DM87" s="97">
        <f t="shared" si="16"/>
        <v>-0.14143426294820721</v>
      </c>
      <c r="DN87" s="97">
        <f t="shared" si="16"/>
        <v>-0.19672131147540969</v>
      </c>
      <c r="DO87" s="97" t="str">
        <f t="shared" si="16"/>
        <v/>
      </c>
      <c r="DP87" s="97">
        <f t="shared" si="16"/>
        <v>-0.1343144924701741</v>
      </c>
      <c r="DQ87" s="97">
        <f t="shared" si="16"/>
        <v>-2.9423784225582339E-2</v>
      </c>
      <c r="DR87" s="97">
        <f t="shared" si="16"/>
        <v>-0.16885964912280699</v>
      </c>
      <c r="DS87" s="97">
        <f t="shared" si="16"/>
        <v>5.7956104252400609E-2</v>
      </c>
      <c r="DT87" s="97" t="str">
        <f t="shared" si="16"/>
        <v/>
      </c>
      <c r="DU87" s="97">
        <f t="shared" si="16"/>
        <v>-0.108</v>
      </c>
      <c r="DV87" s="97" t="str">
        <f t="shared" si="16"/>
        <v/>
      </c>
      <c r="DW87" s="97">
        <f t="shared" si="16"/>
        <v>-0.1131541725601133</v>
      </c>
      <c r="DX87" s="97" t="str">
        <f t="shared" si="16"/>
        <v/>
      </c>
      <c r="DY87" s="97">
        <f t="shared" si="16"/>
        <v>-0.1420921099607283</v>
      </c>
      <c r="DZ87" s="97">
        <f t="shared" si="15"/>
        <v>-0.15220483641536281</v>
      </c>
      <c r="EA87" s="97">
        <f t="shared" si="9"/>
        <v>-0.27722772277227731</v>
      </c>
      <c r="EB87" s="97">
        <f t="shared" si="9"/>
        <v>-0.2352941176470589</v>
      </c>
      <c r="EC87" s="97">
        <f t="shared" si="9"/>
        <v>-0.1847353618000511</v>
      </c>
      <c r="ED87" s="97">
        <f t="shared" si="9"/>
        <v>2.5588235294117689E-2</v>
      </c>
      <c r="EE87" s="97">
        <f t="shared" si="9"/>
        <v>-0.14627285513361449</v>
      </c>
      <c r="EF87" s="97">
        <f t="shared" si="9"/>
        <v>-0.1171477079796264</v>
      </c>
      <c r="EG87" s="97">
        <f t="shared" si="9"/>
        <v>-0.1058951965065503</v>
      </c>
      <c r="EH87" s="97">
        <f t="shared" si="9"/>
        <v>-0.37900874635568521</v>
      </c>
      <c r="EI87" s="97">
        <f t="shared" si="9"/>
        <v>0.1064275495605969</v>
      </c>
      <c r="EJ87" s="97">
        <f t="shared" si="9"/>
        <v>-0.18126888217522649</v>
      </c>
      <c r="EK87" s="97">
        <f t="shared" si="9"/>
        <v>-0.39088235294117651</v>
      </c>
      <c r="EL87" s="97">
        <f t="shared" si="9"/>
        <v>-0.279863481228669</v>
      </c>
      <c r="EM87" s="97">
        <f t="shared" si="9"/>
        <v>-3.703703703703709E-2</v>
      </c>
      <c r="EN87" s="97">
        <f t="shared" si="9"/>
        <v>-0.17996243785177601</v>
      </c>
      <c r="EO87" s="97">
        <f t="shared" si="9"/>
        <v>-0.172215843857635</v>
      </c>
    </row>
    <row r="88" spans="1:145" outlineLevel="1" x14ac:dyDescent="0.25">
      <c r="A88">
        <v>2022</v>
      </c>
      <c r="B88">
        <v>2</v>
      </c>
      <c r="C88" s="97">
        <f t="shared" si="17"/>
        <v>-2.929882150228369E-2</v>
      </c>
      <c r="D88" s="97">
        <f t="shared" si="17"/>
        <v>0</v>
      </c>
      <c r="E88" s="97">
        <f t="shared" si="17"/>
        <v>0.36468703176497042</v>
      </c>
      <c r="F88" s="97">
        <f t="shared" si="17"/>
        <v>-9.3972173192786723E-3</v>
      </c>
      <c r="G88" s="97" t="str">
        <f t="shared" si="17"/>
        <v/>
      </c>
      <c r="H88" s="97">
        <f t="shared" si="17"/>
        <v>-0.17905814849336779</v>
      </c>
      <c r="I88" s="97" t="str">
        <f t="shared" si="17"/>
        <v/>
      </c>
      <c r="J88" s="97">
        <f t="shared" si="17"/>
        <v>0.20030478487947542</v>
      </c>
      <c r="K88" s="97">
        <f t="shared" si="17"/>
        <v>2.2791530727257259E-2</v>
      </c>
      <c r="L88" s="97">
        <f t="shared" si="17"/>
        <v>0.10309259997386681</v>
      </c>
      <c r="M88" s="97">
        <f t="shared" si="17"/>
        <v>-7.32603087058733E-2</v>
      </c>
      <c r="N88" s="97" t="str">
        <f t="shared" si="17"/>
        <v/>
      </c>
      <c r="O88" s="97" t="str">
        <f t="shared" si="17"/>
        <v/>
      </c>
      <c r="P88" s="97">
        <f t="shared" si="17"/>
        <v>2.595346141375288E-2</v>
      </c>
      <c r="Q88" s="97">
        <f t="shared" si="17"/>
        <v>-5.3829451751513102E-2</v>
      </c>
      <c r="R88" s="97">
        <f t="shared" si="17"/>
        <v>-9.322147461185315E-2</v>
      </c>
      <c r="S88" s="97" t="str">
        <f t="shared" si="17"/>
        <v/>
      </c>
      <c r="T88" s="97">
        <f t="shared" si="17"/>
        <v>-0.11175094467300609</v>
      </c>
      <c r="U88" s="97">
        <f t="shared" si="17"/>
        <v>-0.11046144435437959</v>
      </c>
      <c r="V88" s="97">
        <f t="shared" si="17"/>
        <v>0.33908859918979378</v>
      </c>
      <c r="W88" s="97">
        <f t="shared" si="17"/>
        <v>-0.11182665063106489</v>
      </c>
      <c r="X88" s="97">
        <f t="shared" si="17"/>
        <v>2.4635076917097098E-2</v>
      </c>
      <c r="Y88" s="97">
        <f t="shared" si="17"/>
        <v>-3.7949771635191754E-2</v>
      </c>
      <c r="Z88" s="97">
        <f t="shared" si="17"/>
        <v>-0.12957534302837778</v>
      </c>
      <c r="AA88" s="97" t="str">
        <f t="shared" si="17"/>
        <v/>
      </c>
      <c r="AB88" s="97">
        <f t="shared" si="17"/>
        <v>5.847197359371159E-2</v>
      </c>
      <c r="AC88" s="97">
        <f t="shared" si="17"/>
        <v>2.181672961059089E-4</v>
      </c>
      <c r="AD88" s="97">
        <f t="shared" si="17"/>
        <v>-1.4596647518708821E-2</v>
      </c>
      <c r="AE88" s="97">
        <f t="shared" si="17"/>
        <v>-0.104272333567452</v>
      </c>
      <c r="AF88" s="97">
        <f t="shared" si="17"/>
        <v>-0.30205455997662151</v>
      </c>
      <c r="AG88" s="97">
        <f t="shared" si="17"/>
        <v>-0.2268088597309211</v>
      </c>
      <c r="AH88" s="97">
        <f t="shared" si="17"/>
        <v>-0.18183311475517619</v>
      </c>
      <c r="AI88" s="97">
        <f t="shared" si="17"/>
        <v>-0.35086336348592412</v>
      </c>
      <c r="AJ88" s="97">
        <f t="shared" si="17"/>
        <v>-7.8213205252913753E-2</v>
      </c>
      <c r="AK88" s="97">
        <f t="shared" si="17"/>
        <v>-4.4029620314513518E-2</v>
      </c>
      <c r="AL88" s="97">
        <f t="shared" si="17"/>
        <v>9.0974469817114212E-2</v>
      </c>
      <c r="AM88" s="97">
        <f t="shared" si="17"/>
        <v>0.1877514651117691</v>
      </c>
      <c r="AN88" s="97">
        <f t="shared" si="17"/>
        <v>6.8510850222935016E-2</v>
      </c>
      <c r="AO88" s="97">
        <f t="shared" si="17"/>
        <v>-6.5258023180084446E-2</v>
      </c>
      <c r="AP88" s="97">
        <f t="shared" si="17"/>
        <v>0.15388246989657861</v>
      </c>
      <c r="AQ88" s="97" t="str">
        <f t="shared" si="17"/>
        <v/>
      </c>
      <c r="AR88" s="97">
        <f t="shared" si="17"/>
        <v>2.0085716964980179E-2</v>
      </c>
      <c r="AS88" s="97" t="str">
        <f t="shared" si="17"/>
        <v/>
      </c>
      <c r="AT88" s="97">
        <f t="shared" si="17"/>
        <v>-5.0737246716633044E-2</v>
      </c>
      <c r="AU88" s="97">
        <f t="shared" si="17"/>
        <v>-4.4725652928613191E-2</v>
      </c>
      <c r="AV88" s="97">
        <f t="shared" si="17"/>
        <v>-0.12357625733066128</v>
      </c>
      <c r="AW88" s="97">
        <f t="shared" si="17"/>
        <v>9.1231992180898613E-2</v>
      </c>
      <c r="AX88" s="97">
        <f t="shared" si="17"/>
        <v>9.3743347152221101E-2</v>
      </c>
      <c r="AY88" s="97">
        <f t="shared" si="17"/>
        <v>-0.56838154981846278</v>
      </c>
      <c r="AZ88" s="97">
        <f t="shared" si="17"/>
        <v>0.2333718061101222</v>
      </c>
      <c r="BA88" s="97">
        <f t="shared" si="17"/>
        <v>-4.6401879323940798E-2</v>
      </c>
      <c r="BB88" s="97">
        <f t="shared" si="17"/>
        <v>1.6434383512321959E-2</v>
      </c>
      <c r="BC88" s="97">
        <f t="shared" si="17"/>
        <v>0.16951383860938551</v>
      </c>
      <c r="BD88" s="97">
        <f t="shared" si="17"/>
        <v>-0.13287006799801179</v>
      </c>
      <c r="BE88" s="97">
        <f t="shared" si="17"/>
        <v>-9.069092361298503E-2</v>
      </c>
      <c r="BF88" s="97">
        <f t="shared" si="17"/>
        <v>6.2117847125348291E-2</v>
      </c>
      <c r="BG88" s="97">
        <f t="shared" si="17"/>
        <v>-9.5176569545999401E-2</v>
      </c>
      <c r="BH88" s="97">
        <f t="shared" si="17"/>
        <v>-2.805038394064319E-2</v>
      </c>
      <c r="BI88" s="97" t="str">
        <f t="shared" si="17"/>
        <v/>
      </c>
      <c r="BJ88" s="97">
        <f t="shared" si="17"/>
        <v>0.12255262296389491</v>
      </c>
      <c r="BK88" s="97">
        <f t="shared" si="17"/>
        <v>5.8638977124785283E-3</v>
      </c>
      <c r="BL88" s="97">
        <f t="shared" si="17"/>
        <v>0.1145516865376006</v>
      </c>
      <c r="BM88" s="97">
        <f t="shared" si="17"/>
        <v>2.821816729610593E-2</v>
      </c>
      <c r="BN88" s="97" t="str">
        <f t="shared" si="17"/>
        <v/>
      </c>
      <c r="BO88" s="97">
        <f t="shared" si="16"/>
        <v>0.1066899835800308</v>
      </c>
      <c r="BP88" s="97">
        <f t="shared" si="16"/>
        <v>-0.37182705366997837</v>
      </c>
      <c r="BQ88" s="97">
        <f t="shared" si="16"/>
        <v>0.1985962084689068</v>
      </c>
      <c r="BR88" s="97">
        <f t="shared" si="16"/>
        <v>7.9082520608408702E-2</v>
      </c>
      <c r="BS88" s="97">
        <f t="shared" si="16"/>
        <v>0.1684641138111615</v>
      </c>
      <c r="BT88" s="97">
        <f t="shared" si="16"/>
        <v>0.1648416348968065</v>
      </c>
      <c r="BU88" s="97" t="str">
        <f t="shared" si="16"/>
        <v/>
      </c>
      <c r="BV88" s="97">
        <f t="shared" si="16"/>
        <v>-0.43992440890841716</v>
      </c>
      <c r="BW88" s="97">
        <f t="shared" si="16"/>
        <v>-1.0508202295716251E-2</v>
      </c>
      <c r="BX88" s="97">
        <f t="shared" si="16"/>
        <v>-3.8391878705153704E-2</v>
      </c>
      <c r="BY88" s="97" t="str">
        <f t="shared" si="16"/>
        <v/>
      </c>
      <c r="BZ88" s="97">
        <f t="shared" si="16"/>
        <v>-0.18809352101558238</v>
      </c>
      <c r="CA88" s="97">
        <f t="shared" si="16"/>
        <v>-0.11228183270389409</v>
      </c>
      <c r="CB88" s="97">
        <f t="shared" si="16"/>
        <v>-0.1876178272477439</v>
      </c>
      <c r="CC88" s="97">
        <f t="shared" si="16"/>
        <v>2.3054193199280929E-2</v>
      </c>
      <c r="CD88" s="97">
        <f t="shared" si="16"/>
        <v>0.20610052023728231</v>
      </c>
      <c r="CE88" s="97">
        <f t="shared" si="16"/>
        <v>0.14332770793214822</v>
      </c>
      <c r="CF88" s="97">
        <f t="shared" si="16"/>
        <v>0.19092721375087371</v>
      </c>
      <c r="CG88" s="97" t="str">
        <f t="shared" si="16"/>
        <v/>
      </c>
      <c r="CH88" s="97" t="str">
        <f t="shared" si="16"/>
        <v/>
      </c>
      <c r="CI88" s="97" t="str">
        <f t="shared" si="16"/>
        <v/>
      </c>
      <c r="CJ88" s="97">
        <f t="shared" si="16"/>
        <v>-5.9920100818878219E-2</v>
      </c>
      <c r="CK88" s="97">
        <f t="shared" si="16"/>
        <v>5.2867284257118952E-2</v>
      </c>
      <c r="CL88" s="97">
        <f t="shared" si="16"/>
        <v>-7.8918523351376058E-2</v>
      </c>
      <c r="CM88" s="97" t="str">
        <f t="shared" si="16"/>
        <v/>
      </c>
      <c r="CN88" s="97">
        <f t="shared" si="16"/>
        <v>6.9521740301126123E-3</v>
      </c>
      <c r="CO88" s="97">
        <f t="shared" si="16"/>
        <v>-0.10963001435228389</v>
      </c>
      <c r="CP88" s="97">
        <f t="shared" si="16"/>
        <v>-0.17027363598258258</v>
      </c>
      <c r="CQ88" s="97">
        <f t="shared" si="16"/>
        <v>-1.3916108322268641E-2</v>
      </c>
      <c r="CR88" s="97">
        <f t="shared" si="16"/>
        <v>0.17879213075424641</v>
      </c>
      <c r="CS88" s="97">
        <f t="shared" si="16"/>
        <v>0.20021816729610592</v>
      </c>
      <c r="CT88" s="97">
        <f t="shared" si="16"/>
        <v>0.2741312107743667</v>
      </c>
      <c r="CU88" s="97">
        <f t="shared" si="16"/>
        <v>0.14977173872467731</v>
      </c>
      <c r="CV88" s="97">
        <f t="shared" si="16"/>
        <v>0.10384511030128721</v>
      </c>
      <c r="CW88" s="97">
        <f t="shared" si="16"/>
        <v>5.4779726197788696E-2</v>
      </c>
      <c r="CX88" s="97">
        <f t="shared" si="16"/>
        <v>6.2668382366999564E-2</v>
      </c>
      <c r="CY88" s="97">
        <f t="shared" si="16"/>
        <v>3.5353302431240907E-2</v>
      </c>
      <c r="CZ88" s="97">
        <f t="shared" si="16"/>
        <v>-0.10891107145138779</v>
      </c>
      <c r="DA88" s="97">
        <f t="shared" si="16"/>
        <v>7.9384833962772516E-2</v>
      </c>
      <c r="DB88" s="97">
        <f t="shared" si="16"/>
        <v>-0.23507595035095288</v>
      </c>
      <c r="DC88" s="97">
        <f t="shared" si="16"/>
        <v>-5.9966542661162518E-2</v>
      </c>
      <c r="DD88" s="97">
        <f t="shared" si="16"/>
        <v>-8.4789931570052879E-2</v>
      </c>
      <c r="DE88" s="97">
        <f t="shared" si="16"/>
        <v>-0.2020939714322178</v>
      </c>
      <c r="DF88" s="97">
        <f t="shared" si="16"/>
        <v>-0.21806494235190618</v>
      </c>
      <c r="DG88" s="97">
        <f t="shared" si="16"/>
        <v>-0.19466847042700058</v>
      </c>
      <c r="DH88" s="97" t="str">
        <f t="shared" si="16"/>
        <v/>
      </c>
      <c r="DI88" s="97">
        <f t="shared" si="16"/>
        <v>0.11549821079800911</v>
      </c>
      <c r="DJ88" s="97">
        <f t="shared" si="16"/>
        <v>0.1422300016156326</v>
      </c>
      <c r="DK88" s="97">
        <f t="shared" si="16"/>
        <v>-3.9103866602199222E-2</v>
      </c>
      <c r="DL88" s="97">
        <f t="shared" si="16"/>
        <v>4.1824884061159029E-3</v>
      </c>
      <c r="DM88" s="97">
        <f t="shared" si="16"/>
        <v>0.21831561509192962</v>
      </c>
      <c r="DN88" s="97">
        <f t="shared" si="16"/>
        <v>-0.1467206082140983</v>
      </c>
      <c r="DO88" s="97" t="str">
        <f t="shared" si="16"/>
        <v/>
      </c>
      <c r="DP88" s="97">
        <f t="shared" si="16"/>
        <v>-7.8121284836059957E-2</v>
      </c>
      <c r="DQ88" s="97">
        <f t="shared" si="16"/>
        <v>-0.1945186748091573</v>
      </c>
      <c r="DR88" s="97">
        <f t="shared" si="16"/>
        <v>-0.16073170077777268</v>
      </c>
      <c r="DS88" s="97">
        <f t="shared" si="16"/>
        <v>3.587456924100052E-2</v>
      </c>
      <c r="DT88" s="97" t="str">
        <f t="shared" si="16"/>
        <v/>
      </c>
      <c r="DU88" s="97">
        <f t="shared" si="16"/>
        <v>-0.12135632199138789</v>
      </c>
      <c r="DV88" s="97" t="str">
        <f t="shared" si="16"/>
        <v/>
      </c>
      <c r="DW88" s="97">
        <f t="shared" si="16"/>
        <v>-0.470276250566733</v>
      </c>
      <c r="DX88" s="97" t="str">
        <f t="shared" si="16"/>
        <v/>
      </c>
      <c r="DY88" s="97">
        <f t="shared" si="16"/>
        <v>-6.033114606219625E-2</v>
      </c>
      <c r="DZ88" s="97">
        <f t="shared" si="15"/>
        <v>2.370810018201186E-2</v>
      </c>
      <c r="EA88" s="97">
        <f t="shared" si="9"/>
        <v>-8.8822928594305073E-2</v>
      </c>
      <c r="EB88" s="97">
        <f t="shared" si="9"/>
        <v>-0.1690126019346633</v>
      </c>
      <c r="EC88" s="97">
        <f t="shared" si="9"/>
        <v>3.824878915989816E-3</v>
      </c>
      <c r="ED88" s="97">
        <f t="shared" si="9"/>
        <v>-2.4731646297240891E-2</v>
      </c>
      <c r="EE88" s="97">
        <f t="shared" si="9"/>
        <v>-0.21164344720142289</v>
      </c>
      <c r="EF88" s="97">
        <f t="shared" si="9"/>
        <v>7.5218167296105864E-2</v>
      </c>
      <c r="EG88" s="97">
        <f t="shared" si="9"/>
        <v>2.3417190495129248E-2</v>
      </c>
      <c r="EH88" s="97">
        <f t="shared" si="9"/>
        <v>1.8997510019110649E-2</v>
      </c>
      <c r="EI88" s="97">
        <f t="shared" si="9"/>
        <v>-0.25814402773198608</v>
      </c>
      <c r="EJ88" s="97">
        <f t="shared" si="9"/>
        <v>-0.28083964328200001</v>
      </c>
      <c r="EK88" s="97">
        <f t="shared" si="9"/>
        <v>-0.12725648263146538</v>
      </c>
      <c r="EL88" s="97">
        <f t="shared" si="9"/>
        <v>0.12818025260416291</v>
      </c>
      <c r="EM88" s="97">
        <f t="shared" si="9"/>
        <v>-0.17285875578081708</v>
      </c>
      <c r="EN88" s="97">
        <f t="shared" si="9"/>
        <v>-3.0513952415395233E-2</v>
      </c>
      <c r="EO88" s="97">
        <f t="shared" si="9"/>
        <v>-0.1773130393613144</v>
      </c>
    </row>
    <row r="89" spans="1:145" outlineLevel="1" x14ac:dyDescent="0.25">
      <c r="A89">
        <v>2022</v>
      </c>
      <c r="B89">
        <v>3</v>
      </c>
      <c r="C89" s="97">
        <f t="shared" si="17"/>
        <v>3.710201123854584E-2</v>
      </c>
      <c r="D89" s="97">
        <f t="shared" si="17"/>
        <v>0</v>
      </c>
      <c r="E89" s="97">
        <f t="shared" si="17"/>
        <v>0.15659329012298168</v>
      </c>
      <c r="F89" s="97">
        <f t="shared" si="17"/>
        <v>-2.4725534402984192E-2</v>
      </c>
      <c r="G89" s="97" t="str">
        <f t="shared" si="17"/>
        <v/>
      </c>
      <c r="H89" s="97">
        <f t="shared" si="17"/>
        <v>0.3983439054475908</v>
      </c>
      <c r="I89" s="97">
        <f t="shared" si="17"/>
        <v>-0.60987618214400585</v>
      </c>
      <c r="J89" s="97">
        <f t="shared" si="17"/>
        <v>0.29510747951018718</v>
      </c>
      <c r="K89" s="97">
        <f t="shared" si="17"/>
        <v>-7.9923888418286793E-2</v>
      </c>
      <c r="L89" s="97">
        <f t="shared" si="17"/>
        <v>-2.9260274104929932E-2</v>
      </c>
      <c r="M89" s="97">
        <f t="shared" si="17"/>
        <v>-0.24985288867469932</v>
      </c>
      <c r="N89" s="97" t="str">
        <f t="shared" si="17"/>
        <v/>
      </c>
      <c r="O89" s="97" t="str">
        <f t="shared" si="17"/>
        <v/>
      </c>
      <c r="P89" s="97">
        <f t="shared" si="17"/>
        <v>-6.4969818775048149E-2</v>
      </c>
      <c r="Q89" s="97">
        <f t="shared" si="17"/>
        <v>0.13219166641124966</v>
      </c>
      <c r="R89" s="97">
        <f t="shared" si="17"/>
        <v>3.7966307171266367E-2</v>
      </c>
      <c r="S89" s="97" t="str">
        <f t="shared" si="17"/>
        <v/>
      </c>
      <c r="T89" s="97">
        <f t="shared" si="17"/>
        <v>0.24737239721373186</v>
      </c>
      <c r="U89" s="97">
        <f t="shared" si="17"/>
        <v>0.47334543689476449</v>
      </c>
      <c r="V89" s="97">
        <f t="shared" si="17"/>
        <v>-0.15305914879986204</v>
      </c>
      <c r="W89" s="97">
        <f t="shared" si="17"/>
        <v>0.13834757208686296</v>
      </c>
      <c r="X89" s="97">
        <f t="shared" si="17"/>
        <v>0.47197605056315095</v>
      </c>
      <c r="Y89" s="97">
        <f t="shared" si="17"/>
        <v>-0.14331083259993282</v>
      </c>
      <c r="Z89" s="97">
        <f t="shared" si="17"/>
        <v>0.12835986957924386</v>
      </c>
      <c r="AA89" s="97" t="str">
        <f t="shared" si="17"/>
        <v/>
      </c>
      <c r="AB89" s="97">
        <f t="shared" si="17"/>
        <v>7.0900634650108874E-2</v>
      </c>
      <c r="AC89" s="97">
        <f t="shared" si="17"/>
        <v>3.6113509076165506E-3</v>
      </c>
      <c r="AD89" s="97">
        <f t="shared" si="17"/>
        <v>-7.5641659667602168E-2</v>
      </c>
      <c r="AE89" s="97">
        <f t="shared" si="17"/>
        <v>0.17119529772104808</v>
      </c>
      <c r="AF89" s="97">
        <f t="shared" si="17"/>
        <v>-0.10468821743008642</v>
      </c>
      <c r="AG89" s="97">
        <f t="shared" si="17"/>
        <v>0.37716868787958768</v>
      </c>
      <c r="AH89" s="97">
        <f t="shared" si="17"/>
        <v>0.43528298737319737</v>
      </c>
      <c r="AI89" s="97">
        <f t="shared" si="17"/>
        <v>-0.12609471538381564</v>
      </c>
      <c r="AJ89" s="97">
        <f t="shared" si="17"/>
        <v>0.15380162940614617</v>
      </c>
      <c r="AK89" s="97">
        <f t="shared" si="17"/>
        <v>1.8064828775728348E-2</v>
      </c>
      <c r="AL89" s="97">
        <f t="shared" si="17"/>
        <v>4.5257661053306641E-2</v>
      </c>
      <c r="AM89" s="97">
        <f t="shared" si="17"/>
        <v>9.8648387453212881E-3</v>
      </c>
      <c r="AN89" s="97">
        <f t="shared" si="17"/>
        <v>-0.11004273083868044</v>
      </c>
      <c r="AO89" s="97">
        <f t="shared" si="17"/>
        <v>-0.10236451776826783</v>
      </c>
      <c r="AP89" s="97">
        <f t="shared" si="17"/>
        <v>0.12249712992934117</v>
      </c>
      <c r="AQ89" s="97" t="str">
        <f t="shared" si="17"/>
        <v/>
      </c>
      <c r="AR89" s="97">
        <f t="shared" si="17"/>
        <v>0.16188397259487236</v>
      </c>
      <c r="AS89" s="97" t="str">
        <f t="shared" si="17"/>
        <v/>
      </c>
      <c r="AT89" s="97">
        <f t="shared" si="17"/>
        <v>-4.5368974279003099E-4</v>
      </c>
      <c r="AU89" s="97">
        <f t="shared" si="17"/>
        <v>-5.3394866213378189E-2</v>
      </c>
      <c r="AV89" s="97">
        <f t="shared" si="17"/>
        <v>9.6488434297070692E-3</v>
      </c>
      <c r="AW89" s="97">
        <f t="shared" si="17"/>
        <v>-8.2115076578411328E-2</v>
      </c>
      <c r="AX89" s="97">
        <f t="shared" si="17"/>
        <v>0.23638841552036766</v>
      </c>
      <c r="AY89" s="97">
        <f t="shared" si="17"/>
        <v>0.20173210260693678</v>
      </c>
      <c r="AZ89" s="97">
        <f t="shared" si="17"/>
        <v>0.22577581845393138</v>
      </c>
      <c r="BA89" s="97">
        <f t="shared" si="17"/>
        <v>0.13402063788557178</v>
      </c>
      <c r="BB89" s="97">
        <f t="shared" si="17"/>
        <v>0.15912077834231658</v>
      </c>
      <c r="BC89" s="97">
        <f t="shared" si="17"/>
        <v>-0.22398310150749592</v>
      </c>
      <c r="BD89" s="97">
        <f t="shared" si="17"/>
        <v>-0.17772256166815042</v>
      </c>
      <c r="BE89" s="97">
        <f t="shared" si="17"/>
        <v>8.883202454292416E-2</v>
      </c>
      <c r="BF89" s="97">
        <f t="shared" si="17"/>
        <v>0.22065183789540097</v>
      </c>
      <c r="BG89" s="97">
        <f t="shared" si="17"/>
        <v>1.1495463102572099</v>
      </c>
      <c r="BH89" s="97">
        <f t="shared" si="17"/>
        <v>0.10803115874205838</v>
      </c>
      <c r="BI89" s="97" t="str">
        <f t="shared" si="17"/>
        <v/>
      </c>
      <c r="BJ89" s="97">
        <f t="shared" si="17"/>
        <v>0.17227358298448256</v>
      </c>
      <c r="BK89" s="97">
        <f t="shared" si="17"/>
        <v>0.21358139797650816</v>
      </c>
      <c r="BL89" s="97">
        <f t="shared" si="17"/>
        <v>0.21701377772467748</v>
      </c>
      <c r="BM89" s="97">
        <f t="shared" si="17"/>
        <v>-0.11588819039129843</v>
      </c>
      <c r="BN89" s="97" t="str">
        <f t="shared" ref="BN89:DY93" si="18">IF(ISBLANK(BN26),"",BN26-$D26)</f>
        <v/>
      </c>
      <c r="BO89" s="97">
        <f t="shared" si="18"/>
        <v>-0.10526501049750712</v>
      </c>
      <c r="BP89" s="97">
        <f t="shared" si="16"/>
        <v>-2.0903509539194061E-3</v>
      </c>
      <c r="BQ89" s="97">
        <f t="shared" si="16"/>
        <v>6.8341811577825595E-3</v>
      </c>
      <c r="BR89" s="97">
        <f t="shared" si="16"/>
        <v>-5.3085268690158394E-2</v>
      </c>
      <c r="BS89" s="97">
        <f t="shared" si="16"/>
        <v>0.10246628141798866</v>
      </c>
      <c r="BT89" s="97">
        <f t="shared" si="16"/>
        <v>-0.11072937896584763</v>
      </c>
      <c r="BU89" s="97" t="str">
        <f t="shared" si="16"/>
        <v/>
      </c>
      <c r="BV89" s="97">
        <f t="shared" si="16"/>
        <v>0.55497989971933959</v>
      </c>
      <c r="BW89" s="97">
        <f t="shared" si="16"/>
        <v>0.13235085108096187</v>
      </c>
      <c r="BX89" s="97">
        <f t="shared" si="16"/>
        <v>7.647393121638757E-2</v>
      </c>
      <c r="BY89" s="97" t="str">
        <f t="shared" si="16"/>
        <v/>
      </c>
      <c r="BZ89" s="97">
        <f t="shared" si="16"/>
        <v>-4.6136897427900845E-3</v>
      </c>
      <c r="CA89" s="97">
        <f t="shared" si="16"/>
        <v>-7.0876224954057654E-2</v>
      </c>
      <c r="CB89" s="97">
        <f t="shared" si="16"/>
        <v>0.11088794234573007</v>
      </c>
      <c r="CC89" s="97">
        <f t="shared" si="16"/>
        <v>0.14525510154959087</v>
      </c>
      <c r="CD89" s="97">
        <f t="shared" si="16"/>
        <v>0.11336744846859206</v>
      </c>
      <c r="CE89" s="97">
        <f t="shared" si="16"/>
        <v>0.10928355909801367</v>
      </c>
      <c r="CF89" s="97">
        <f t="shared" si="16"/>
        <v>-0.17499167742246152</v>
      </c>
      <c r="CG89" s="97" t="str">
        <f t="shared" si="16"/>
        <v/>
      </c>
      <c r="CH89" s="97" t="str">
        <f t="shared" si="16"/>
        <v/>
      </c>
      <c r="CI89" s="97" t="str">
        <f t="shared" si="16"/>
        <v/>
      </c>
      <c r="CJ89" s="97">
        <f t="shared" si="16"/>
        <v>8.0479858648009994E-2</v>
      </c>
      <c r="CK89" s="97">
        <f t="shared" si="16"/>
        <v>-6.2498640676630024E-2</v>
      </c>
      <c r="CL89" s="97">
        <f t="shared" si="16"/>
        <v>-0.47408650224279003</v>
      </c>
      <c r="CM89" s="97" t="str">
        <f t="shared" si="16"/>
        <v/>
      </c>
      <c r="CN89" s="97">
        <f t="shared" si="16"/>
        <v>-0.18105569643175323</v>
      </c>
      <c r="CO89" s="97">
        <f t="shared" si="16"/>
        <v>8.1795575888766736E-2</v>
      </c>
      <c r="CP89" s="97">
        <f t="shared" si="16"/>
        <v>3.9072001956814706E-2</v>
      </c>
      <c r="CQ89" s="97">
        <f t="shared" si="16"/>
        <v>-0.11335691554924163</v>
      </c>
      <c r="CR89" s="97">
        <f t="shared" si="16"/>
        <v>-6.4746105494495332E-2</v>
      </c>
      <c r="CS89" s="97">
        <f t="shared" si="16"/>
        <v>-0.16573146752056794</v>
      </c>
      <c r="CT89" s="97">
        <f t="shared" si="16"/>
        <v>-0.15745027677350684</v>
      </c>
      <c r="CU89" s="97">
        <f t="shared" si="16"/>
        <v>-0.16064786450007162</v>
      </c>
      <c r="CV89" s="97">
        <f t="shared" si="16"/>
        <v>-5.8436207316000854E-2</v>
      </c>
      <c r="CW89" s="97">
        <f t="shared" si="16"/>
        <v>-0.11115417689212663</v>
      </c>
      <c r="CX89" s="97">
        <f t="shared" si="16"/>
        <v>0.14394577044614376</v>
      </c>
      <c r="CY89" s="97">
        <f t="shared" si="16"/>
        <v>-0.21455290645297273</v>
      </c>
      <c r="CZ89" s="97">
        <f t="shared" si="16"/>
        <v>0.10244283752711666</v>
      </c>
      <c r="DA89" s="97">
        <f t="shared" si="16"/>
        <v>-0.24976422476761073</v>
      </c>
      <c r="DB89" s="97">
        <f t="shared" si="16"/>
        <v>-0.21895982129239983</v>
      </c>
      <c r="DC89" s="97">
        <f t="shared" si="16"/>
        <v>8.1472750281426087E-2</v>
      </c>
      <c r="DD89" s="97">
        <f t="shared" si="16"/>
        <v>0.10713875714942087</v>
      </c>
      <c r="DE89" s="97">
        <f t="shared" si="16"/>
        <v>0.12998109286590556</v>
      </c>
      <c r="DF89" s="97">
        <f t="shared" si="16"/>
        <v>0.10579833487658137</v>
      </c>
      <c r="DG89" s="97">
        <f t="shared" si="16"/>
        <v>-0.19158610436232273</v>
      </c>
      <c r="DH89" s="97" t="str">
        <f t="shared" si="16"/>
        <v/>
      </c>
      <c r="DI89" s="97">
        <f t="shared" si="16"/>
        <v>0.31548975248051558</v>
      </c>
      <c r="DJ89" s="97">
        <f t="shared" si="16"/>
        <v>0.27415770922094068</v>
      </c>
      <c r="DK89" s="97">
        <f t="shared" si="16"/>
        <v>-0.12677690780912734</v>
      </c>
      <c r="DL89" s="97">
        <f t="shared" si="16"/>
        <v>4.4821444131821764E-3</v>
      </c>
      <c r="DM89" s="97">
        <f t="shared" si="16"/>
        <v>8.1451072161971894E-2</v>
      </c>
      <c r="DN89" s="97">
        <f t="shared" si="16"/>
        <v>-6.5046991178196678E-2</v>
      </c>
      <c r="DO89" s="97" t="str">
        <f t="shared" si="16"/>
        <v/>
      </c>
      <c r="DP89" s="97">
        <f t="shared" si="16"/>
        <v>0.18120664444849147</v>
      </c>
      <c r="DQ89" s="97">
        <f t="shared" si="16"/>
        <v>-4.6205323729718084E-2</v>
      </c>
      <c r="DR89" s="97">
        <f t="shared" si="16"/>
        <v>0.26055259956538618</v>
      </c>
      <c r="DS89" s="97">
        <f t="shared" si="16"/>
        <v>1.112690493639623E-2</v>
      </c>
      <c r="DT89" s="97" t="str">
        <f t="shared" si="16"/>
        <v/>
      </c>
      <c r="DU89" s="97">
        <f t="shared" si="16"/>
        <v>-4.6398102675291431E-2</v>
      </c>
      <c r="DV89" s="97" t="str">
        <f t="shared" si="16"/>
        <v/>
      </c>
      <c r="DW89" s="97">
        <f t="shared" si="16"/>
        <v>-0.10587537648977784</v>
      </c>
      <c r="DX89" s="97" t="str">
        <f t="shared" si="16"/>
        <v/>
      </c>
      <c r="DY89" s="97">
        <f t="shared" si="16"/>
        <v>-0.36811703415032054</v>
      </c>
      <c r="DZ89" s="97">
        <f t="shared" si="15"/>
        <v>0.27331680206048858</v>
      </c>
      <c r="EA89" s="97">
        <f t="shared" si="9"/>
        <v>0.16746610975595688</v>
      </c>
      <c r="EB89" s="97">
        <f t="shared" si="9"/>
        <v>0.13534877939301238</v>
      </c>
      <c r="EC89" s="97">
        <f t="shared" si="9"/>
        <v>2.4370463102572097</v>
      </c>
      <c r="ED89" s="97">
        <f t="shared" si="9"/>
        <v>-6.2708591703574332E-2</v>
      </c>
      <c r="EE89" s="97">
        <f t="shared" si="9"/>
        <v>0.58817507279901582</v>
      </c>
      <c r="EF89" s="97">
        <f t="shared" si="9"/>
        <v>-0.13641075593241433</v>
      </c>
      <c r="EG89" s="97">
        <f t="shared" si="9"/>
        <v>-3.2673260148518124E-2</v>
      </c>
      <c r="EH89" s="97">
        <f t="shared" si="9"/>
        <v>2.258778491158786E-2</v>
      </c>
      <c r="EI89" s="97">
        <f t="shared" si="9"/>
        <v>-1.2263446802181392E-2</v>
      </c>
      <c r="EJ89" s="97">
        <f t="shared" si="9"/>
        <v>0.16036752497064016</v>
      </c>
      <c r="EK89" s="97">
        <f t="shared" si="9"/>
        <v>0.19877154545366826</v>
      </c>
      <c r="EL89" s="97">
        <f t="shared" si="9"/>
        <v>7.517656235805048E-2</v>
      </c>
      <c r="EM89" s="97">
        <f t="shared" si="9"/>
        <v>0.20884863583860527</v>
      </c>
      <c r="EN89" s="97">
        <f t="shared" si="9"/>
        <v>-2.6583466412590569E-2</v>
      </c>
      <c r="EO89" s="97">
        <f t="shared" si="9"/>
        <v>-0.15222434741563984</v>
      </c>
    </row>
    <row r="90" spans="1:145" outlineLevel="1" x14ac:dyDescent="0.25">
      <c r="A90">
        <v>2022</v>
      </c>
      <c r="B90">
        <v>4</v>
      </c>
      <c r="C90" s="97">
        <f t="shared" ref="C90:BN93" si="19">IF(ISBLANK(C27),"",C27-$D27)</f>
        <v>-8.7660699489546912E-2</v>
      </c>
      <c r="D90" s="97">
        <f t="shared" si="19"/>
        <v>0</v>
      </c>
      <c r="E90" s="97">
        <f t="shared" si="19"/>
        <v>-0.28527438879994449</v>
      </c>
      <c r="F90" s="97">
        <f t="shared" si="19"/>
        <v>-0.29839902086006159</v>
      </c>
      <c r="G90" s="97" t="str">
        <f t="shared" si="19"/>
        <v/>
      </c>
      <c r="H90" s="97">
        <f t="shared" si="19"/>
        <v>-0.29215516848868073</v>
      </c>
      <c r="I90" s="97">
        <f t="shared" si="19"/>
        <v>-0.29950245311512869</v>
      </c>
      <c r="J90" s="97">
        <f t="shared" si="19"/>
        <v>-1.186927405093185E-2</v>
      </c>
      <c r="K90" s="97">
        <f t="shared" si="19"/>
        <v>-7.4232085751432142E-2</v>
      </c>
      <c r="L90" s="97">
        <f t="shared" si="19"/>
        <v>-0.47588025873846629</v>
      </c>
      <c r="M90" s="97">
        <f t="shared" si="19"/>
        <v>4.9912781918999387E-2</v>
      </c>
      <c r="N90" s="97" t="str">
        <f t="shared" si="19"/>
        <v/>
      </c>
      <c r="O90" s="97" t="str">
        <f t="shared" si="19"/>
        <v/>
      </c>
      <c r="P90" s="97">
        <f t="shared" si="19"/>
        <v>-0.46349309074054429</v>
      </c>
      <c r="Q90" s="97">
        <f t="shared" si="19"/>
        <v>-0.15189155817349451</v>
      </c>
      <c r="R90" s="97">
        <f t="shared" si="19"/>
        <v>-0.18310106783174121</v>
      </c>
      <c r="S90" s="97" t="str">
        <f t="shared" si="19"/>
        <v/>
      </c>
      <c r="T90" s="97">
        <f t="shared" si="19"/>
        <v>-0.26469992054283253</v>
      </c>
      <c r="U90" s="97">
        <f t="shared" si="19"/>
        <v>-0.2376693359512724</v>
      </c>
      <c r="V90" s="97">
        <f t="shared" si="19"/>
        <v>-0.26782713650438761</v>
      </c>
      <c r="W90" s="97">
        <f t="shared" si="19"/>
        <v>-0.18687216759177702</v>
      </c>
      <c r="X90" s="97">
        <f t="shared" si="19"/>
        <v>-0.23279805732787962</v>
      </c>
      <c r="Y90" s="97">
        <f t="shared" si="19"/>
        <v>-0.40276192854386489</v>
      </c>
      <c r="Z90" s="97">
        <f t="shared" si="19"/>
        <v>0.11121955293761669</v>
      </c>
      <c r="AA90" s="97" t="str">
        <f t="shared" si="19"/>
        <v/>
      </c>
      <c r="AB90" s="97">
        <f t="shared" si="19"/>
        <v>3.0781413705158189E-2</v>
      </c>
      <c r="AC90" s="97">
        <f t="shared" si="19"/>
        <v>4.157024822456834E-3</v>
      </c>
      <c r="AD90" s="97">
        <f t="shared" si="19"/>
        <v>-0.1299728589865026</v>
      </c>
      <c r="AE90" s="97">
        <f t="shared" si="19"/>
        <v>-0.28219608492246573</v>
      </c>
      <c r="AF90" s="97">
        <f t="shared" si="19"/>
        <v>7.3811690992328103E-3</v>
      </c>
      <c r="AG90" s="97">
        <f t="shared" si="19"/>
        <v>-0.1775565327927838</v>
      </c>
      <c r="AH90" s="97">
        <f t="shared" si="19"/>
        <v>-0.33176928743113643</v>
      </c>
      <c r="AI90" s="97">
        <f t="shared" si="19"/>
        <v>-8.1027018685091434E-3</v>
      </c>
      <c r="AJ90" s="97">
        <f t="shared" si="19"/>
        <v>-0.33168879319653599</v>
      </c>
      <c r="AK90" s="97">
        <f t="shared" si="19"/>
        <v>-0.14534610362804001</v>
      </c>
      <c r="AL90" s="97">
        <f t="shared" si="19"/>
        <v>-0.20912534992202092</v>
      </c>
      <c r="AM90" s="97">
        <f t="shared" si="19"/>
        <v>-4.4740581264080537E-2</v>
      </c>
      <c r="AN90" s="97">
        <f t="shared" si="19"/>
        <v>-0.28450694278887911</v>
      </c>
      <c r="AO90" s="97">
        <f t="shared" si="19"/>
        <v>-0.16655822484016111</v>
      </c>
      <c r="AP90" s="97">
        <f t="shared" si="19"/>
        <v>-0.37215433189612229</v>
      </c>
      <c r="AQ90" s="97" t="str">
        <f t="shared" si="19"/>
        <v/>
      </c>
      <c r="AR90" s="97">
        <f t="shared" si="19"/>
        <v>-0.43564574811762863</v>
      </c>
      <c r="AS90" s="97" t="str">
        <f t="shared" si="19"/>
        <v/>
      </c>
      <c r="AT90" s="97">
        <f t="shared" si="19"/>
        <v>-0.24150229642852802</v>
      </c>
      <c r="AU90" s="97">
        <f t="shared" si="19"/>
        <v>-0.2027901088981322</v>
      </c>
      <c r="AV90" s="97">
        <f t="shared" si="19"/>
        <v>-0.32814950712109858</v>
      </c>
      <c r="AW90" s="97">
        <f t="shared" si="19"/>
        <v>-2.9788070247085959E-2</v>
      </c>
      <c r="AX90" s="97">
        <f t="shared" si="19"/>
        <v>-0.28712560072668591</v>
      </c>
      <c r="AY90" s="97">
        <f t="shared" si="19"/>
        <v>-0.181406709688646</v>
      </c>
      <c r="AZ90" s="97">
        <f t="shared" si="19"/>
        <v>-2.5653549649384821E-3</v>
      </c>
      <c r="BA90" s="97">
        <f t="shared" si="19"/>
        <v>0.22424637286098839</v>
      </c>
      <c r="BB90" s="97">
        <f t="shared" si="19"/>
        <v>-0.19025853065055892</v>
      </c>
      <c r="BC90" s="97">
        <f t="shared" si="19"/>
        <v>-5.0396608678544903E-2</v>
      </c>
      <c r="BD90" s="97">
        <f t="shared" si="19"/>
        <v>-0.17721114580236041</v>
      </c>
      <c r="BE90" s="97">
        <f t="shared" si="19"/>
        <v>-0.20644893522267482</v>
      </c>
      <c r="BF90" s="97">
        <f t="shared" si="19"/>
        <v>-6.9850405910120039E-2</v>
      </c>
      <c r="BG90" s="97">
        <f t="shared" si="19"/>
        <v>-0.59312623047793422</v>
      </c>
      <c r="BH90" s="97">
        <f t="shared" si="19"/>
        <v>-0.20382813553817461</v>
      </c>
      <c r="BI90" s="97" t="str">
        <f t="shared" si="19"/>
        <v/>
      </c>
      <c r="BJ90" s="97">
        <f t="shared" si="19"/>
        <v>-0.28113186825101388</v>
      </c>
      <c r="BK90" s="97">
        <f t="shared" si="19"/>
        <v>-0.24353317667060442</v>
      </c>
      <c r="BL90" s="97">
        <f t="shared" si="19"/>
        <v>-7.4095052520873783E-2</v>
      </c>
      <c r="BM90" s="97">
        <f t="shared" si="19"/>
        <v>-7.2229364726148493E-3</v>
      </c>
      <c r="BN90" s="97" t="str">
        <f t="shared" si="19"/>
        <v/>
      </c>
      <c r="BO90" s="97">
        <f t="shared" si="18"/>
        <v>-0.2199358199502886</v>
      </c>
      <c r="BP90" s="97">
        <f t="shared" si="18"/>
        <v>-0.36382598440300273</v>
      </c>
      <c r="BQ90" s="97">
        <f t="shared" si="18"/>
        <v>-0.11823781140346881</v>
      </c>
      <c r="BR90" s="97">
        <f t="shared" si="18"/>
        <v>-0.27766933595127241</v>
      </c>
      <c r="BS90" s="97">
        <f t="shared" si="18"/>
        <v>-0.17279562746586252</v>
      </c>
      <c r="BT90" s="97">
        <f t="shared" si="18"/>
        <v>-0.28496198070870582</v>
      </c>
      <c r="BU90" s="97" t="str">
        <f t="shared" si="18"/>
        <v/>
      </c>
      <c r="BV90" s="97">
        <f t="shared" si="18"/>
        <v>-0.36799318132098924</v>
      </c>
      <c r="BW90" s="97">
        <f t="shared" si="18"/>
        <v>2.9336938004317688E-2</v>
      </c>
      <c r="BX90" s="97">
        <f t="shared" si="18"/>
        <v>1.833312249398367E-2</v>
      </c>
      <c r="BY90" s="97" t="str">
        <f t="shared" si="18"/>
        <v/>
      </c>
      <c r="BZ90" s="97">
        <f t="shared" si="18"/>
        <v>-0.14834914172105232</v>
      </c>
      <c r="CA90" s="97">
        <f t="shared" si="18"/>
        <v>-0.1574673157492521</v>
      </c>
      <c r="CB90" s="97">
        <f t="shared" si="18"/>
        <v>-0.17439595856464041</v>
      </c>
      <c r="CC90" s="97">
        <f t="shared" si="18"/>
        <v>2.0222551095209981E-2</v>
      </c>
      <c r="CD90" s="97">
        <f t="shared" si="18"/>
        <v>-0.35616893043626818</v>
      </c>
      <c r="CE90" s="97">
        <f t="shared" si="18"/>
        <v>-0.24223139104257521</v>
      </c>
      <c r="CF90" s="97">
        <f t="shared" si="18"/>
        <v>0.40558107864242621</v>
      </c>
      <c r="CG90" s="97" t="str">
        <f t="shared" si="18"/>
        <v/>
      </c>
      <c r="CH90" s="97" t="str">
        <f t="shared" si="18"/>
        <v/>
      </c>
      <c r="CI90" s="97" t="str">
        <f t="shared" si="18"/>
        <v/>
      </c>
      <c r="CJ90" s="97">
        <f t="shared" si="18"/>
        <v>8.1035814288895947E-2</v>
      </c>
      <c r="CK90" s="97">
        <f t="shared" si="18"/>
        <v>-0.19125166617214451</v>
      </c>
      <c r="CL90" s="97">
        <f t="shared" si="18"/>
        <v>-0.23365779193972822</v>
      </c>
      <c r="CM90" s="97" t="str">
        <f t="shared" si="18"/>
        <v/>
      </c>
      <c r="CN90" s="97">
        <f t="shared" si="18"/>
        <v>-0.36315686429594352</v>
      </c>
      <c r="CO90" s="97">
        <f t="shared" si="18"/>
        <v>-6.1626449881243772E-2</v>
      </c>
      <c r="CP90" s="97">
        <f t="shared" si="18"/>
        <v>-0.11395999923813331</v>
      </c>
      <c r="CQ90" s="97">
        <f t="shared" si="18"/>
        <v>-0.27867943696137332</v>
      </c>
      <c r="CR90" s="97">
        <f t="shared" si="18"/>
        <v>-7.432620175166893E-2</v>
      </c>
      <c r="CS90" s="97">
        <f t="shared" si="18"/>
        <v>-0.4225205099205826</v>
      </c>
      <c r="CT90" s="97">
        <f t="shared" si="18"/>
        <v>-2.0134473153251561E-2</v>
      </c>
      <c r="CU90" s="97">
        <f t="shared" si="18"/>
        <v>-0.40567190499430383</v>
      </c>
      <c r="CV90" s="97">
        <f t="shared" si="18"/>
        <v>-9.813593555525979E-2</v>
      </c>
      <c r="CW90" s="97">
        <f t="shared" si="18"/>
        <v>3.2598052706747198E-2</v>
      </c>
      <c r="CX90" s="97">
        <f t="shared" si="18"/>
        <v>-2.2821327565528019E-2</v>
      </c>
      <c r="CY90" s="97">
        <f t="shared" si="18"/>
        <v>-7.9625777442597578E-2</v>
      </c>
      <c r="CZ90" s="97">
        <f t="shared" si="18"/>
        <v>-5.2044522937478847E-2</v>
      </c>
      <c r="DA90" s="97">
        <f t="shared" si="18"/>
        <v>-4.9120066623163823E-2</v>
      </c>
      <c r="DB90" s="97">
        <f t="shared" si="18"/>
        <v>-0.16394291338034181</v>
      </c>
      <c r="DC90" s="97">
        <f t="shared" si="18"/>
        <v>-0.10735941934413532</v>
      </c>
      <c r="DD90" s="97">
        <f t="shared" si="18"/>
        <v>6.0118505166350311E-2</v>
      </c>
      <c r="DE90" s="97">
        <f t="shared" si="18"/>
        <v>-0.27553258381452</v>
      </c>
      <c r="DF90" s="97">
        <f t="shared" si="18"/>
        <v>-0.25172171922766728</v>
      </c>
      <c r="DG90" s="97">
        <f t="shared" si="18"/>
        <v>-9.3965632247568598E-2</v>
      </c>
      <c r="DH90" s="97" t="str">
        <f t="shared" si="18"/>
        <v/>
      </c>
      <c r="DI90" s="97">
        <f t="shared" si="18"/>
        <v>-6.9546986109767173E-2</v>
      </c>
      <c r="DJ90" s="97">
        <f t="shared" si="18"/>
        <v>-0.1502980622385352</v>
      </c>
      <c r="DK90" s="97">
        <f t="shared" si="18"/>
        <v>-0.43796371757037122</v>
      </c>
      <c r="DL90" s="97">
        <f t="shared" si="18"/>
        <v>1.0844182650548979E-4</v>
      </c>
      <c r="DM90" s="97">
        <f t="shared" si="18"/>
        <v>-0.12489155817349451</v>
      </c>
      <c r="DN90" s="97">
        <f t="shared" si="18"/>
        <v>-0.31702710804561729</v>
      </c>
      <c r="DO90" s="97" t="str">
        <f t="shared" si="18"/>
        <v/>
      </c>
      <c r="DP90" s="97">
        <f t="shared" si="18"/>
        <v>-3.0921689381681609E-2</v>
      </c>
      <c r="DQ90" s="97">
        <f t="shared" si="18"/>
        <v>-6.4138133515960205E-2</v>
      </c>
      <c r="DR90" s="97">
        <f t="shared" si="18"/>
        <v>-0.33654991228820769</v>
      </c>
      <c r="DS90" s="97">
        <f t="shared" si="18"/>
        <v>-0.13664898391606881</v>
      </c>
      <c r="DT90" s="97" t="str">
        <f t="shared" si="18"/>
        <v/>
      </c>
      <c r="DU90" s="97">
        <f t="shared" si="18"/>
        <v>8.8693459662415042E-2</v>
      </c>
      <c r="DV90" s="97" t="str">
        <f t="shared" si="18"/>
        <v/>
      </c>
      <c r="DW90" s="97">
        <f t="shared" si="18"/>
        <v>-0.4611710194529558</v>
      </c>
      <c r="DX90" s="97" t="str">
        <f t="shared" si="18"/>
        <v/>
      </c>
      <c r="DY90" s="97">
        <f t="shared" si="18"/>
        <v>-0.12528560370764522</v>
      </c>
      <c r="DZ90" s="97">
        <f t="shared" si="15"/>
        <v>-0.35896491724685353</v>
      </c>
      <c r="EA90" s="97">
        <f t="shared" si="9"/>
        <v>-0.19731645087735722</v>
      </c>
      <c r="EB90" s="97">
        <f t="shared" si="9"/>
        <v>-0.24445677556479881</v>
      </c>
      <c r="EC90" s="97">
        <f t="shared" si="9"/>
        <v>0.22738116909923278</v>
      </c>
      <c r="ED90" s="97">
        <f t="shared" si="9"/>
        <v>-0.27119317866486919</v>
      </c>
      <c r="EE90" s="97">
        <f t="shared" si="9"/>
        <v>-0.46910208448928392</v>
      </c>
      <c r="EF90" s="97">
        <f t="shared" si="9"/>
        <v>1.4266094770231925</v>
      </c>
      <c r="EG90" s="97">
        <f t="shared" si="9"/>
        <v>-0.18978058406745252</v>
      </c>
      <c r="EH90" s="97">
        <f t="shared" si="9"/>
        <v>-0.2025942608761972</v>
      </c>
      <c r="EI90" s="97">
        <f t="shared" si="9"/>
        <v>-5.0446571143050067E-2</v>
      </c>
      <c r="EJ90" s="97">
        <f t="shared" si="9"/>
        <v>7.0852730699018207E-2</v>
      </c>
      <c r="EK90" s="97">
        <f t="shared" si="9"/>
        <v>-0.35383710501244253</v>
      </c>
      <c r="EL90" s="97">
        <f t="shared" si="9"/>
        <v>-4.676655817349451E-2</v>
      </c>
      <c r="EM90" s="97">
        <f t="shared" si="9"/>
        <v>-0.38450694278887909</v>
      </c>
      <c r="EN90" s="97">
        <f t="shared" si="9"/>
        <v>-5.8395492777733697E-2</v>
      </c>
      <c r="EO90" s="97">
        <f t="shared" si="9"/>
        <v>-0.11122356612578091</v>
      </c>
    </row>
    <row r="91" spans="1:145" outlineLevel="1" x14ac:dyDescent="0.25">
      <c r="A91">
        <v>2022</v>
      </c>
      <c r="B91">
        <v>5</v>
      </c>
      <c r="C91" s="97">
        <f t="shared" si="19"/>
        <v>1.9295399263203894E-3</v>
      </c>
      <c r="D91" s="97">
        <f t="shared" si="19"/>
        <v>0</v>
      </c>
      <c r="E91" s="97">
        <f t="shared" si="19"/>
        <v>3.7821525032859744E-2</v>
      </c>
      <c r="F91" s="97">
        <f t="shared" si="19"/>
        <v>-0.10671080433989522</v>
      </c>
      <c r="G91" s="97" t="str">
        <f t="shared" si="19"/>
        <v/>
      </c>
      <c r="H91" s="97">
        <f t="shared" si="19"/>
        <v>0.50979363187338755</v>
      </c>
      <c r="I91" s="97">
        <f t="shared" si="19"/>
        <v>-1.2550047838713047E-2</v>
      </c>
      <c r="J91" s="97">
        <f t="shared" si="19"/>
        <v>4.675421554505399E-2</v>
      </c>
      <c r="K91" s="97">
        <f t="shared" si="19"/>
        <v>-5.9913317844470175E-2</v>
      </c>
      <c r="L91" s="97">
        <f t="shared" si="19"/>
        <v>-0.27256502238198954</v>
      </c>
      <c r="M91" s="97">
        <f t="shared" si="19"/>
        <v>2.4748419724071491E-2</v>
      </c>
      <c r="N91" s="97" t="str">
        <f t="shared" si="19"/>
        <v/>
      </c>
      <c r="O91" s="97">
        <f t="shared" si="19"/>
        <v>-4.063492734393815E-2</v>
      </c>
      <c r="P91" s="97">
        <f t="shared" si="19"/>
        <v>-0.29032782561649084</v>
      </c>
      <c r="Q91" s="97">
        <f t="shared" si="19"/>
        <v>-0.13292740632927921</v>
      </c>
      <c r="R91" s="97">
        <f t="shared" si="19"/>
        <v>-0.24191414542729681</v>
      </c>
      <c r="S91" s="97" t="str">
        <f t="shared" si="19"/>
        <v/>
      </c>
      <c r="T91" s="97">
        <f t="shared" si="19"/>
        <v>0.42621245874369856</v>
      </c>
      <c r="U91" s="97">
        <f t="shared" si="19"/>
        <v>-0.11791771871658811</v>
      </c>
      <c r="V91" s="97">
        <f t="shared" si="19"/>
        <v>-0.55832782561649097</v>
      </c>
      <c r="W91" s="97">
        <f t="shared" si="19"/>
        <v>0.34209125445165206</v>
      </c>
      <c r="X91" s="97">
        <f t="shared" si="19"/>
        <v>-0.21292625081334121</v>
      </c>
      <c r="Y91" s="97">
        <f t="shared" si="19"/>
        <v>-0.15415012364719341</v>
      </c>
      <c r="Z91" s="97">
        <f t="shared" si="19"/>
        <v>-0.22465214994081531</v>
      </c>
      <c r="AA91" s="97" t="str">
        <f t="shared" si="19"/>
        <v/>
      </c>
      <c r="AB91" s="97">
        <f t="shared" si="19"/>
        <v>2.0633627136799064E-3</v>
      </c>
      <c r="AC91" s="97">
        <f t="shared" si="19"/>
        <v>-0.34508589013261992</v>
      </c>
      <c r="AD91" s="97">
        <f t="shared" si="19"/>
        <v>-8.8645582625836772E-2</v>
      </c>
      <c r="AE91" s="97">
        <f t="shared" si="19"/>
        <v>-4.6199385249518388E-2</v>
      </c>
      <c r="AF91" s="97">
        <f t="shared" si="19"/>
        <v>-5.4479450165227365E-2</v>
      </c>
      <c r="AG91" s="97">
        <f t="shared" si="19"/>
        <v>-0.32748831944365142</v>
      </c>
      <c r="AH91" s="97">
        <f t="shared" si="19"/>
        <v>-0.15065462300211183</v>
      </c>
      <c r="AI91" s="97">
        <f t="shared" si="19"/>
        <v>-0.10381688534446251</v>
      </c>
      <c r="AJ91" s="97">
        <f t="shared" si="19"/>
        <v>0.54449976059040583</v>
      </c>
      <c r="AK91" s="97">
        <f t="shared" si="19"/>
        <v>-0.14500867668032072</v>
      </c>
      <c r="AL91" s="97">
        <f t="shared" si="19"/>
        <v>-3.0141490212764358E-2</v>
      </c>
      <c r="AM91" s="97">
        <f t="shared" si="19"/>
        <v>-3.1476128731321329E-2</v>
      </c>
      <c r="AN91" s="97">
        <f t="shared" si="19"/>
        <v>-0.16842818403942991</v>
      </c>
      <c r="AO91" s="97">
        <f t="shared" si="19"/>
        <v>-0.11096612348883142</v>
      </c>
      <c r="AP91" s="97">
        <f t="shared" si="19"/>
        <v>-5.8467360500211729E-2</v>
      </c>
      <c r="AQ91" s="97" t="str">
        <f t="shared" si="19"/>
        <v/>
      </c>
      <c r="AR91" s="97">
        <f t="shared" si="19"/>
        <v>-6.9931786012530583E-2</v>
      </c>
      <c r="AS91" s="97" t="str">
        <f t="shared" si="19"/>
        <v/>
      </c>
      <c r="AT91" s="97">
        <f t="shared" si="19"/>
        <v>8.8167749604747936E-2</v>
      </c>
      <c r="AU91" s="97">
        <f t="shared" si="19"/>
        <v>4.8669795783142797E-3</v>
      </c>
      <c r="AV91" s="97">
        <f t="shared" si="19"/>
        <v>0.22189439660573138</v>
      </c>
      <c r="AW91" s="97">
        <f t="shared" si="19"/>
        <v>-6.3939046477810568E-2</v>
      </c>
      <c r="AX91" s="97">
        <f t="shared" si="19"/>
        <v>-9.7342750989625304E-2</v>
      </c>
      <c r="AY91" s="97">
        <f t="shared" si="19"/>
        <v>-0.2683766964050876</v>
      </c>
      <c r="AZ91" s="97">
        <f t="shared" si="19"/>
        <v>0.15248718778833489</v>
      </c>
      <c r="BA91" s="97">
        <f t="shared" si="19"/>
        <v>3.1933011440725694E-3</v>
      </c>
      <c r="BB91" s="97">
        <f t="shared" si="19"/>
        <v>-0.13913802391677413</v>
      </c>
      <c r="BC91" s="97">
        <f t="shared" si="19"/>
        <v>-0.52337747100656185</v>
      </c>
      <c r="BD91" s="97">
        <f t="shared" si="19"/>
        <v>-0.21711980556636573</v>
      </c>
      <c r="BE91" s="97">
        <f t="shared" si="19"/>
        <v>-3.7517908261119011E-2</v>
      </c>
      <c r="BF91" s="97">
        <f t="shared" si="19"/>
        <v>-0.14634552473153523</v>
      </c>
      <c r="BG91" s="97">
        <f t="shared" si="19"/>
        <v>-0.2602030854917507</v>
      </c>
      <c r="BH91" s="97">
        <f t="shared" si="19"/>
        <v>-0.31214101242967773</v>
      </c>
      <c r="BI91" s="97" t="str">
        <f t="shared" si="19"/>
        <v/>
      </c>
      <c r="BJ91" s="97">
        <f t="shared" si="19"/>
        <v>-0.15897752363202153</v>
      </c>
      <c r="BK91" s="97">
        <f t="shared" si="19"/>
        <v>-0.16463810456184821</v>
      </c>
      <c r="BL91" s="97">
        <f t="shared" si="19"/>
        <v>-3.2299406433542351E-2</v>
      </c>
      <c r="BM91" s="97">
        <f t="shared" si="19"/>
        <v>6.7618998608029113E-2</v>
      </c>
      <c r="BN91" s="97" t="str">
        <f t="shared" si="19"/>
        <v/>
      </c>
      <c r="BO91" s="97">
        <f t="shared" si="18"/>
        <v>-0.4133801158475407</v>
      </c>
      <c r="BP91" s="97">
        <f t="shared" si="18"/>
        <v>4.826813558766796E-3</v>
      </c>
      <c r="BQ91" s="97">
        <f t="shared" si="18"/>
        <v>-0.11111328868800321</v>
      </c>
      <c r="BR91" s="97">
        <f t="shared" si="18"/>
        <v>-9.4344919633584823E-2</v>
      </c>
      <c r="BS91" s="97">
        <f t="shared" si="18"/>
        <v>0.13383538323551458</v>
      </c>
      <c r="BT91" s="97">
        <f t="shared" si="18"/>
        <v>-9.4102451306010138E-2</v>
      </c>
      <c r="BU91" s="97" t="str">
        <f t="shared" si="18"/>
        <v/>
      </c>
      <c r="BV91" s="97">
        <f t="shared" si="18"/>
        <v>-0.18683664848895021</v>
      </c>
      <c r="BW91" s="97">
        <f t="shared" si="18"/>
        <v>-6.6112371865398645E-2</v>
      </c>
      <c r="BX91" s="97">
        <f t="shared" si="18"/>
        <v>7.8349062137683624E-4</v>
      </c>
      <c r="BY91" s="97" t="str">
        <f t="shared" si="18"/>
        <v/>
      </c>
      <c r="BZ91" s="97">
        <f t="shared" si="18"/>
        <v>-0.17013914637120803</v>
      </c>
      <c r="CA91" s="97">
        <f t="shared" si="18"/>
        <v>-0.26291775367404491</v>
      </c>
      <c r="CB91" s="97">
        <f t="shared" si="18"/>
        <v>-4.2864978319484659E-2</v>
      </c>
      <c r="CC91" s="97">
        <f t="shared" si="18"/>
        <v>7.6224532009668389E-2</v>
      </c>
      <c r="CD91" s="97">
        <f t="shared" si="18"/>
        <v>-8.072242817913966E-2</v>
      </c>
      <c r="CE91" s="97">
        <f t="shared" si="18"/>
        <v>-0.25400429620472631</v>
      </c>
      <c r="CF91" s="97">
        <f t="shared" si="18"/>
        <v>-5.342517074923437E-2</v>
      </c>
      <c r="CG91" s="97" t="str">
        <f t="shared" si="18"/>
        <v/>
      </c>
      <c r="CH91" s="97" t="str">
        <f t="shared" si="18"/>
        <v/>
      </c>
      <c r="CI91" s="97" t="str">
        <f t="shared" si="18"/>
        <v/>
      </c>
      <c r="CJ91" s="97">
        <f t="shared" si="18"/>
        <v>3.733115933612674E-2</v>
      </c>
      <c r="CK91" s="97">
        <f t="shared" si="18"/>
        <v>-0.15642131476507193</v>
      </c>
      <c r="CL91" s="97">
        <f t="shared" si="18"/>
        <v>-0.15771281350995331</v>
      </c>
      <c r="CM91" s="97" t="str">
        <f t="shared" si="18"/>
        <v/>
      </c>
      <c r="CN91" s="97">
        <f t="shared" si="18"/>
        <v>-0.64173808202674731</v>
      </c>
      <c r="CO91" s="97">
        <f t="shared" si="18"/>
        <v>0.18699690797857357</v>
      </c>
      <c r="CP91" s="97">
        <f t="shared" si="18"/>
        <v>-0.24281709600275703</v>
      </c>
      <c r="CQ91" s="97">
        <f t="shared" si="18"/>
        <v>-0.12357712533637892</v>
      </c>
      <c r="CR91" s="97">
        <f t="shared" si="18"/>
        <v>0.18322277861864489</v>
      </c>
      <c r="CS91" s="97">
        <f t="shared" si="18"/>
        <v>-0.28563041927643334</v>
      </c>
      <c r="CT91" s="97">
        <f t="shared" si="18"/>
        <v>-0.15115427189748262</v>
      </c>
      <c r="CU91" s="97">
        <f t="shared" si="18"/>
        <v>-9.9549615499759381E-2</v>
      </c>
      <c r="CV91" s="97">
        <f t="shared" si="18"/>
        <v>7.4158580324344969E-2</v>
      </c>
      <c r="CW91" s="97">
        <f t="shared" si="18"/>
        <v>2.0894274639637892E-2</v>
      </c>
      <c r="CX91" s="97">
        <f t="shared" si="18"/>
        <v>-0.15213150001638351</v>
      </c>
      <c r="CY91" s="97">
        <f t="shared" si="18"/>
        <v>-7.9750208287971081E-2</v>
      </c>
      <c r="CZ91" s="97">
        <f t="shared" si="18"/>
        <v>8.9155962528185029E-2</v>
      </c>
      <c r="DA91" s="97">
        <f t="shared" si="18"/>
        <v>-0.44623199872313701</v>
      </c>
      <c r="DB91" s="97">
        <f t="shared" si="18"/>
        <v>-3.9576972374170127E-2</v>
      </c>
      <c r="DC91" s="97">
        <f t="shared" si="18"/>
        <v>0.16177145049519479</v>
      </c>
      <c r="DD91" s="97">
        <f t="shared" si="18"/>
        <v>0.26316219909486099</v>
      </c>
      <c r="DE91" s="97">
        <f t="shared" si="18"/>
        <v>-0.13767295835985383</v>
      </c>
      <c r="DF91" s="97">
        <f t="shared" si="18"/>
        <v>5.6952017827736075E-2</v>
      </c>
      <c r="DG91" s="97">
        <f t="shared" si="18"/>
        <v>-6.8193729132435266E-2</v>
      </c>
      <c r="DH91" s="97" t="str">
        <f t="shared" si="18"/>
        <v/>
      </c>
      <c r="DI91" s="97">
        <f t="shared" si="18"/>
        <v>-0.25202037838431263</v>
      </c>
      <c r="DJ91" s="97">
        <f t="shared" si="18"/>
        <v>-0.14865318446816542</v>
      </c>
      <c r="DK91" s="97">
        <f t="shared" si="18"/>
        <v>0.4658916281448891</v>
      </c>
      <c r="DL91" s="97">
        <f t="shared" si="18"/>
        <v>2.6191291968686863E-3</v>
      </c>
      <c r="DM91" s="97">
        <f t="shared" si="18"/>
        <v>-3.45330570048209E-2</v>
      </c>
      <c r="DN91" s="97">
        <f t="shared" si="18"/>
        <v>-0.21006565333184682</v>
      </c>
      <c r="DO91" s="97" t="str">
        <f t="shared" si="18"/>
        <v/>
      </c>
      <c r="DP91" s="97">
        <f t="shared" si="18"/>
        <v>0.68947806891002017</v>
      </c>
      <c r="DQ91" s="97">
        <f t="shared" si="18"/>
        <v>-0.27437262140041713</v>
      </c>
      <c r="DR91" s="97">
        <f t="shared" si="18"/>
        <v>0.2966646555865165</v>
      </c>
      <c r="DS91" s="97">
        <f t="shared" si="18"/>
        <v>-1.4030944336951288E-3</v>
      </c>
      <c r="DT91" s="97" t="str">
        <f t="shared" si="18"/>
        <v/>
      </c>
      <c r="DU91" s="97">
        <f t="shared" si="18"/>
        <v>-0.24937206373773613</v>
      </c>
      <c r="DV91" s="97" t="str">
        <f t="shared" si="18"/>
        <v/>
      </c>
      <c r="DW91" s="97">
        <f t="shared" si="18"/>
        <v>8.0922174383508905E-2</v>
      </c>
      <c r="DX91" s="97" t="str">
        <f t="shared" si="18"/>
        <v/>
      </c>
      <c r="DY91" s="97">
        <f t="shared" si="18"/>
        <v>-9.0836435948889793E-2</v>
      </c>
      <c r="DZ91" s="97">
        <f t="shared" si="15"/>
        <v>-9.8721399913679675E-2</v>
      </c>
      <c r="EA91" s="97">
        <f t="shared" si="9"/>
        <v>-0.19551499139189202</v>
      </c>
      <c r="EB91" s="97">
        <f t="shared" si="9"/>
        <v>-0.15140696230713832</v>
      </c>
      <c r="EC91" s="97">
        <f t="shared" si="9"/>
        <v>-0.10403152932019462</v>
      </c>
      <c r="ED91" s="97">
        <f t="shared" si="9"/>
        <v>-0.4031972660756013</v>
      </c>
      <c r="EE91" s="97">
        <f t="shared" si="9"/>
        <v>-1.5697186052782586E-2</v>
      </c>
      <c r="EF91" s="97">
        <f t="shared" si="9"/>
        <v>0.10376773752344068</v>
      </c>
      <c r="EG91" s="97">
        <f t="shared" si="9"/>
        <v>-0.70656831267889575</v>
      </c>
      <c r="EH91" s="97">
        <f t="shared" si="9"/>
        <v>-0.19806793861084113</v>
      </c>
      <c r="EI91" s="97">
        <f t="shared" si="9"/>
        <v>0.19972969078121297</v>
      </c>
      <c r="EJ91" s="97">
        <f t="shared" si="9"/>
        <v>0.20476508560167847</v>
      </c>
      <c r="EK91" s="97">
        <f t="shared" si="9"/>
        <v>-3.0327825616490948E-2</v>
      </c>
      <c r="EL91" s="97">
        <f t="shared" si="9"/>
        <v>-9.459012069845818E-2</v>
      </c>
      <c r="EM91" s="97">
        <f t="shared" si="9"/>
        <v>7.7953424383509162E-2</v>
      </c>
      <c r="EN91" s="97">
        <f t="shared" si="9"/>
        <v>-3.5983323897780466E-2</v>
      </c>
      <c r="EO91" s="97">
        <f t="shared" si="9"/>
        <v>3.5466357828699335E-2</v>
      </c>
    </row>
    <row r="92" spans="1:145" outlineLevel="1" x14ac:dyDescent="0.25">
      <c r="A92">
        <v>2022</v>
      </c>
      <c r="B92">
        <v>6</v>
      </c>
      <c r="C92" s="97">
        <f t="shared" si="19"/>
        <v>-8.3249302319187146E-2</v>
      </c>
      <c r="D92" s="97">
        <f t="shared" si="19"/>
        <v>0</v>
      </c>
      <c r="E92" s="97">
        <f t="shared" si="19"/>
        <v>9.0697846254899073E-2</v>
      </c>
      <c r="F92" s="97">
        <f t="shared" si="19"/>
        <v>6.2712192780582487E-2</v>
      </c>
      <c r="G92" s="97" t="str">
        <f t="shared" si="19"/>
        <v/>
      </c>
      <c r="H92" s="97">
        <f t="shared" si="19"/>
        <v>-0.30909086266858549</v>
      </c>
      <c r="I92" s="97">
        <f t="shared" si="19"/>
        <v>1.165699319389756</v>
      </c>
      <c r="J92" s="97">
        <f t="shared" si="19"/>
        <v>-6.4053968719020027E-2</v>
      </c>
      <c r="K92" s="97">
        <f t="shared" si="19"/>
        <v>-0.12474681286024131</v>
      </c>
      <c r="L92" s="97">
        <f t="shared" si="19"/>
        <v>0.92514605521444482</v>
      </c>
      <c r="M92" s="97">
        <f t="shared" si="19"/>
        <v>-1.9953424430489201E-2</v>
      </c>
      <c r="N92" s="97" t="str">
        <f t="shared" si="19"/>
        <v/>
      </c>
      <c r="O92" s="97">
        <f t="shared" si="19"/>
        <v>-0.48411320404481428</v>
      </c>
      <c r="P92" s="97">
        <f t="shared" si="19"/>
        <v>-0.35711789888049511</v>
      </c>
      <c r="Q92" s="97">
        <f t="shared" si="19"/>
        <v>-4.3680172826284669E-2</v>
      </c>
      <c r="R92" s="97">
        <f t="shared" si="19"/>
        <v>8.814756297394144E-3</v>
      </c>
      <c r="S92" s="97">
        <f t="shared" si="19"/>
        <v>2.2352046654035011E-3</v>
      </c>
      <c r="T92" s="97">
        <f t="shared" si="19"/>
        <v>-2.0713425528756661E-2</v>
      </c>
      <c r="U92" s="97">
        <f t="shared" si="19"/>
        <v>-0.66487678701104047</v>
      </c>
      <c r="V92" s="97">
        <f t="shared" si="19"/>
        <v>0.10329252747856429</v>
      </c>
      <c r="W92" s="97">
        <f t="shared" si="19"/>
        <v>-9.9764642285085081E-2</v>
      </c>
      <c r="X92" s="97">
        <f t="shared" si="19"/>
        <v>0.53122012928851881</v>
      </c>
      <c r="Y92" s="97">
        <f t="shared" si="19"/>
        <v>0.26365113533579781</v>
      </c>
      <c r="Z92" s="97">
        <f t="shared" si="19"/>
        <v>-0.35269624701810109</v>
      </c>
      <c r="AA92" s="97" t="str">
        <f t="shared" si="19"/>
        <v/>
      </c>
      <c r="AB92" s="97">
        <f t="shared" si="19"/>
        <v>2.692014097191953E-2</v>
      </c>
      <c r="AC92" s="97">
        <f t="shared" si="19"/>
        <v>-0.42077987071148099</v>
      </c>
      <c r="AD92" s="97">
        <f t="shared" si="19"/>
        <v>0.1165958340553053</v>
      </c>
      <c r="AE92" s="97">
        <f t="shared" si="19"/>
        <v>9.6575898519288161E-2</v>
      </c>
      <c r="AF92" s="97">
        <f t="shared" si="19"/>
        <v>-0.1954363592610994</v>
      </c>
      <c r="AG92" s="97">
        <f t="shared" si="19"/>
        <v>0.33866967057292241</v>
      </c>
      <c r="AH92" s="97">
        <f t="shared" si="19"/>
        <v>0.12998936005774969</v>
      </c>
      <c r="AI92" s="97">
        <f t="shared" si="19"/>
        <v>-7.7297021107259334E-2</v>
      </c>
      <c r="AJ92" s="97">
        <f t="shared" si="19"/>
        <v>-5.4351299282909604E-2</v>
      </c>
      <c r="AK92" s="97">
        <f t="shared" si="19"/>
        <v>1.9120626800956719E-2</v>
      </c>
      <c r="AL92" s="97">
        <f t="shared" si="19"/>
        <v>0.1336631510554844</v>
      </c>
      <c r="AM92" s="97">
        <f t="shared" si="19"/>
        <v>0.14029498533458429</v>
      </c>
      <c r="AN92" s="97">
        <f t="shared" si="19"/>
        <v>-7.6178405825655937E-2</v>
      </c>
      <c r="AO92" s="97">
        <f t="shared" si="19"/>
        <v>-7.9569042043038385E-3</v>
      </c>
      <c r="AP92" s="97">
        <f t="shared" si="19"/>
        <v>0.2399608700292595</v>
      </c>
      <c r="AQ92" s="97" t="str">
        <f t="shared" si="19"/>
        <v/>
      </c>
      <c r="AR92" s="97">
        <f t="shared" si="19"/>
        <v>-2.1744008202169481E-2</v>
      </c>
      <c r="AS92" s="97" t="str">
        <f t="shared" si="19"/>
        <v/>
      </c>
      <c r="AT92" s="97">
        <f t="shared" si="19"/>
        <v>-7.7987071148100107E-4</v>
      </c>
      <c r="AU92" s="97">
        <f t="shared" si="19"/>
        <v>-3.4371601977630895E-2</v>
      </c>
      <c r="AV92" s="97">
        <f t="shared" si="19"/>
        <v>-0.13168896162057189</v>
      </c>
      <c r="AW92" s="97">
        <f t="shared" si="19"/>
        <v>-0.17250982851738819</v>
      </c>
      <c r="AX92" s="97">
        <f t="shared" si="19"/>
        <v>7.4845920984363268E-3</v>
      </c>
      <c r="AY92" s="97">
        <f t="shared" si="19"/>
        <v>8.3185733739707501E-2</v>
      </c>
      <c r="AZ92" s="97">
        <f t="shared" si="19"/>
        <v>-0.1015550645099307</v>
      </c>
      <c r="BA92" s="97">
        <f t="shared" si="19"/>
        <v>0.1150096029727294</v>
      </c>
      <c r="BB92" s="97">
        <f t="shared" si="19"/>
        <v>-0.13893776544832301</v>
      </c>
      <c r="BC92" s="97">
        <f t="shared" si="19"/>
        <v>0.20368109583127</v>
      </c>
      <c r="BD92" s="97">
        <f t="shared" si="19"/>
        <v>0.27282012928851912</v>
      </c>
      <c r="BE92" s="97">
        <f t="shared" si="19"/>
        <v>-0.16386999946684591</v>
      </c>
      <c r="BF92" s="97">
        <f t="shared" si="19"/>
        <v>-0.18523582926070381</v>
      </c>
      <c r="BG92" s="97">
        <f t="shared" si="19"/>
        <v>-0.31257762352046969</v>
      </c>
      <c r="BH92" s="97">
        <f t="shared" si="19"/>
        <v>-4.7718866795447568E-3</v>
      </c>
      <c r="BI92" s="97" t="str">
        <f t="shared" si="19"/>
        <v/>
      </c>
      <c r="BJ92" s="97">
        <f t="shared" si="19"/>
        <v>-0.26689959895145021</v>
      </c>
      <c r="BK92" s="97">
        <f t="shared" si="19"/>
        <v>-4.2389381456794273E-2</v>
      </c>
      <c r="BL92" s="97">
        <f t="shared" si="19"/>
        <v>0.1177981109398951</v>
      </c>
      <c r="BM92" s="97">
        <f t="shared" si="19"/>
        <v>6.1357586107873008E-3</v>
      </c>
      <c r="BN92" s="97" t="str">
        <f t="shared" si="19"/>
        <v/>
      </c>
      <c r="BO92" s="97">
        <f t="shared" si="18"/>
        <v>0.21929379411356509</v>
      </c>
      <c r="BP92" s="97">
        <f t="shared" si="18"/>
        <v>0.13511756518595489</v>
      </c>
      <c r="BQ92" s="97">
        <f t="shared" si="18"/>
        <v>-2.7806897738508082E-2</v>
      </c>
      <c r="BR92" s="97">
        <f t="shared" si="18"/>
        <v>-9.5119493352990525E-2</v>
      </c>
      <c r="BS92" s="97">
        <f t="shared" si="18"/>
        <v>-6.3547836034670855E-3</v>
      </c>
      <c r="BT92" s="97">
        <f t="shared" si="18"/>
        <v>-0.13034508810278531</v>
      </c>
      <c r="BU92" s="97" t="str">
        <f t="shared" si="18"/>
        <v/>
      </c>
      <c r="BV92" s="97">
        <f t="shared" si="18"/>
        <v>-0.1935311062963245</v>
      </c>
      <c r="BW92" s="97">
        <f t="shared" si="18"/>
        <v>4.1510348422671761E-2</v>
      </c>
      <c r="BX92" s="97">
        <f t="shared" si="18"/>
        <v>-1.2031246978084661E-2</v>
      </c>
      <c r="BY92" s="97" t="str">
        <f t="shared" si="18"/>
        <v/>
      </c>
      <c r="BZ92" s="97">
        <f t="shared" si="18"/>
        <v>6.8765583833973576E-2</v>
      </c>
      <c r="CA92" s="97">
        <f t="shared" si="18"/>
        <v>0.45287866587388498</v>
      </c>
      <c r="CB92" s="97">
        <f t="shared" si="18"/>
        <v>2.7068012039390688E-3</v>
      </c>
      <c r="CC92" s="97">
        <f t="shared" si="18"/>
        <v>3.3644505754770522E-2</v>
      </c>
      <c r="CD92" s="97">
        <f t="shared" si="18"/>
        <v>-1.311032693836134E-2</v>
      </c>
      <c r="CE92" s="97">
        <f t="shared" si="18"/>
        <v>7.3111754904282789E-2</v>
      </c>
      <c r="CF92" s="97">
        <f t="shared" si="18"/>
        <v>5.5294895643659421E-2</v>
      </c>
      <c r="CG92" s="97" t="str">
        <f t="shared" si="18"/>
        <v/>
      </c>
      <c r="CH92" s="97" t="str">
        <f t="shared" si="18"/>
        <v/>
      </c>
      <c r="CI92" s="97" t="str">
        <f t="shared" si="18"/>
        <v/>
      </c>
      <c r="CJ92" s="97">
        <f t="shared" si="18"/>
        <v>-2.035654001869891E-3</v>
      </c>
      <c r="CK92" s="97">
        <f t="shared" si="18"/>
        <v>0.23561973364064559</v>
      </c>
      <c r="CL92" s="97">
        <f t="shared" si="18"/>
        <v>9.1174152277024634E-2</v>
      </c>
      <c r="CM92" s="97" t="str">
        <f t="shared" si="18"/>
        <v/>
      </c>
      <c r="CN92" s="97">
        <f t="shared" si="18"/>
        <v>7.179789117625579E-2</v>
      </c>
      <c r="CO92" s="97">
        <f t="shared" si="18"/>
        <v>-0.1244404629099745</v>
      </c>
      <c r="CP92" s="97">
        <f t="shared" si="18"/>
        <v>-8.2932845215730189E-2</v>
      </c>
      <c r="CQ92" s="97">
        <f t="shared" si="18"/>
        <v>0.28356517721184149</v>
      </c>
      <c r="CR92" s="97">
        <f t="shared" si="18"/>
        <v>-0.1116858637663279</v>
      </c>
      <c r="CS92" s="97">
        <f t="shared" si="18"/>
        <v>0.1080910970304545</v>
      </c>
      <c r="CT92" s="97">
        <f t="shared" si="18"/>
        <v>0.78024202709873802</v>
      </c>
      <c r="CU92" s="97">
        <f t="shared" si="18"/>
        <v>-1.1579006780595421E-2</v>
      </c>
      <c r="CV92" s="97">
        <f t="shared" si="18"/>
        <v>-4.9459453370742637E-3</v>
      </c>
      <c r="CW92" s="97">
        <f t="shared" si="18"/>
        <v>5.2606012484506026E-2</v>
      </c>
      <c r="CX92" s="97">
        <f t="shared" si="18"/>
        <v>-7.9040740276698385E-2</v>
      </c>
      <c r="CY92" s="97">
        <f t="shared" si="18"/>
        <v>0.1011809136022446</v>
      </c>
      <c r="CZ92" s="97">
        <f t="shared" si="18"/>
        <v>-1.2279814498181831E-2</v>
      </c>
      <c r="DA92" s="97">
        <f t="shared" si="18"/>
        <v>0.1763470470012107</v>
      </c>
      <c r="DB92" s="97">
        <f t="shared" si="18"/>
        <v>0.42195547564731117</v>
      </c>
      <c r="DC92" s="97">
        <f t="shared" si="18"/>
        <v>2.3697326173947268E-2</v>
      </c>
      <c r="DD92" s="97">
        <f t="shared" si="18"/>
        <v>0.40032510166420948</v>
      </c>
      <c r="DE92" s="97">
        <f t="shared" si="18"/>
        <v>-0.1392698173672052</v>
      </c>
      <c r="DF92" s="97">
        <f t="shared" si="18"/>
        <v>-0.1512046583176779</v>
      </c>
      <c r="DG92" s="97">
        <f t="shared" si="18"/>
        <v>-9.4639519834288088E-2</v>
      </c>
      <c r="DH92" s="97" t="str">
        <f t="shared" si="18"/>
        <v/>
      </c>
      <c r="DI92" s="97">
        <f t="shared" si="18"/>
        <v>9.8640888414727197E-3</v>
      </c>
      <c r="DJ92" s="97">
        <f t="shared" si="18"/>
        <v>-0.38280234262159329</v>
      </c>
      <c r="DK92" s="97">
        <f t="shared" si="18"/>
        <v>-8.1825622345467974E-2</v>
      </c>
      <c r="DL92" s="97">
        <f t="shared" si="18"/>
        <v>1.9956121799991067E-4</v>
      </c>
      <c r="DM92" s="97">
        <f t="shared" si="18"/>
        <v>3.3867959551858728E-3</v>
      </c>
      <c r="DN92" s="97">
        <f t="shared" si="18"/>
        <v>-0.1192632830337558</v>
      </c>
      <c r="DO92" s="97" t="str">
        <f t="shared" si="18"/>
        <v/>
      </c>
      <c r="DP92" s="97">
        <f t="shared" si="18"/>
        <v>5.7720715244577558E-2</v>
      </c>
      <c r="DQ92" s="97">
        <f t="shared" si="18"/>
        <v>6.2741000431894678E-2</v>
      </c>
      <c r="DR92" s="97">
        <f t="shared" si="18"/>
        <v>-0.15440305911727811</v>
      </c>
      <c r="DS92" s="97">
        <f t="shared" si="18"/>
        <v>3.6895048556549126E-2</v>
      </c>
      <c r="DT92" s="97" t="str">
        <f t="shared" si="18"/>
        <v/>
      </c>
      <c r="DU92" s="97">
        <f t="shared" si="18"/>
        <v>6.1038311106700771E-2</v>
      </c>
      <c r="DV92" s="97" t="str">
        <f t="shared" si="18"/>
        <v/>
      </c>
      <c r="DW92" s="97">
        <f t="shared" si="18"/>
        <v>0.43274614084921259</v>
      </c>
      <c r="DX92" s="97" t="str">
        <f t="shared" si="18"/>
        <v/>
      </c>
      <c r="DY92" s="97">
        <f t="shared" si="18"/>
        <v>7.4957689834534103E-2</v>
      </c>
      <c r="DZ92" s="97">
        <f t="shared" si="15"/>
        <v>-0.30590236514355229</v>
      </c>
      <c r="EA92" s="97">
        <f t="shared" si="15"/>
        <v>-0.27984963815334152</v>
      </c>
      <c r="EB92" s="97">
        <f t="shared" si="15"/>
        <v>0.1178641970851291</v>
      </c>
      <c r="EC92" s="97">
        <f t="shared" si="15"/>
        <v>0.16037715408190739</v>
      </c>
      <c r="ED92" s="97">
        <f t="shared" si="15"/>
        <v>0.34184386787573667</v>
      </c>
      <c r="EE92" s="97">
        <f t="shared" si="15"/>
        <v>1.2342279793549071E-3</v>
      </c>
      <c r="EF92" s="97">
        <f t="shared" si="15"/>
        <v>-0.1275186651473387</v>
      </c>
      <c r="EG92" s="97">
        <f t="shared" si="15"/>
        <v>-5.9612178617400868E-3</v>
      </c>
      <c r="EH92" s="97">
        <f t="shared" si="15"/>
        <v>0.18231872083781481</v>
      </c>
      <c r="EI92" s="97">
        <f t="shared" si="15"/>
        <v>-0.1474765231226299</v>
      </c>
      <c r="EJ92" s="97">
        <f t="shared" si="15"/>
        <v>-0.30232184672518753</v>
      </c>
      <c r="EK92" s="97">
        <f t="shared" si="15"/>
        <v>-4.6189787255418113E-2</v>
      </c>
      <c r="EL92" s="97">
        <f t="shared" si="15"/>
        <v>-0.30394729152596062</v>
      </c>
      <c r="EM92" s="97">
        <f t="shared" si="15"/>
        <v>-0.36290130238804957</v>
      </c>
      <c r="EN92" s="97">
        <f t="shared" si="15"/>
        <v>4.8361774734197996E-3</v>
      </c>
      <c r="EO92" s="97">
        <f t="shared" si="15"/>
        <v>-3.7496933346470189E-2</v>
      </c>
    </row>
    <row r="93" spans="1:145" outlineLevel="1" x14ac:dyDescent="0.25">
      <c r="A93">
        <v>2022</v>
      </c>
      <c r="B93">
        <v>7</v>
      </c>
      <c r="C93" s="97">
        <f t="shared" si="19"/>
        <v>9.1728137158472167E-2</v>
      </c>
      <c r="D93" s="97">
        <f t="shared" si="19"/>
        <v>0</v>
      </c>
      <c r="E93" s="97">
        <f t="shared" si="19"/>
        <v>0.10350872439654021</v>
      </c>
      <c r="F93" s="97">
        <f t="shared" si="19"/>
        <v>-0.51528484358019488</v>
      </c>
      <c r="G93" s="97" t="str">
        <f t="shared" si="19"/>
        <v/>
      </c>
      <c r="H93" s="97">
        <f t="shared" si="19"/>
        <v>6.9407971414598535E-2</v>
      </c>
      <c r="I93" s="97">
        <f t="shared" si="19"/>
        <v>0.40099047763305334</v>
      </c>
      <c r="J93" s="97">
        <f t="shared" si="19"/>
        <v>7.4374648553846123E-2</v>
      </c>
      <c r="K93" s="97">
        <f t="shared" si="19"/>
        <v>0.11284807672394481</v>
      </c>
      <c r="L93" s="97">
        <f t="shared" si="19"/>
        <v>-0.42632100890740499</v>
      </c>
      <c r="M93" s="97">
        <f t="shared" si="19"/>
        <v>0.15400520768018683</v>
      </c>
      <c r="N93" s="97" t="str">
        <f t="shared" si="19"/>
        <v/>
      </c>
      <c r="O93" s="97">
        <f t="shared" si="19"/>
        <v>0.10415665858639152</v>
      </c>
      <c r="P93" s="97">
        <f t="shared" si="19"/>
        <v>0.28441702220808773</v>
      </c>
      <c r="Q93" s="97">
        <f t="shared" si="19"/>
        <v>7.3188509352113407E-2</v>
      </c>
      <c r="R93" s="97">
        <f t="shared" si="19"/>
        <v>0.26146043927140594</v>
      </c>
      <c r="S93" s="97">
        <f t="shared" si="19"/>
        <v>4.1495475902055831E-3</v>
      </c>
      <c r="T93" s="97">
        <f t="shared" si="19"/>
        <v>0.32167442785921813</v>
      </c>
      <c r="U93" s="97">
        <f t="shared" si="19"/>
        <v>0.14062413611151062</v>
      </c>
      <c r="V93" s="97">
        <f t="shared" si="19"/>
        <v>0.93816511971806826</v>
      </c>
      <c r="W93" s="97">
        <f t="shared" si="19"/>
        <v>0.15457010701892221</v>
      </c>
      <c r="X93" s="97">
        <f t="shared" si="19"/>
        <v>7.212331120713289E-3</v>
      </c>
      <c r="Y93" s="97">
        <f t="shared" si="19"/>
        <v>-0.24673628204006939</v>
      </c>
      <c r="Z93" s="97">
        <f t="shared" si="19"/>
        <v>-0.23154226614479118</v>
      </c>
      <c r="AA93" s="97" t="str">
        <f t="shared" si="19"/>
        <v/>
      </c>
      <c r="AB93" s="97">
        <f t="shared" si="19"/>
        <v>-4.2176817615183666E-2</v>
      </c>
      <c r="AC93" s="97">
        <f t="shared" si="19"/>
        <v>-4.5452308642152883E-2</v>
      </c>
      <c r="AD93" s="97">
        <f t="shared" si="19"/>
        <v>-0.11962552549173808</v>
      </c>
      <c r="AE93" s="97">
        <f t="shared" si="19"/>
        <v>-4.307579027062014E-2</v>
      </c>
      <c r="AF93" s="97">
        <f t="shared" si="19"/>
        <v>-0.10462487328946839</v>
      </c>
      <c r="AG93" s="97">
        <f t="shared" si="19"/>
        <v>-0.15789371702120888</v>
      </c>
      <c r="AH93" s="97">
        <f t="shared" si="19"/>
        <v>4.7259577173181189E-2</v>
      </c>
      <c r="AI93" s="97">
        <f t="shared" si="19"/>
        <v>-0.21571661330300929</v>
      </c>
      <c r="AJ93" s="97">
        <f t="shared" si="19"/>
        <v>-0.10889720629492318</v>
      </c>
      <c r="AK93" s="97">
        <f t="shared" si="19"/>
        <v>-2.1091177762939672E-2</v>
      </c>
      <c r="AL93" s="97">
        <f t="shared" si="19"/>
        <v>-3.0269176992141714E-2</v>
      </c>
      <c r="AM93" s="97">
        <f t="shared" si="19"/>
        <v>0.20485499549189631</v>
      </c>
      <c r="AN93" s="97">
        <f t="shared" si="19"/>
        <v>-1.4338967183983973E-2</v>
      </c>
      <c r="AO93" s="97">
        <f t="shared" si="19"/>
        <v>9.3616433168591362E-2</v>
      </c>
      <c r="AP93" s="97">
        <f t="shared" si="19"/>
        <v>0.33048630069841223</v>
      </c>
      <c r="AQ93" s="97" t="str">
        <f t="shared" si="19"/>
        <v/>
      </c>
      <c r="AR93" s="97">
        <f t="shared" si="19"/>
        <v>-2.9707296532823002E-2</v>
      </c>
      <c r="AS93" s="97" t="str">
        <f t="shared" si="19"/>
        <v/>
      </c>
      <c r="AT93" s="97">
        <f t="shared" si="19"/>
        <v>-9.7920446055622556E-2</v>
      </c>
      <c r="AU93" s="97">
        <f t="shared" si="19"/>
        <v>-3.0332672373103442E-3</v>
      </c>
      <c r="AV93" s="97">
        <f t="shared" si="19"/>
        <v>2.4745132064593726E-2</v>
      </c>
      <c r="AW93" s="97">
        <f t="shared" si="19"/>
        <v>3.1734263634622728E-2</v>
      </c>
      <c r="AX93" s="97">
        <f t="shared" si="19"/>
        <v>-4.1343077003243571E-2</v>
      </c>
      <c r="AY93" s="97">
        <f t="shared" si="19"/>
        <v>-0.40306595668011747</v>
      </c>
      <c r="AZ93" s="97">
        <f t="shared" si="19"/>
        <v>6.2571564036892235E-2</v>
      </c>
      <c r="BA93" s="97">
        <f t="shared" si="19"/>
        <v>-9.3126766043350906E-2</v>
      </c>
      <c r="BB93" s="97">
        <f t="shared" si="19"/>
        <v>2.2541292912912066E-2</v>
      </c>
      <c r="BC93" s="97">
        <f t="shared" si="19"/>
        <v>-5.900144575450849E-2</v>
      </c>
      <c r="BD93" s="97">
        <f t="shared" si="19"/>
        <v>0.21446465015714852</v>
      </c>
      <c r="BE93" s="97">
        <f t="shared" si="19"/>
        <v>-0.12856459865099468</v>
      </c>
      <c r="BF93" s="97">
        <f t="shared" si="19"/>
        <v>0.15974218139657312</v>
      </c>
      <c r="BG93" s="97">
        <f t="shared" si="19"/>
        <v>0.19964052955413353</v>
      </c>
      <c r="BH93" s="97">
        <f t="shared" si="19"/>
        <v>0.11787700250002532</v>
      </c>
      <c r="BI93" s="97" t="str">
        <f t="shared" si="19"/>
        <v/>
      </c>
      <c r="BJ93" s="97">
        <f t="shared" si="19"/>
        <v>-5.712802939783157E-2</v>
      </c>
      <c r="BK93" s="97">
        <f t="shared" si="19"/>
        <v>-2.7077027697774984E-2</v>
      </c>
      <c r="BL93" s="97">
        <f t="shared" si="19"/>
        <v>3.9829170111853385E-2</v>
      </c>
      <c r="BM93" s="97">
        <f t="shared" si="19"/>
        <v>-7.7282547368943466E-2</v>
      </c>
      <c r="BN93" s="97" t="str">
        <f t="shared" ref="BN93:DY97" si="20">IF(ISBLANK(BN30),"",BN30-$D30)</f>
        <v/>
      </c>
      <c r="BO93" s="97">
        <f t="shared" si="20"/>
        <v>-3.1896591251118211E-3</v>
      </c>
      <c r="BP93" s="97">
        <f t="shared" si="18"/>
        <v>0.14185271917038622</v>
      </c>
      <c r="BQ93" s="97">
        <f t="shared" si="18"/>
        <v>-2.8814754998712003E-2</v>
      </c>
      <c r="BR93" s="97">
        <f t="shared" si="18"/>
        <v>-2.6401137112533113E-2</v>
      </c>
      <c r="BS93" s="97">
        <f t="shared" si="18"/>
        <v>-5.2216513192888225E-2</v>
      </c>
      <c r="BT93" s="97">
        <f t="shared" si="18"/>
        <v>9.8541628455232289E-2</v>
      </c>
      <c r="BU93" s="97" t="str">
        <f t="shared" si="18"/>
        <v/>
      </c>
      <c r="BV93" s="97">
        <f t="shared" si="18"/>
        <v>-0.12654994663634267</v>
      </c>
      <c r="BW93" s="97">
        <f t="shared" si="18"/>
        <v>-3.897816973030821E-5</v>
      </c>
      <c r="BX93" s="97">
        <f t="shared" si="18"/>
        <v>-1.7203248001601553E-2</v>
      </c>
      <c r="BY93" s="97" t="str">
        <f t="shared" si="18"/>
        <v/>
      </c>
      <c r="BZ93" s="97">
        <f t="shared" si="18"/>
        <v>-0.68777978493800418</v>
      </c>
      <c r="CA93" s="97">
        <f t="shared" si="18"/>
        <v>-9.431920198949062E-2</v>
      </c>
      <c r="CB93" s="97">
        <f t="shared" si="18"/>
        <v>3.1135710006946704E-2</v>
      </c>
      <c r="CC93" s="97">
        <f t="shared" si="18"/>
        <v>1.6480521201426956E-2</v>
      </c>
      <c r="CD93" s="97">
        <f t="shared" si="18"/>
        <v>-5.9660344353481991E-2</v>
      </c>
      <c r="CE93" s="97">
        <f t="shared" si="18"/>
        <v>0.12464052955413352</v>
      </c>
      <c r="CF93" s="97">
        <f t="shared" si="18"/>
        <v>0.14831309592581501</v>
      </c>
      <c r="CG93" s="97" t="str">
        <f t="shared" si="18"/>
        <v/>
      </c>
      <c r="CH93" s="97" t="str">
        <f t="shared" si="18"/>
        <v/>
      </c>
      <c r="CI93" s="97" t="str">
        <f t="shared" si="18"/>
        <v/>
      </c>
      <c r="CJ93" s="97">
        <f t="shared" si="18"/>
        <v>-2.0432233917181745E-2</v>
      </c>
      <c r="CK93" s="97">
        <f t="shared" si="18"/>
        <v>-4.0359470445866526E-2</v>
      </c>
      <c r="CL93" s="97">
        <f t="shared" si="18"/>
        <v>4.1745792712028384E-2</v>
      </c>
      <c r="CM93" s="97" t="str">
        <f t="shared" si="18"/>
        <v/>
      </c>
      <c r="CN93" s="97">
        <f t="shared" si="18"/>
        <v>0.32130719622080001</v>
      </c>
      <c r="CO93" s="97">
        <f t="shared" si="18"/>
        <v>0.24537799728371443</v>
      </c>
      <c r="CP93" s="97">
        <f t="shared" si="18"/>
        <v>-0.14850761859401479</v>
      </c>
      <c r="CQ93" s="97">
        <f t="shared" si="18"/>
        <v>0.11406839025065121</v>
      </c>
      <c r="CR93" s="97">
        <f t="shared" si="18"/>
        <v>-6.0507283679498425E-2</v>
      </c>
      <c r="CS93" s="97">
        <f t="shared" si="18"/>
        <v>0.81054962046322454</v>
      </c>
      <c r="CT93" s="97">
        <f t="shared" si="18"/>
        <v>-1.1288432194500373E-2</v>
      </c>
      <c r="CU93" s="97">
        <f t="shared" si="18"/>
        <v>0.91667109723972295</v>
      </c>
      <c r="CV93" s="97">
        <f t="shared" si="18"/>
        <v>2.2641237268216988E-2</v>
      </c>
      <c r="CW93" s="97">
        <f t="shared" si="18"/>
        <v>2.5320801662977118E-2</v>
      </c>
      <c r="CX93" s="97">
        <f t="shared" si="18"/>
        <v>-3.0205096517907593E-2</v>
      </c>
      <c r="CY93" s="97">
        <f t="shared" si="18"/>
        <v>0.10284337652922251</v>
      </c>
      <c r="CZ93" s="97">
        <f t="shared" si="18"/>
        <v>-2.9381462768785175E-2</v>
      </c>
      <c r="DA93" s="97">
        <f t="shared" si="18"/>
        <v>9.0872757042285368E-2</v>
      </c>
      <c r="DB93" s="97">
        <f t="shared" si="18"/>
        <v>1.1681798553968306</v>
      </c>
      <c r="DC93" s="97">
        <f t="shared" si="18"/>
        <v>3.1681615107414844E-2</v>
      </c>
      <c r="DD93" s="97">
        <f t="shared" si="18"/>
        <v>-0.18490205719665509</v>
      </c>
      <c r="DE93" s="97">
        <f t="shared" si="18"/>
        <v>-5.513441686167974E-2</v>
      </c>
      <c r="DF93" s="97">
        <f t="shared" si="18"/>
        <v>-4.1753805957848944E-2</v>
      </c>
      <c r="DG93" s="97">
        <f t="shared" si="18"/>
        <v>8.870151696942874E-2</v>
      </c>
      <c r="DH93" s="97" t="str">
        <f t="shared" si="18"/>
        <v/>
      </c>
      <c r="DI93" s="97">
        <f t="shared" si="18"/>
        <v>0.34771846530979461</v>
      </c>
      <c r="DJ93" s="97">
        <f t="shared" si="18"/>
        <v>-0.42226856135495738</v>
      </c>
      <c r="DK93" s="97">
        <f t="shared" si="18"/>
        <v>-0.4196340081414569</v>
      </c>
      <c r="DL93" s="97">
        <f t="shared" si="18"/>
        <v>7.4683182038399742E-3</v>
      </c>
      <c r="DM93" s="97">
        <f t="shared" si="18"/>
        <v>2.4536795114299407E-2</v>
      </c>
      <c r="DN93" s="97">
        <f t="shared" si="18"/>
        <v>0.24157601342510121</v>
      </c>
      <c r="DO93" s="97" t="str">
        <f t="shared" si="18"/>
        <v/>
      </c>
      <c r="DP93" s="97">
        <f t="shared" si="18"/>
        <v>0.48410062251429614</v>
      </c>
      <c r="DQ93" s="97">
        <f t="shared" si="18"/>
        <v>2.0307954658418836E-2</v>
      </c>
      <c r="DR93" s="97">
        <f t="shared" si="18"/>
        <v>3.0651870883802168E-3</v>
      </c>
      <c r="DS93" s="97">
        <f t="shared" si="18"/>
        <v>9.749668446423021E-2</v>
      </c>
      <c r="DT93" s="97" t="str">
        <f t="shared" si="18"/>
        <v/>
      </c>
      <c r="DU93" s="97">
        <f t="shared" si="18"/>
        <v>2.8407652841804687E-2</v>
      </c>
      <c r="DV93" s="97" t="str">
        <f t="shared" si="18"/>
        <v/>
      </c>
      <c r="DW93" s="97">
        <f t="shared" si="18"/>
        <v>-0.14148850270393099</v>
      </c>
      <c r="DX93" s="97" t="str">
        <f t="shared" si="18"/>
        <v/>
      </c>
      <c r="DY93" s="97">
        <f t="shared" si="18"/>
        <v>-0.15713392807992299</v>
      </c>
      <c r="DZ93" s="97">
        <f t="shared" si="15"/>
        <v>0.16951232442592823</v>
      </c>
      <c r="EA93" s="97">
        <f t="shared" si="15"/>
        <v>0.85217509176611506</v>
      </c>
      <c r="EB93" s="97">
        <f t="shared" si="15"/>
        <v>-8.7859470445866505E-2</v>
      </c>
      <c r="EC93" s="97">
        <f t="shared" si="15"/>
        <v>8.8608501084382674E-2</v>
      </c>
      <c r="ED93" s="97">
        <f t="shared" si="15"/>
        <v>1.3618452539635826</v>
      </c>
      <c r="EE93" s="97">
        <f t="shared" si="15"/>
        <v>-0.37422881717953466</v>
      </c>
      <c r="EF93" s="97">
        <f t="shared" si="15"/>
        <v>7.0436989731124555E-2</v>
      </c>
      <c r="EG93" s="97">
        <f t="shared" si="15"/>
        <v>0.64026552955413352</v>
      </c>
      <c r="EH93" s="97">
        <f t="shared" si="15"/>
        <v>-9.5597565683961716E-2</v>
      </c>
      <c r="EI93" s="97">
        <f t="shared" si="15"/>
        <v>-7.4857202137376344E-2</v>
      </c>
      <c r="EJ93" s="97">
        <f t="shared" si="15"/>
        <v>0.23512703813957911</v>
      </c>
      <c r="EK93" s="97">
        <f t="shared" si="15"/>
        <v>0.11072307005297642</v>
      </c>
      <c r="EL93" s="97">
        <f t="shared" si="15"/>
        <v>-7.8281548367944431E-2</v>
      </c>
      <c r="EM93" s="97">
        <f t="shared" si="15"/>
        <v>9.0281147455087751E-2</v>
      </c>
      <c r="EN93" s="97">
        <f t="shared" si="15"/>
        <v>6.3615434893913303E-2</v>
      </c>
      <c r="EO93" s="97">
        <f t="shared" si="15"/>
        <v>0.25524591072005259</v>
      </c>
    </row>
    <row r="94" spans="1:145" outlineLevel="1" x14ac:dyDescent="0.25">
      <c r="A94">
        <v>2022</v>
      </c>
      <c r="B94">
        <v>8</v>
      </c>
      <c r="C94" s="97">
        <f t="shared" ref="C94:BN97" si="21">IF(ISBLANK(C31),"",C31-$D31)</f>
        <v>-4.2736435911788113E-2</v>
      </c>
      <c r="D94" s="97">
        <f t="shared" si="21"/>
        <v>0</v>
      </c>
      <c r="E94" s="97">
        <f t="shared" si="21"/>
        <v>3.0511927439518249E-2</v>
      </c>
      <c r="F94" s="97">
        <f t="shared" si="21"/>
        <v>-0.17608838204982424</v>
      </c>
      <c r="G94" s="97" t="str">
        <f t="shared" si="21"/>
        <v/>
      </c>
      <c r="H94" s="97">
        <f t="shared" si="21"/>
        <v>7.4152420625761106E-2</v>
      </c>
      <c r="I94" s="97">
        <f t="shared" si="21"/>
        <v>-6.6773365091976622E-2</v>
      </c>
      <c r="J94" s="97">
        <f t="shared" si="21"/>
        <v>-0.21027901302890145</v>
      </c>
      <c r="K94" s="97">
        <f t="shared" si="21"/>
        <v>-0.38894018561349236</v>
      </c>
      <c r="L94" s="97">
        <f t="shared" si="21"/>
        <v>0.16054452608057135</v>
      </c>
      <c r="M94" s="97">
        <f t="shared" si="21"/>
        <v>7.5145756074824765E-2</v>
      </c>
      <c r="N94" s="97" t="str">
        <f t="shared" si="21"/>
        <v/>
      </c>
      <c r="O94" s="97">
        <f t="shared" si="21"/>
        <v>1.0004019127021528</v>
      </c>
      <c r="P94" s="97">
        <f t="shared" si="21"/>
        <v>0.75597300668309741</v>
      </c>
      <c r="Q94" s="97">
        <f t="shared" si="21"/>
        <v>-0.24725453981639364</v>
      </c>
      <c r="R94" s="97">
        <f t="shared" si="21"/>
        <v>-0.20472120507315755</v>
      </c>
      <c r="S94" s="97">
        <f t="shared" si="21"/>
        <v>4.0505015105056765E-3</v>
      </c>
      <c r="T94" s="97">
        <f t="shared" si="21"/>
        <v>-0.34808838204982423</v>
      </c>
      <c r="U94" s="97">
        <f t="shared" si="21"/>
        <v>-3.067016807988621E-2</v>
      </c>
      <c r="V94" s="97">
        <f t="shared" si="21"/>
        <v>0.40187096093277447</v>
      </c>
      <c r="W94" s="97">
        <f t="shared" si="21"/>
        <v>-8.730038955451469E-2</v>
      </c>
      <c r="X94" s="97">
        <f t="shared" si="21"/>
        <v>0.65134351541265079</v>
      </c>
      <c r="Y94" s="97">
        <f t="shared" si="21"/>
        <v>-0.57404992051136272</v>
      </c>
      <c r="Z94" s="97">
        <f t="shared" si="21"/>
        <v>-0.19074572470716705</v>
      </c>
      <c r="AA94" s="97" t="str">
        <f t="shared" si="21"/>
        <v/>
      </c>
      <c r="AB94" s="97">
        <f t="shared" si="21"/>
        <v>-8.8273077656510712E-2</v>
      </c>
      <c r="AC94" s="97">
        <f t="shared" si="21"/>
        <v>0.22028768632624415</v>
      </c>
      <c r="AD94" s="97">
        <f t="shared" si="21"/>
        <v>3.9732130770688601E-2</v>
      </c>
      <c r="AE94" s="97">
        <f t="shared" si="21"/>
        <v>0.17884349614063505</v>
      </c>
      <c r="AF94" s="97">
        <f t="shared" si="21"/>
        <v>8.2721548760106511E-2</v>
      </c>
      <c r="AG94" s="97">
        <f t="shared" si="21"/>
        <v>0.33952887873816828</v>
      </c>
      <c r="AH94" s="97">
        <f t="shared" si="21"/>
        <v>-0.11232414628558854</v>
      </c>
      <c r="AI94" s="97">
        <f t="shared" si="21"/>
        <v>0.11049149960698036</v>
      </c>
      <c r="AJ94" s="97">
        <f t="shared" si="21"/>
        <v>3.409662209741704E-3</v>
      </c>
      <c r="AK94" s="97">
        <f t="shared" si="21"/>
        <v>-3.4289319109219729E-3</v>
      </c>
      <c r="AL94" s="97">
        <f t="shared" si="21"/>
        <v>2.075307317906527E-2</v>
      </c>
      <c r="AM94" s="97">
        <f t="shared" si="21"/>
        <v>-0.10102734817790415</v>
      </c>
      <c r="AN94" s="97">
        <f t="shared" si="21"/>
        <v>-7.9439261793898819E-2</v>
      </c>
      <c r="AO94" s="97">
        <f t="shared" si="21"/>
        <v>3.330775485292059E-2</v>
      </c>
      <c r="AP94" s="97">
        <f t="shared" si="21"/>
        <v>-0.34212145178382852</v>
      </c>
      <c r="AQ94" s="97" t="str">
        <f t="shared" si="21"/>
        <v/>
      </c>
      <c r="AR94" s="97">
        <f t="shared" si="21"/>
        <v>0.37544508336494004</v>
      </c>
      <c r="AS94" s="97" t="str">
        <f t="shared" si="21"/>
        <v/>
      </c>
      <c r="AT94" s="97">
        <f t="shared" si="21"/>
        <v>-2.896156292300511E-2</v>
      </c>
      <c r="AU94" s="97">
        <f t="shared" si="21"/>
        <v>-9.386483080214425E-2</v>
      </c>
      <c r="AV94" s="97">
        <f t="shared" si="21"/>
        <v>0.48275934165504214</v>
      </c>
      <c r="AW94" s="97">
        <f t="shared" si="21"/>
        <v>-0.25514282809736022</v>
      </c>
      <c r="AX94" s="97">
        <f t="shared" si="21"/>
        <v>6.6124726510303766E-3</v>
      </c>
      <c r="AY94" s="97">
        <f t="shared" si="21"/>
        <v>-0.13005953589597805</v>
      </c>
      <c r="AZ94" s="97">
        <f t="shared" si="21"/>
        <v>-0.22253469810197973</v>
      </c>
      <c r="BA94" s="97">
        <f t="shared" si="21"/>
        <v>0.29095974486658704</v>
      </c>
      <c r="BB94" s="97">
        <f t="shared" si="21"/>
        <v>-0.15865095380642605</v>
      </c>
      <c r="BC94" s="97">
        <f t="shared" si="21"/>
        <v>-0.11668863425663405</v>
      </c>
      <c r="BD94" s="97">
        <f t="shared" si="21"/>
        <v>4.0464636803091203E-2</v>
      </c>
      <c r="BE94" s="97">
        <f t="shared" si="21"/>
        <v>-4.3111006484213399E-2</v>
      </c>
      <c r="BF94" s="97">
        <f t="shared" si="21"/>
        <v>9.3355716020779633E-2</v>
      </c>
      <c r="BG94" s="97">
        <f t="shared" si="21"/>
        <v>0.25656886546456614</v>
      </c>
      <c r="BH94" s="97">
        <f t="shared" si="21"/>
        <v>0.39143463973126208</v>
      </c>
      <c r="BI94" s="97" t="str">
        <f t="shared" si="21"/>
        <v/>
      </c>
      <c r="BJ94" s="97">
        <f t="shared" si="21"/>
        <v>0.26232472336328128</v>
      </c>
      <c r="BK94" s="97">
        <f t="shared" si="21"/>
        <v>5.1987032731472871E-2</v>
      </c>
      <c r="BL94" s="97">
        <f t="shared" si="21"/>
        <v>-0.13637175253307654</v>
      </c>
      <c r="BM94" s="97">
        <f t="shared" si="21"/>
        <v>0.33586308315164098</v>
      </c>
      <c r="BN94" s="97" t="str">
        <f t="shared" si="21"/>
        <v/>
      </c>
      <c r="BO94" s="97">
        <f t="shared" si="20"/>
        <v>5.7668113110644459E-2</v>
      </c>
      <c r="BP94" s="97">
        <f t="shared" si="20"/>
        <v>-6.3199358030365471E-2</v>
      </c>
      <c r="BQ94" s="97">
        <f t="shared" si="20"/>
        <v>-8.42218441247089E-2</v>
      </c>
      <c r="BR94" s="97">
        <f t="shared" si="20"/>
        <v>0.21196920741952985</v>
      </c>
      <c r="BS94" s="97">
        <f t="shared" si="20"/>
        <v>-7.3257521853110408E-2</v>
      </c>
      <c r="BT94" s="97">
        <f t="shared" si="20"/>
        <v>-0.20193453589597815</v>
      </c>
      <c r="BU94" s="97" t="str">
        <f t="shared" si="20"/>
        <v/>
      </c>
      <c r="BV94" s="97">
        <f t="shared" si="20"/>
        <v>-8.718171378620776E-2</v>
      </c>
      <c r="BW94" s="97">
        <f t="shared" si="20"/>
        <v>-7.3170810709108913E-3</v>
      </c>
      <c r="BX94" s="97">
        <f t="shared" si="20"/>
        <v>-7.1222751861252043E-2</v>
      </c>
      <c r="BY94" s="97" t="str">
        <f t="shared" si="20"/>
        <v/>
      </c>
      <c r="BZ94" s="97">
        <f t="shared" si="20"/>
        <v>0.31961543011353893</v>
      </c>
      <c r="CA94" s="97">
        <f t="shared" si="20"/>
        <v>9.4361760400317962E-2</v>
      </c>
      <c r="CB94" s="97">
        <f t="shared" si="20"/>
        <v>1.9772320057929171E-3</v>
      </c>
      <c r="CC94" s="97">
        <f t="shared" si="20"/>
        <v>-8.5351778692631552E-2</v>
      </c>
      <c r="CD94" s="97">
        <f t="shared" si="20"/>
        <v>-0.23219332819856603</v>
      </c>
      <c r="CE94" s="97">
        <f t="shared" si="20"/>
        <v>0.17441612669321646</v>
      </c>
      <c r="CF94" s="97">
        <f t="shared" si="20"/>
        <v>-0.10979277934744194</v>
      </c>
      <c r="CG94" s="97" t="str">
        <f t="shared" si="20"/>
        <v/>
      </c>
      <c r="CH94" s="97" t="str">
        <f t="shared" si="20"/>
        <v/>
      </c>
      <c r="CI94" s="97" t="str">
        <f t="shared" si="20"/>
        <v/>
      </c>
      <c r="CJ94" s="97">
        <f t="shared" si="20"/>
        <v>-4.6483279867379552E-2</v>
      </c>
      <c r="CK94" s="97">
        <f t="shared" si="20"/>
        <v>-2.276786922931151E-2</v>
      </c>
      <c r="CL94" s="97">
        <f t="shared" si="20"/>
        <v>-6.985040946483223E-3</v>
      </c>
      <c r="CM94" s="97" t="str">
        <f t="shared" si="20"/>
        <v/>
      </c>
      <c r="CN94" s="97">
        <f t="shared" si="20"/>
        <v>-0.18226240474843713</v>
      </c>
      <c r="CO94" s="97">
        <f t="shared" si="20"/>
        <v>-0.12516106227888904</v>
      </c>
      <c r="CP94" s="97">
        <f t="shared" si="20"/>
        <v>1.255821772721033E-2</v>
      </c>
      <c r="CQ94" s="97">
        <f t="shared" si="20"/>
        <v>0.13199403553259326</v>
      </c>
      <c r="CR94" s="97">
        <f t="shared" si="20"/>
        <v>-9.4377667883055905E-2</v>
      </c>
      <c r="CS94" s="97">
        <f t="shared" si="20"/>
        <v>-0.19269758810481355</v>
      </c>
      <c r="CT94" s="97">
        <f t="shared" si="20"/>
        <v>6.3527569217014523E-3</v>
      </c>
      <c r="CU94" s="97">
        <f t="shared" si="20"/>
        <v>-2.699148350417846E-2</v>
      </c>
      <c r="CV94" s="97">
        <f t="shared" si="20"/>
        <v>-0.24516435926326913</v>
      </c>
      <c r="CW94" s="97">
        <f t="shared" si="20"/>
        <v>-0.16326764814933584</v>
      </c>
      <c r="CX94" s="97">
        <f t="shared" si="20"/>
        <v>-7.4070320903050324E-2</v>
      </c>
      <c r="CY94" s="97">
        <f t="shared" si="20"/>
        <v>-0.11483776170242974</v>
      </c>
      <c r="CZ94" s="97">
        <f t="shared" si="20"/>
        <v>-0.10646987432313894</v>
      </c>
      <c r="DA94" s="97">
        <f t="shared" si="20"/>
        <v>-7.4681550011070574E-2</v>
      </c>
      <c r="DB94" s="97">
        <f t="shared" si="20"/>
        <v>0.10802516473729766</v>
      </c>
      <c r="DC94" s="97">
        <f t="shared" si="20"/>
        <v>-0.10821376347260785</v>
      </c>
      <c r="DD94" s="97">
        <f t="shared" si="20"/>
        <v>0.16924534804986327</v>
      </c>
      <c r="DE94" s="97">
        <f t="shared" si="20"/>
        <v>-0.17615978154979525</v>
      </c>
      <c r="DF94" s="97">
        <f t="shared" si="20"/>
        <v>2.6109186494762682E-3</v>
      </c>
      <c r="DG94" s="97">
        <f t="shared" si="20"/>
        <v>-0.21082342478486704</v>
      </c>
      <c r="DH94" s="97" t="str">
        <f t="shared" si="20"/>
        <v/>
      </c>
      <c r="DI94" s="97">
        <f t="shared" si="20"/>
        <v>0.13634671410402177</v>
      </c>
      <c r="DJ94" s="97">
        <f t="shared" si="20"/>
        <v>2.4420031901615777</v>
      </c>
      <c r="DK94" s="97">
        <f t="shared" si="20"/>
        <v>0.57369314322220943</v>
      </c>
      <c r="DL94" s="97">
        <f t="shared" si="20"/>
        <v>1.9489592496528818E-3</v>
      </c>
      <c r="DM94" s="97">
        <f t="shared" si="20"/>
        <v>0.18227599041981127</v>
      </c>
      <c r="DN94" s="97">
        <f t="shared" si="20"/>
        <v>9.3303559342116982E-2</v>
      </c>
      <c r="DO94" s="97" t="str">
        <f t="shared" si="20"/>
        <v/>
      </c>
      <c r="DP94" s="97">
        <f t="shared" si="20"/>
        <v>-0.12467943104410104</v>
      </c>
      <c r="DQ94" s="97">
        <f t="shared" si="20"/>
        <v>3.8377557732110157E-2</v>
      </c>
      <c r="DR94" s="97">
        <f t="shared" si="20"/>
        <v>-5.3129075145124882E-2</v>
      </c>
      <c r="DS94" s="97">
        <f t="shared" si="20"/>
        <v>7.6175700324494278E-2</v>
      </c>
      <c r="DT94" s="97" t="str">
        <f t="shared" si="20"/>
        <v/>
      </c>
      <c r="DU94" s="97">
        <f t="shared" si="20"/>
        <v>2.2033506713875491E-2</v>
      </c>
      <c r="DV94" s="97" t="str">
        <f t="shared" si="20"/>
        <v/>
      </c>
      <c r="DW94" s="97">
        <f t="shared" si="20"/>
        <v>0.82905137959697961</v>
      </c>
      <c r="DX94" s="97" t="str">
        <f t="shared" si="20"/>
        <v/>
      </c>
      <c r="DY94" s="97">
        <f t="shared" si="20"/>
        <v>0.43010429905547815</v>
      </c>
      <c r="DZ94" s="97">
        <f t="shared" si="15"/>
        <v>3.9161354514980713E-2</v>
      </c>
      <c r="EA94" s="97">
        <f t="shared" si="15"/>
        <v>-7.1586277189510383E-2</v>
      </c>
      <c r="EB94" s="97">
        <f t="shared" si="15"/>
        <v>-9.8216259748490353E-3</v>
      </c>
      <c r="EC94" s="97">
        <f t="shared" si="15"/>
        <v>3.7281150378531747E-2</v>
      </c>
      <c r="ED94" s="97">
        <f t="shared" si="15"/>
        <v>-1.93453589597814E-3</v>
      </c>
      <c r="EE94" s="97">
        <f t="shared" si="15"/>
        <v>0.58875567277175844</v>
      </c>
      <c r="EF94" s="97">
        <f t="shared" si="15"/>
        <v>0.26252827402137724</v>
      </c>
      <c r="EG94" s="97">
        <f t="shared" si="15"/>
        <v>0.24250990854846635</v>
      </c>
      <c r="EH94" s="97">
        <f t="shared" si="15"/>
        <v>-0.16640822010650444</v>
      </c>
      <c r="EI94" s="97">
        <f t="shared" si="15"/>
        <v>-4.735558269144402E-3</v>
      </c>
      <c r="EJ94" s="97">
        <f t="shared" si="15"/>
        <v>0.34816473610931625</v>
      </c>
      <c r="EK94" s="97">
        <f t="shared" si="15"/>
        <v>-0.27687089322067143</v>
      </c>
      <c r="EL94" s="97">
        <f t="shared" si="15"/>
        <v>0.17412180213219086</v>
      </c>
      <c r="EM94" s="97">
        <f t="shared" si="15"/>
        <v>-0.17064938696867155</v>
      </c>
      <c r="EN94" s="97">
        <f t="shared" si="15"/>
        <v>-0.14447094815752265</v>
      </c>
      <c r="EO94" s="97">
        <f t="shared" si="15"/>
        <v>-2.6934535895978051E-2</v>
      </c>
    </row>
    <row r="95" spans="1:145" outlineLevel="1" x14ac:dyDescent="0.25">
      <c r="A95">
        <v>2022</v>
      </c>
      <c r="B95">
        <v>9</v>
      </c>
      <c r="C95" s="97">
        <f t="shared" si="21"/>
        <v>-9.4477534016965903E-2</v>
      </c>
      <c r="D95" s="97">
        <f t="shared" si="21"/>
        <v>0</v>
      </c>
      <c r="E95" s="97">
        <f t="shared" si="21"/>
        <v>-1.274609834093021E-2</v>
      </c>
      <c r="F95" s="97">
        <f t="shared" si="21"/>
        <v>-0.35004907212884501</v>
      </c>
      <c r="G95" s="97" t="str">
        <f t="shared" si="21"/>
        <v/>
      </c>
      <c r="H95" s="97">
        <f t="shared" si="21"/>
        <v>-0.28152227409385022</v>
      </c>
      <c r="I95" s="97">
        <f t="shared" si="21"/>
        <v>0.1132321907873977</v>
      </c>
      <c r="J95" s="97">
        <f t="shared" si="21"/>
        <v>-5.2736670308246358E-2</v>
      </c>
      <c r="K95" s="97">
        <f t="shared" si="21"/>
        <v>-7.1185418595704264E-2</v>
      </c>
      <c r="L95" s="97">
        <f t="shared" si="21"/>
        <v>-0.19514456811960251</v>
      </c>
      <c r="M95" s="97">
        <f t="shared" si="21"/>
        <v>-0.13082217652468239</v>
      </c>
      <c r="N95" s="97" t="str">
        <f t="shared" si="21"/>
        <v/>
      </c>
      <c r="O95" s="97">
        <f t="shared" si="21"/>
        <v>1.1941339089716289E-2</v>
      </c>
      <c r="P95" s="97">
        <f t="shared" si="21"/>
        <v>-0.19237241331769181</v>
      </c>
      <c r="Q95" s="97">
        <f t="shared" si="21"/>
        <v>-0.10595709852867451</v>
      </c>
      <c r="R95" s="97">
        <f t="shared" si="21"/>
        <v>4.8718410185568217E-2</v>
      </c>
      <c r="S95" s="97">
        <f t="shared" si="21"/>
        <v>3.392649393210156E-3</v>
      </c>
      <c r="T95" s="97">
        <f t="shared" si="21"/>
        <v>-0.11186491620119809</v>
      </c>
      <c r="U95" s="97">
        <f t="shared" si="21"/>
        <v>-0.12336276978049961</v>
      </c>
      <c r="V95" s="97">
        <f t="shared" si="21"/>
        <v>-0.24754292234341399</v>
      </c>
      <c r="W95" s="97">
        <f t="shared" si="21"/>
        <v>-0.24339432796590399</v>
      </c>
      <c r="X95" s="97">
        <f t="shared" si="21"/>
        <v>-0.30268795388021957</v>
      </c>
      <c r="Y95" s="97">
        <f t="shared" si="21"/>
        <v>-0.1706003204752673</v>
      </c>
      <c r="Z95" s="97">
        <f t="shared" si="21"/>
        <v>-9.6888580839467275E-2</v>
      </c>
      <c r="AA95" s="97" t="str">
        <f t="shared" si="21"/>
        <v/>
      </c>
      <c r="AB95" s="97">
        <f t="shared" si="21"/>
        <v>5.2530395934794472E-2</v>
      </c>
      <c r="AC95" s="97">
        <f t="shared" si="21"/>
        <v>-2.9333721905298041E-2</v>
      </c>
      <c r="AD95" s="97">
        <f t="shared" si="21"/>
        <v>-6.1660994632570694E-2</v>
      </c>
      <c r="AE95" s="97">
        <f t="shared" si="21"/>
        <v>-9.5084250446524243E-2</v>
      </c>
      <c r="AF95" s="97">
        <f t="shared" si="21"/>
        <v>-7.5231726339887728E-2</v>
      </c>
      <c r="AG95" s="97">
        <f t="shared" si="21"/>
        <v>-0.35357614614772209</v>
      </c>
      <c r="AH95" s="97">
        <f t="shared" si="21"/>
        <v>-0.17724347638439561</v>
      </c>
      <c r="AI95" s="97">
        <f t="shared" si="21"/>
        <v>-0.2696551026522106</v>
      </c>
      <c r="AJ95" s="97">
        <f t="shared" si="21"/>
        <v>-0.41785046831678119</v>
      </c>
      <c r="AK95" s="97">
        <f t="shared" si="21"/>
        <v>-0.27619419493189717</v>
      </c>
      <c r="AL95" s="97">
        <f t="shared" si="21"/>
        <v>-9.0798195997758402E-2</v>
      </c>
      <c r="AM95" s="97">
        <f t="shared" si="21"/>
        <v>-9.0323346790462944E-3</v>
      </c>
      <c r="AN95" s="97">
        <f t="shared" si="21"/>
        <v>-0.33607738807519361</v>
      </c>
      <c r="AO95" s="97">
        <f t="shared" si="21"/>
        <v>2.3470920261046361E-2</v>
      </c>
      <c r="AP95" s="97">
        <f t="shared" si="21"/>
        <v>-0.2003612779186896</v>
      </c>
      <c r="AQ95" s="97" t="str">
        <f t="shared" si="21"/>
        <v/>
      </c>
      <c r="AR95" s="97">
        <f t="shared" si="21"/>
        <v>-1.8321157234196691E-2</v>
      </c>
      <c r="AS95" s="97" t="str">
        <f t="shared" si="21"/>
        <v/>
      </c>
      <c r="AT95" s="97">
        <f t="shared" si="21"/>
        <v>-7.6135068706644882E-2</v>
      </c>
      <c r="AU95" s="97">
        <f t="shared" si="21"/>
        <v>-0.27577597204687798</v>
      </c>
      <c r="AV95" s="97">
        <f t="shared" si="21"/>
        <v>-0.2072843623301652</v>
      </c>
      <c r="AW95" s="97">
        <f t="shared" si="21"/>
        <v>-0.1818362755314471</v>
      </c>
      <c r="AX95" s="97">
        <f t="shared" si="21"/>
        <v>0.93014239519793773</v>
      </c>
      <c r="AY95" s="97">
        <f t="shared" si="21"/>
        <v>-0.245788593198879</v>
      </c>
      <c r="AZ95" s="97">
        <f t="shared" si="21"/>
        <v>-0.16439189993954251</v>
      </c>
      <c r="BA95" s="97">
        <f t="shared" si="21"/>
        <v>-0.1039376702357878</v>
      </c>
      <c r="BB95" s="97">
        <f t="shared" si="21"/>
        <v>-7.2857454809561739E-2</v>
      </c>
      <c r="BC95" s="97">
        <f t="shared" si="21"/>
        <v>-0.30946840203997811</v>
      </c>
      <c r="BD95" s="97">
        <f t="shared" si="21"/>
        <v>-2.587051844209454E-2</v>
      </c>
      <c r="BE95" s="97">
        <f t="shared" si="21"/>
        <v>0.19732550843491389</v>
      </c>
      <c r="BF95" s="97">
        <f t="shared" si="21"/>
        <v>-0.21106099463257069</v>
      </c>
      <c r="BG95" s="97">
        <f t="shared" si="21"/>
        <v>9.1182248610672367E-2</v>
      </c>
      <c r="BH95" s="97">
        <f t="shared" si="21"/>
        <v>-0.25479411360363191</v>
      </c>
      <c r="BI95" s="97" t="str">
        <f t="shared" si="21"/>
        <v/>
      </c>
      <c r="BJ95" s="97">
        <f t="shared" si="21"/>
        <v>-0.26205806508811491</v>
      </c>
      <c r="BK95" s="97">
        <f t="shared" si="21"/>
        <v>-0.1929912271907103</v>
      </c>
      <c r="BL95" s="97">
        <f t="shared" si="21"/>
        <v>6.5930705006564949E-3</v>
      </c>
      <c r="BM95" s="97">
        <f t="shared" si="21"/>
        <v>0.34054189746976521</v>
      </c>
      <c r="BN95" s="97" t="str">
        <f t="shared" si="21"/>
        <v/>
      </c>
      <c r="BO95" s="97">
        <f t="shared" si="20"/>
        <v>-0.23188242320399929</v>
      </c>
      <c r="BP95" s="97">
        <f t="shared" si="20"/>
        <v>-0.25469257357993907</v>
      </c>
      <c r="BQ95" s="97">
        <f t="shared" si="20"/>
        <v>-0.11984214964776831</v>
      </c>
      <c r="BR95" s="97">
        <f t="shared" si="20"/>
        <v>-0.1165984395664915</v>
      </c>
      <c r="BS95" s="97">
        <f t="shared" si="20"/>
        <v>-7.6275081381476317E-2</v>
      </c>
      <c r="BT95" s="97">
        <f t="shared" si="20"/>
        <v>-0.38842463099620711</v>
      </c>
      <c r="BU95" s="97" t="str">
        <f t="shared" si="20"/>
        <v/>
      </c>
      <c r="BV95" s="97">
        <f t="shared" si="20"/>
        <v>-0.33823120739852819</v>
      </c>
      <c r="BW95" s="97">
        <f t="shared" si="20"/>
        <v>-0.1433443344083728</v>
      </c>
      <c r="BX95" s="97">
        <f t="shared" si="20"/>
        <v>1.04592459217816E-2</v>
      </c>
      <c r="BY95" s="97" t="str">
        <f t="shared" si="20"/>
        <v/>
      </c>
      <c r="BZ95" s="97">
        <f t="shared" si="20"/>
        <v>-0.21116593290417551</v>
      </c>
      <c r="CA95" s="97">
        <f t="shared" si="20"/>
        <v>-0.17435829192986801</v>
      </c>
      <c r="CB95" s="97">
        <f t="shared" si="20"/>
        <v>-7.0033718953384616E-2</v>
      </c>
      <c r="CC95" s="97">
        <f t="shared" si="20"/>
        <v>7.1371476129209244E-2</v>
      </c>
      <c r="CD95" s="97">
        <f t="shared" si="20"/>
        <v>-0.22619892566705341</v>
      </c>
      <c r="CE95" s="97">
        <f t="shared" si="20"/>
        <v>-5.9253368982657213E-2</v>
      </c>
      <c r="CF95" s="97">
        <f t="shared" si="20"/>
        <v>-0.13677602053930651</v>
      </c>
      <c r="CG95" s="97" t="str">
        <f t="shared" si="20"/>
        <v/>
      </c>
      <c r="CH95" s="97" t="str">
        <f t="shared" si="20"/>
        <v/>
      </c>
      <c r="CI95" s="97" t="str">
        <f t="shared" si="20"/>
        <v/>
      </c>
      <c r="CJ95" s="97">
        <f t="shared" si="20"/>
        <v>1.484922047903536E-2</v>
      </c>
      <c r="CK95" s="97">
        <f t="shared" si="20"/>
        <v>-0.53397588824959197</v>
      </c>
      <c r="CL95" s="97">
        <f t="shared" si="20"/>
        <v>-0.1898782535158193</v>
      </c>
      <c r="CM95" s="97" t="str">
        <f t="shared" si="20"/>
        <v/>
      </c>
      <c r="CN95" s="97">
        <f t="shared" si="20"/>
        <v>0.13640054382896771</v>
      </c>
      <c r="CO95" s="97">
        <f t="shared" si="20"/>
        <v>-6.9593462165038256E-2</v>
      </c>
      <c r="CP95" s="97">
        <f t="shared" si="20"/>
        <v>-0.20206099463257049</v>
      </c>
      <c r="CQ95" s="97">
        <f t="shared" si="20"/>
        <v>-0.18513186077430291</v>
      </c>
      <c r="CR95" s="97">
        <f t="shared" si="20"/>
        <v>-0.18186935345010369</v>
      </c>
      <c r="CS95" s="97">
        <f t="shared" si="20"/>
        <v>-0.2204232775109827</v>
      </c>
      <c r="CT95" s="97">
        <f t="shared" si="20"/>
        <v>6.7873139482643686E-4</v>
      </c>
      <c r="CU95" s="97">
        <f t="shared" si="20"/>
        <v>-0.2450516488381782</v>
      </c>
      <c r="CV95" s="97">
        <f t="shared" si="20"/>
        <v>-9.736859904113726E-2</v>
      </c>
      <c r="CW95" s="97">
        <f t="shared" si="20"/>
        <v>-1.688898988761223E-2</v>
      </c>
      <c r="CX95" s="97">
        <f t="shared" si="20"/>
        <v>1.146796878206335E-2</v>
      </c>
      <c r="CY95" s="97">
        <f t="shared" si="20"/>
        <v>-0.18024281281438881</v>
      </c>
      <c r="CZ95" s="97">
        <f t="shared" si="20"/>
        <v>-3.4561768161042727E-2</v>
      </c>
      <c r="DA95" s="97">
        <f t="shared" si="20"/>
        <v>0.29536289295525142</v>
      </c>
      <c r="DB95" s="97">
        <f t="shared" si="20"/>
        <v>8.1445229433819266E-2</v>
      </c>
      <c r="DC95" s="97">
        <f t="shared" si="20"/>
        <v>-4.2358465482899343E-2</v>
      </c>
      <c r="DD95" s="97">
        <f t="shared" si="20"/>
        <v>-7.0599392650737558E-2</v>
      </c>
      <c r="DE95" s="97">
        <f t="shared" si="20"/>
        <v>-0.22402895801929851</v>
      </c>
      <c r="DF95" s="97">
        <f t="shared" si="20"/>
        <v>-0.19436868694026299</v>
      </c>
      <c r="DG95" s="97">
        <f t="shared" si="20"/>
        <v>7.4343499749451647E-2</v>
      </c>
      <c r="DH95" s="97" t="str">
        <f t="shared" si="20"/>
        <v/>
      </c>
      <c r="DI95" s="97">
        <f t="shared" si="20"/>
        <v>0.26835767386434101</v>
      </c>
      <c r="DJ95" s="97">
        <f t="shared" si="20"/>
        <v>-0.27603359737229671</v>
      </c>
      <c r="DK95" s="97">
        <f t="shared" si="20"/>
        <v>0.62327907532467752</v>
      </c>
      <c r="DL95" s="97">
        <f t="shared" si="20"/>
        <v>-3.0281126209652513E-3</v>
      </c>
      <c r="DM95" s="97">
        <f t="shared" si="20"/>
        <v>0.11246891989734389</v>
      </c>
      <c r="DN95" s="97">
        <f t="shared" si="20"/>
        <v>-5.3444393842056792E-2</v>
      </c>
      <c r="DO95" s="97" t="str">
        <f t="shared" si="20"/>
        <v/>
      </c>
      <c r="DP95" s="97">
        <f t="shared" si="20"/>
        <v>-0.319039265325963</v>
      </c>
      <c r="DQ95" s="97">
        <f t="shared" si="20"/>
        <v>-0.37616813748971362</v>
      </c>
      <c r="DR95" s="97">
        <f t="shared" si="20"/>
        <v>-0.23587394427285849</v>
      </c>
      <c r="DS95" s="97">
        <f t="shared" si="20"/>
        <v>-1.3162367697133861E-2</v>
      </c>
      <c r="DT95" s="97" t="str">
        <f t="shared" si="20"/>
        <v/>
      </c>
      <c r="DU95" s="97">
        <f t="shared" si="20"/>
        <v>0.1110729455494839</v>
      </c>
      <c r="DV95" s="97" t="str">
        <f t="shared" si="20"/>
        <v/>
      </c>
      <c r="DW95" s="97">
        <f t="shared" si="20"/>
        <v>0.50819541562383952</v>
      </c>
      <c r="DX95" s="97" t="str">
        <f t="shared" si="20"/>
        <v/>
      </c>
      <c r="DY95" s="97">
        <f t="shared" si="20"/>
        <v>-0.29358641836138433</v>
      </c>
      <c r="DZ95" s="97">
        <f t="shared" si="15"/>
        <v>-0.27837678410625488</v>
      </c>
      <c r="EA95" s="97">
        <f t="shared" si="15"/>
        <v>-0.30420003206572588</v>
      </c>
      <c r="EB95" s="97">
        <f t="shared" si="15"/>
        <v>-0.26482250090872139</v>
      </c>
      <c r="EC95" s="97">
        <f t="shared" si="15"/>
        <v>-0.51778426507282227</v>
      </c>
      <c r="ED95" s="97">
        <f t="shared" si="15"/>
        <v>-0.1838791764507525</v>
      </c>
      <c r="EE95" s="97">
        <f t="shared" si="15"/>
        <v>-0.33203072218050211</v>
      </c>
      <c r="EF95" s="97">
        <f t="shared" si="15"/>
        <v>-0.2491198181619825</v>
      </c>
      <c r="EG95" s="97">
        <f t="shared" si="15"/>
        <v>-0.25716303544889718</v>
      </c>
      <c r="EH95" s="97">
        <f t="shared" si="15"/>
        <v>-6.5053120616822668E-2</v>
      </c>
      <c r="EI95" s="97">
        <f t="shared" si="15"/>
        <v>-0.1099106721953904</v>
      </c>
      <c r="EJ95" s="97">
        <f t="shared" si="15"/>
        <v>0.70921351517135078</v>
      </c>
      <c r="EK95" s="97">
        <f t="shared" si="15"/>
        <v>-0.2899639630334645</v>
      </c>
      <c r="EL95" s="97">
        <f t="shared" si="15"/>
        <v>-6.7929258105624557E-2</v>
      </c>
      <c r="EM95" s="97">
        <f t="shared" si="15"/>
        <v>-0.43804195178616623</v>
      </c>
      <c r="EN95" s="97">
        <f t="shared" si="15"/>
        <v>-5.4702906470898371E-2</v>
      </c>
      <c r="EO95" s="97">
        <f t="shared" si="15"/>
        <v>0.14079614822457209</v>
      </c>
    </row>
    <row r="96" spans="1:145" outlineLevel="1" x14ac:dyDescent="0.25">
      <c r="A96">
        <v>2022</v>
      </c>
      <c r="B96">
        <v>10</v>
      </c>
      <c r="C96" s="97">
        <f t="shared" si="21"/>
        <v>7.9686033686853008E-2</v>
      </c>
      <c r="D96" s="97">
        <f t="shared" si="21"/>
        <v>0</v>
      </c>
      <c r="E96" s="97">
        <f t="shared" si="21"/>
        <v>-9.8489691137250146E-3</v>
      </c>
      <c r="F96" s="97">
        <f t="shared" si="21"/>
        <v>-0.158732614058361</v>
      </c>
      <c r="G96" s="97" t="str">
        <f t="shared" si="21"/>
        <v/>
      </c>
      <c r="H96" s="97">
        <f t="shared" si="21"/>
        <v>5.9157906635897817E-2</v>
      </c>
      <c r="I96" s="97">
        <f t="shared" si="21"/>
        <v>0.26555056280030431</v>
      </c>
      <c r="J96" s="97">
        <f t="shared" si="21"/>
        <v>9.8054371198375012E-2</v>
      </c>
      <c r="K96" s="97">
        <f t="shared" si="21"/>
        <v>8.7519153975585295E-2</v>
      </c>
      <c r="L96" s="97">
        <f t="shared" si="21"/>
        <v>-0.1408754712012181</v>
      </c>
      <c r="M96" s="97">
        <f t="shared" si="21"/>
        <v>0.19909474837385521</v>
      </c>
      <c r="N96" s="97" t="str">
        <f t="shared" si="21"/>
        <v/>
      </c>
      <c r="O96" s="97">
        <f t="shared" si="21"/>
        <v>-0.17190045887177538</v>
      </c>
      <c r="P96" s="97">
        <f t="shared" si="21"/>
        <v>-0.25800001332576028</v>
      </c>
      <c r="Q96" s="97">
        <f t="shared" si="21"/>
        <v>-0.16970569894448939</v>
      </c>
      <c r="R96" s="97">
        <f t="shared" si="21"/>
        <v>0.11573998010405111</v>
      </c>
      <c r="S96" s="97">
        <f t="shared" si="21"/>
        <v>1.3688229661528157E-3</v>
      </c>
      <c r="T96" s="97">
        <f t="shared" si="21"/>
        <v>0.13497411973647841</v>
      </c>
      <c r="U96" s="97">
        <f t="shared" si="21"/>
        <v>0.11288835756261051</v>
      </c>
      <c r="V96" s="97">
        <f t="shared" si="21"/>
        <v>0.31377950456154213</v>
      </c>
      <c r="W96" s="97">
        <f t="shared" si="21"/>
        <v>5.2891789657431014E-2</v>
      </c>
      <c r="X96" s="97">
        <f t="shared" si="21"/>
        <v>1.0288324662264037E-2</v>
      </c>
      <c r="Y96" s="97">
        <f t="shared" si="21"/>
        <v>-0.1151032704290175</v>
      </c>
      <c r="Z96" s="97">
        <f t="shared" si="21"/>
        <v>2.6981671655924796E-2</v>
      </c>
      <c r="AA96" s="97" t="str">
        <f t="shared" si="21"/>
        <v/>
      </c>
      <c r="AB96" s="97">
        <f t="shared" si="21"/>
        <v>9.6534055562382148E-2</v>
      </c>
      <c r="AC96" s="97">
        <f t="shared" si="21"/>
        <v>4.9812112243374555E-2</v>
      </c>
      <c r="AD96" s="97">
        <f t="shared" si="21"/>
        <v>9.3688847933496522E-2</v>
      </c>
      <c r="AE96" s="97">
        <f t="shared" si="21"/>
        <v>2.6837473580003652E-3</v>
      </c>
      <c r="AF96" s="97">
        <f t="shared" si="21"/>
        <v>-6.4747651652345972E-2</v>
      </c>
      <c r="AG96" s="97">
        <f t="shared" si="21"/>
        <v>7.7560374770193619E-3</v>
      </c>
      <c r="AH96" s="97">
        <f t="shared" si="21"/>
        <v>7.2598006066200149E-3</v>
      </c>
      <c r="AI96" s="97">
        <f t="shared" si="21"/>
        <v>-0.10773500831215199</v>
      </c>
      <c r="AJ96" s="97">
        <f t="shared" si="21"/>
        <v>0.13354537821963119</v>
      </c>
      <c r="AK96" s="97">
        <f t="shared" si="21"/>
        <v>-0.2913950261022164</v>
      </c>
      <c r="AL96" s="97">
        <f t="shared" si="21"/>
        <v>0.11826043035041381</v>
      </c>
      <c r="AM96" s="97">
        <f t="shared" si="21"/>
        <v>0.11385486086920761</v>
      </c>
      <c r="AN96" s="97">
        <f t="shared" si="21"/>
        <v>-3.9282064607811584E-2</v>
      </c>
      <c r="AO96" s="97">
        <f t="shared" si="21"/>
        <v>1.9157131051301016E-2</v>
      </c>
      <c r="AP96" s="97">
        <f t="shared" si="21"/>
        <v>8.3215896794743394E-2</v>
      </c>
      <c r="AQ96" s="97" t="str">
        <f t="shared" si="21"/>
        <v/>
      </c>
      <c r="AR96" s="97">
        <f t="shared" si="21"/>
        <v>-0.10902777344442949</v>
      </c>
      <c r="AS96" s="97" t="str">
        <f t="shared" si="21"/>
        <v/>
      </c>
      <c r="AT96" s="97">
        <f t="shared" si="21"/>
        <v>-3.1589756915503815E-2</v>
      </c>
      <c r="AU96" s="97">
        <f t="shared" si="21"/>
        <v>-8.6955610574040443E-2</v>
      </c>
      <c r="AV96" s="97">
        <f t="shared" si="21"/>
        <v>0.12258872803779951</v>
      </c>
      <c r="AW96" s="97">
        <f t="shared" si="21"/>
        <v>6.1262781360080343E-2</v>
      </c>
      <c r="AX96" s="97">
        <f t="shared" si="21"/>
        <v>0.94577866413712797</v>
      </c>
      <c r="AY96" s="97">
        <f t="shared" si="21"/>
        <v>-0.19353288487758918</v>
      </c>
      <c r="AZ96" s="97">
        <f t="shared" si="21"/>
        <v>6.1764280351576772E-2</v>
      </c>
      <c r="BA96" s="97">
        <f t="shared" si="21"/>
        <v>0.21184307890539181</v>
      </c>
      <c r="BB96" s="97">
        <f t="shared" si="21"/>
        <v>0.2126959573702103</v>
      </c>
      <c r="BC96" s="97">
        <f t="shared" si="21"/>
        <v>-7.6456067075931666E-2</v>
      </c>
      <c r="BD96" s="97">
        <f t="shared" si="21"/>
        <v>-3.5126342281357581E-2</v>
      </c>
      <c r="BE96" s="97">
        <f t="shared" si="21"/>
        <v>0.1032695781228594</v>
      </c>
      <c r="BF96" s="97">
        <f t="shared" si="21"/>
        <v>-0.31890960520880351</v>
      </c>
      <c r="BG96" s="97">
        <f t="shared" si="21"/>
        <v>-0.31432152452984258</v>
      </c>
      <c r="BH96" s="97">
        <f t="shared" si="21"/>
        <v>-0.12551402541808571</v>
      </c>
      <c r="BI96" s="97" t="str">
        <f t="shared" si="21"/>
        <v/>
      </c>
      <c r="BJ96" s="97">
        <f t="shared" si="21"/>
        <v>5.2448247835090056E-2</v>
      </c>
      <c r="BK96" s="97">
        <f t="shared" si="21"/>
        <v>-0.35772657784105721</v>
      </c>
      <c r="BL96" s="97">
        <f t="shared" si="21"/>
        <v>0.17249017083342372</v>
      </c>
      <c r="BM96" s="97">
        <f t="shared" si="21"/>
        <v>-4.9037585725048016E-3</v>
      </c>
      <c r="BN96" s="97" t="str">
        <f t="shared" si="21"/>
        <v/>
      </c>
      <c r="BO96" s="97">
        <f t="shared" si="20"/>
        <v>2.2987103738333348E-2</v>
      </c>
      <c r="BP96" s="97">
        <f t="shared" si="20"/>
        <v>-0.22694186959156018</v>
      </c>
      <c r="BQ96" s="97">
        <f t="shared" si="20"/>
        <v>0.16636889941524552</v>
      </c>
      <c r="BR96" s="97">
        <f t="shared" si="20"/>
        <v>0.16756447194021762</v>
      </c>
      <c r="BS96" s="97">
        <f t="shared" si="20"/>
        <v>-2.0072456249267012E-2</v>
      </c>
      <c r="BT96" s="97">
        <f t="shared" si="20"/>
        <v>4.1620119627705961E-2</v>
      </c>
      <c r="BU96" s="97" t="str">
        <f t="shared" si="20"/>
        <v/>
      </c>
      <c r="BV96" s="97">
        <f t="shared" si="20"/>
        <v>-0.10543591076165769</v>
      </c>
      <c r="BW96" s="97">
        <f t="shared" si="20"/>
        <v>7.7185845155169019E-2</v>
      </c>
      <c r="BX96" s="97">
        <f t="shared" si="20"/>
        <v>6.3358576937042832E-2</v>
      </c>
      <c r="BY96" s="97" t="str">
        <f t="shared" si="20"/>
        <v/>
      </c>
      <c r="BZ96" s="97">
        <f t="shared" si="20"/>
        <v>6.6702926011325436E-2</v>
      </c>
      <c r="CA96" s="97">
        <f t="shared" si="20"/>
        <v>-9.9548940588973345E-2</v>
      </c>
      <c r="CB96" s="97">
        <f t="shared" si="20"/>
        <v>1.6294344814841159E-2</v>
      </c>
      <c r="CC96" s="97">
        <f t="shared" si="20"/>
        <v>0.11821855988216391</v>
      </c>
      <c r="CD96" s="97">
        <f t="shared" si="20"/>
        <v>-9.2700868026615035E-2</v>
      </c>
      <c r="CE96" s="97">
        <f t="shared" si="20"/>
        <v>-0.10269269809197459</v>
      </c>
      <c r="CF96" s="97">
        <f t="shared" si="20"/>
        <v>-6.546201240452576E-2</v>
      </c>
      <c r="CG96" s="97" t="str">
        <f t="shared" si="20"/>
        <v/>
      </c>
      <c r="CH96" s="97" t="str">
        <f t="shared" si="20"/>
        <v/>
      </c>
      <c r="CI96" s="97" t="str">
        <f t="shared" si="20"/>
        <v/>
      </c>
      <c r="CJ96" s="97">
        <f t="shared" si="20"/>
        <v>0.17351401884173231</v>
      </c>
      <c r="CK96" s="97">
        <f t="shared" si="20"/>
        <v>-3.7953393279140275E-2</v>
      </c>
      <c r="CL96" s="97">
        <f t="shared" si="20"/>
        <v>0.1734102430844959</v>
      </c>
      <c r="CM96" s="97" t="str">
        <f t="shared" si="20"/>
        <v/>
      </c>
      <c r="CN96" s="97">
        <f t="shared" si="20"/>
        <v>9.3004837679090624E-2</v>
      </c>
      <c r="CO96" s="97">
        <f t="shared" si="20"/>
        <v>0.19061080018756041</v>
      </c>
      <c r="CP96" s="97">
        <f t="shared" si="20"/>
        <v>-1.9446899772646794E-2</v>
      </c>
      <c r="CQ96" s="97">
        <f t="shared" si="20"/>
        <v>-0.13171023884321489</v>
      </c>
      <c r="CR96" s="97">
        <f t="shared" si="20"/>
        <v>0.1172109510068631</v>
      </c>
      <c r="CS96" s="97">
        <f t="shared" si="20"/>
        <v>4.920389387814695E-2</v>
      </c>
      <c r="CT96" s="97">
        <f t="shared" si="20"/>
        <v>-4.8037844347197822E-2</v>
      </c>
      <c r="CU96" s="97">
        <f t="shared" si="20"/>
        <v>9.5632465306718206E-2</v>
      </c>
      <c r="CV96" s="97">
        <f t="shared" si="20"/>
        <v>0.10375017153776671</v>
      </c>
      <c r="CW96" s="97">
        <f t="shared" si="20"/>
        <v>9.1727521832238423E-2</v>
      </c>
      <c r="CX96" s="97">
        <f t="shared" si="20"/>
        <v>-2.8474509688581562E-2</v>
      </c>
      <c r="CY96" s="97">
        <f t="shared" si="20"/>
        <v>-6.3536659570371246E-2</v>
      </c>
      <c r="CZ96" s="97">
        <f t="shared" si="20"/>
        <v>6.2168501471585369E-2</v>
      </c>
      <c r="DA96" s="97">
        <f t="shared" si="20"/>
        <v>-4.4911056554493123E-2</v>
      </c>
      <c r="DB96" s="97">
        <f t="shared" si="20"/>
        <v>0.18893202384083901</v>
      </c>
      <c r="DC96" s="97">
        <f t="shared" si="20"/>
        <v>0.12796667429530231</v>
      </c>
      <c r="DD96" s="97">
        <f t="shared" si="20"/>
        <v>6.6672654432013978E-2</v>
      </c>
      <c r="DE96" s="97">
        <f t="shared" si="20"/>
        <v>-6.0413286327268612E-2</v>
      </c>
      <c r="DF96" s="97">
        <f t="shared" si="20"/>
        <v>-3.80043227418344E-2</v>
      </c>
      <c r="DG96" s="97">
        <f t="shared" si="20"/>
        <v>-0.3648465418841888</v>
      </c>
      <c r="DH96" s="97" t="str">
        <f t="shared" si="20"/>
        <v/>
      </c>
      <c r="DI96" s="97">
        <f t="shared" si="20"/>
        <v>-0.82898035659135483</v>
      </c>
      <c r="DJ96" s="97">
        <f t="shared" si="20"/>
        <v>1.4638190481159421</v>
      </c>
      <c r="DK96" s="97">
        <f t="shared" si="20"/>
        <v>-0.1302363374989568</v>
      </c>
      <c r="DL96" s="97">
        <f t="shared" si="20"/>
        <v>7.1324115259288057E-3</v>
      </c>
      <c r="DM96" s="97">
        <f t="shared" si="20"/>
        <v>-0.18257135200752839</v>
      </c>
      <c r="DN96" s="97">
        <f t="shared" si="20"/>
        <v>-3.908975691550387E-2</v>
      </c>
      <c r="DO96" s="97" t="str">
        <f t="shared" si="20"/>
        <v/>
      </c>
      <c r="DP96" s="97">
        <f t="shared" si="20"/>
        <v>-0.10935417783593089</v>
      </c>
      <c r="DQ96" s="97">
        <f t="shared" si="20"/>
        <v>-0.50515609072434842</v>
      </c>
      <c r="DR96" s="97">
        <f t="shared" si="20"/>
        <v>-6.7317456446020385E-2</v>
      </c>
      <c r="DS96" s="97">
        <f t="shared" si="20"/>
        <v>1.0817924029843388E-2</v>
      </c>
      <c r="DT96" s="97" t="str">
        <f t="shared" si="20"/>
        <v/>
      </c>
      <c r="DU96" s="97">
        <f t="shared" si="20"/>
        <v>7.4344822523748411E-2</v>
      </c>
      <c r="DV96" s="97" t="str">
        <f t="shared" si="20"/>
        <v/>
      </c>
      <c r="DW96" s="97">
        <f t="shared" si="20"/>
        <v>0.17158511575003102</v>
      </c>
      <c r="DX96" s="97" t="str">
        <f t="shared" si="20"/>
        <v/>
      </c>
      <c r="DY96" s="97">
        <f t="shared" si="20"/>
        <v>-0.37001080954708282</v>
      </c>
      <c r="DZ96" s="97">
        <f t="shared" si="15"/>
        <v>0.47841024308449631</v>
      </c>
      <c r="EA96" s="97">
        <f t="shared" si="15"/>
        <v>5.9712925076833345E-2</v>
      </c>
      <c r="EB96" s="97">
        <f t="shared" si="15"/>
        <v>-0.18433663546260939</v>
      </c>
      <c r="EC96" s="97">
        <f t="shared" si="15"/>
        <v>0.28412452879878169</v>
      </c>
      <c r="ED96" s="97">
        <f t="shared" si="15"/>
        <v>-7.5663830989578074E-2</v>
      </c>
      <c r="EE96" s="97">
        <f t="shared" si="15"/>
        <v>-4.8276503903455614E-2</v>
      </c>
      <c r="EF96" s="97">
        <f t="shared" si="15"/>
        <v>6.0910243084496107E-2</v>
      </c>
      <c r="EG96" s="97">
        <f t="shared" si="15"/>
        <v>-0.14885003088810658</v>
      </c>
      <c r="EH96" s="97">
        <f t="shared" si="15"/>
        <v>-0.10243009304995769</v>
      </c>
      <c r="EI96" s="97">
        <f t="shared" si="15"/>
        <v>0.18738279910065822</v>
      </c>
      <c r="EJ96" s="97">
        <f t="shared" si="15"/>
        <v>-7.4348278828995751E-2</v>
      </c>
      <c r="EK96" s="97">
        <f t="shared" si="15"/>
        <v>0.14408482847221471</v>
      </c>
      <c r="EL96" s="97">
        <f t="shared" si="15"/>
        <v>2.4051268725521876E-2</v>
      </c>
      <c r="EM96" s="97">
        <f t="shared" si="15"/>
        <v>0.46442534748254133</v>
      </c>
      <c r="EN96" s="97">
        <f t="shared" si="15"/>
        <v>1.7393580078965746E-2</v>
      </c>
      <c r="EO96" s="97">
        <f t="shared" si="15"/>
        <v>-0.10415385947960649</v>
      </c>
    </row>
    <row r="97" spans="1:145" outlineLevel="1" x14ac:dyDescent="0.25">
      <c r="A97">
        <v>2022</v>
      </c>
      <c r="B97">
        <v>11</v>
      </c>
      <c r="C97" s="97">
        <f t="shared" si="21"/>
        <v>5.2444963963366627E-2</v>
      </c>
      <c r="D97" s="97">
        <f t="shared" si="21"/>
        <v>0</v>
      </c>
      <c r="E97" s="97">
        <f t="shared" si="21"/>
        <v>-2.8130305045728447E-2</v>
      </c>
      <c r="F97" s="97">
        <f t="shared" si="21"/>
        <v>-8.8231066183200202E-2</v>
      </c>
      <c r="G97" s="97" t="str">
        <f t="shared" si="21"/>
        <v/>
      </c>
      <c r="H97" s="97">
        <f t="shared" si="21"/>
        <v>-0.14631812658788915</v>
      </c>
      <c r="I97" s="97">
        <f t="shared" si="21"/>
        <v>7.2547539966391295E-2</v>
      </c>
      <c r="J97" s="97">
        <f t="shared" si="21"/>
        <v>-4.8777388381653249E-2</v>
      </c>
      <c r="K97" s="97">
        <f t="shared" si="21"/>
        <v>0.16049004321587537</v>
      </c>
      <c r="L97" s="97">
        <f t="shared" si="21"/>
        <v>-9.0283249881069172E-2</v>
      </c>
      <c r="M97" s="97">
        <f t="shared" si="21"/>
        <v>8.3922868488555569E-2</v>
      </c>
      <c r="N97" s="97" t="str">
        <f t="shared" si="21"/>
        <v/>
      </c>
      <c r="O97" s="97">
        <f t="shared" si="21"/>
        <v>-0.31174548824295706</v>
      </c>
      <c r="P97" s="97">
        <f t="shared" si="21"/>
        <v>6.3520346246178416E-2</v>
      </c>
      <c r="Q97" s="97">
        <f t="shared" si="21"/>
        <v>-0.14600346327763114</v>
      </c>
      <c r="R97" s="97">
        <f t="shared" si="21"/>
        <v>-0.17755790762628185</v>
      </c>
      <c r="S97" s="97">
        <f t="shared" si="21"/>
        <v>4.719952932510818E-3</v>
      </c>
      <c r="T97" s="97">
        <f t="shared" si="21"/>
        <v>0.19840406717641088</v>
      </c>
      <c r="U97" s="97">
        <f t="shared" si="21"/>
        <v>-6.3569281145563816E-2</v>
      </c>
      <c r="V97" s="97">
        <f t="shared" si="21"/>
        <v>0.38835595575553605</v>
      </c>
      <c r="W97" s="97">
        <f t="shared" si="21"/>
        <v>-0.22147965375382153</v>
      </c>
      <c r="X97" s="97">
        <f t="shared" si="21"/>
        <v>0.59796109929158292</v>
      </c>
      <c r="Y97" s="97">
        <f t="shared" si="21"/>
        <v>0.24746343567707285</v>
      </c>
      <c r="Z97" s="97">
        <f t="shared" si="21"/>
        <v>-3.0924098198266026E-2</v>
      </c>
      <c r="AA97" s="97" t="str">
        <f t="shared" si="21"/>
        <v/>
      </c>
      <c r="AB97" s="97">
        <f t="shared" si="21"/>
        <v>3.3125183582237032E-2</v>
      </c>
      <c r="AC97" s="97">
        <f t="shared" si="21"/>
        <v>-0.11647965375382154</v>
      </c>
      <c r="AD97" s="97">
        <f t="shared" si="21"/>
        <v>-0.40236962139136201</v>
      </c>
      <c r="AE97" s="97">
        <f t="shared" si="21"/>
        <v>0.25217282851568185</v>
      </c>
      <c r="AF97" s="97">
        <f t="shared" si="21"/>
        <v>0.96876379193906215</v>
      </c>
      <c r="AG97" s="97">
        <f t="shared" si="21"/>
        <v>-8.3979653753821548E-2</v>
      </c>
      <c r="AH97" s="97">
        <f t="shared" si="21"/>
        <v>5.8257188351441558E-2</v>
      </c>
      <c r="AI97" s="97">
        <f t="shared" si="21"/>
        <v>-0.37189632042048826</v>
      </c>
      <c r="AJ97" s="97">
        <f t="shared" si="21"/>
        <v>9.2091774817606886E-2</v>
      </c>
      <c r="AK97" s="97">
        <f t="shared" si="21"/>
        <v>0.10169238925693126</v>
      </c>
      <c r="AL97" s="97">
        <f t="shared" si="21"/>
        <v>0.21591722473001337</v>
      </c>
      <c r="AM97" s="97">
        <f t="shared" si="21"/>
        <v>-0.11923023650440434</v>
      </c>
      <c r="AN97" s="97">
        <f t="shared" si="21"/>
        <v>-3.8318182930480178E-2</v>
      </c>
      <c r="AO97" s="97">
        <f t="shared" si="21"/>
        <v>-8.0382092778211844E-2</v>
      </c>
      <c r="AP97" s="97">
        <f t="shared" si="21"/>
        <v>0.35190253951436534</v>
      </c>
      <c r="AQ97" s="97" t="str">
        <f t="shared" si="21"/>
        <v/>
      </c>
      <c r="AR97" s="97">
        <f t="shared" si="21"/>
        <v>8.0187012912845024E-2</v>
      </c>
      <c r="AS97" s="97" t="str">
        <f t="shared" si="21"/>
        <v/>
      </c>
      <c r="AT97" s="97">
        <f t="shared" si="21"/>
        <v>-8.551745444110681E-2</v>
      </c>
      <c r="AU97" s="97">
        <f t="shared" si="21"/>
        <v>-0.20314632042048825</v>
      </c>
      <c r="AV97" s="97">
        <f t="shared" si="21"/>
        <v>-0.35714632042048822</v>
      </c>
      <c r="AW97" s="97">
        <f t="shared" si="21"/>
        <v>-2.7407124059608767E-2</v>
      </c>
      <c r="AX97" s="97">
        <f t="shared" si="21"/>
        <v>-4.3686860961028917E-2</v>
      </c>
      <c r="AY97" s="97">
        <f t="shared" si="21"/>
        <v>-0.16150409168148533</v>
      </c>
      <c r="AZ97" s="97">
        <f t="shared" si="21"/>
        <v>-0.15735192789712382</v>
      </c>
      <c r="BA97" s="97">
        <f t="shared" si="21"/>
        <v>-0.17903807933807744</v>
      </c>
      <c r="BB97" s="97">
        <f t="shared" si="21"/>
        <v>0.18116740506970785</v>
      </c>
      <c r="BC97" s="97">
        <f t="shared" si="21"/>
        <v>-0.13609429729910102</v>
      </c>
      <c r="BD97" s="97">
        <f t="shared" si="21"/>
        <v>-6.2031704227007767E-2</v>
      </c>
      <c r="BE97" s="97">
        <f t="shared" si="21"/>
        <v>-9.1109283383451256E-2</v>
      </c>
      <c r="BF97" s="97">
        <f t="shared" si="21"/>
        <v>-0.41055372782789562</v>
      </c>
      <c r="BG97" s="97">
        <f t="shared" si="21"/>
        <v>0.22886806806872045</v>
      </c>
      <c r="BH97" s="97">
        <f t="shared" si="21"/>
        <v>7.1509868184619796E-2</v>
      </c>
      <c r="BI97" s="97" t="str">
        <f t="shared" si="21"/>
        <v/>
      </c>
      <c r="BJ97" s="97">
        <f t="shared" si="21"/>
        <v>-0.31732472417635682</v>
      </c>
      <c r="BK97" s="97">
        <f t="shared" si="21"/>
        <v>-0.27993203470620254</v>
      </c>
      <c r="BL97" s="97">
        <f t="shared" si="21"/>
        <v>0.14627675650258867</v>
      </c>
      <c r="BM97" s="97">
        <f t="shared" si="21"/>
        <v>-7.6296777610845634E-2</v>
      </c>
      <c r="BN97" s="97" t="str">
        <f t="shared" ref="BN97:DY101" si="22">IF(ISBLANK(BN34),"",BN34-$D34)</f>
        <v/>
      </c>
      <c r="BO97" s="97">
        <f t="shared" si="22"/>
        <v>-0.16585281510254304</v>
      </c>
      <c r="BP97" s="97">
        <f t="shared" si="20"/>
        <v>-0.19223722951139732</v>
      </c>
      <c r="BQ97" s="97">
        <f t="shared" si="20"/>
        <v>-3.4857234874765552E-2</v>
      </c>
      <c r="BR97" s="97">
        <f t="shared" si="20"/>
        <v>0.30749197745185208</v>
      </c>
      <c r="BS97" s="97">
        <f t="shared" si="20"/>
        <v>0.18406629179759795</v>
      </c>
      <c r="BT97" s="97">
        <f t="shared" si="20"/>
        <v>-0.23391555118971893</v>
      </c>
      <c r="BU97" s="97" t="str">
        <f t="shared" si="20"/>
        <v/>
      </c>
      <c r="BV97" s="97">
        <f t="shared" si="20"/>
        <v>-7.3246463482004698E-2</v>
      </c>
      <c r="BW97" s="97">
        <f t="shared" si="20"/>
        <v>8.809785511327628E-2</v>
      </c>
      <c r="BX97" s="97">
        <f t="shared" si="20"/>
        <v>2.6588742634356063E-2</v>
      </c>
      <c r="BY97" s="97" t="str">
        <f t="shared" si="20"/>
        <v/>
      </c>
      <c r="BZ97" s="97">
        <f t="shared" si="20"/>
        <v>-0.46281146501713971</v>
      </c>
      <c r="CA97" s="97">
        <f t="shared" si="20"/>
        <v>0.33622019541661574</v>
      </c>
      <c r="CB97" s="97">
        <f t="shared" si="20"/>
        <v>-0.17142926394587332</v>
      </c>
      <c r="CC97" s="97">
        <f t="shared" si="20"/>
        <v>2.4502403098480393E-2</v>
      </c>
      <c r="CD97" s="97">
        <f t="shared" si="20"/>
        <v>9.7342677134523867E-2</v>
      </c>
      <c r="CE97" s="97">
        <f t="shared" si="20"/>
        <v>2.3438546655176303E-2</v>
      </c>
      <c r="CF97" s="97">
        <f t="shared" si="20"/>
        <v>-0.25474546754202354</v>
      </c>
      <c r="CG97" s="97" t="str">
        <f t="shared" si="20"/>
        <v/>
      </c>
      <c r="CH97" s="97" t="str">
        <f t="shared" si="20"/>
        <v/>
      </c>
      <c r="CI97" s="97" t="str">
        <f t="shared" si="20"/>
        <v/>
      </c>
      <c r="CJ97" s="97">
        <f t="shared" si="20"/>
        <v>8.4996198984317983E-2</v>
      </c>
      <c r="CK97" s="97">
        <f t="shared" si="20"/>
        <v>-0.43417057918059593</v>
      </c>
      <c r="CL97" s="97">
        <f t="shared" si="20"/>
        <v>-0.25846546935665843</v>
      </c>
      <c r="CM97" s="97" t="str">
        <f t="shared" si="20"/>
        <v/>
      </c>
      <c r="CN97" s="97">
        <f t="shared" si="20"/>
        <v>0.77463145735728967</v>
      </c>
      <c r="CO97" s="97">
        <f t="shared" si="20"/>
        <v>-8.7258469953198636E-2</v>
      </c>
      <c r="CP97" s="97">
        <f t="shared" si="20"/>
        <v>-0.13496450223867013</v>
      </c>
      <c r="CQ97" s="97">
        <f t="shared" si="20"/>
        <v>-0.18043163898004502</v>
      </c>
      <c r="CR97" s="97">
        <f t="shared" si="20"/>
        <v>2.0036691373412903E-3</v>
      </c>
      <c r="CS97" s="97">
        <f t="shared" si="20"/>
        <v>-0.35662064066218002</v>
      </c>
      <c r="CT97" s="97">
        <f t="shared" si="20"/>
        <v>-0.49598299663825335</v>
      </c>
      <c r="CU97" s="97">
        <f t="shared" si="20"/>
        <v>0.18532062754013046</v>
      </c>
      <c r="CV97" s="97">
        <f t="shared" si="20"/>
        <v>-0.15681327214706653</v>
      </c>
      <c r="CW97" s="97">
        <f t="shared" si="20"/>
        <v>0.12497409073957066</v>
      </c>
      <c r="CX97" s="97">
        <f t="shared" si="20"/>
        <v>-7.0959303418942632E-2</v>
      </c>
      <c r="CY97" s="97">
        <f t="shared" si="20"/>
        <v>-0.10715575438275224</v>
      </c>
      <c r="CZ97" s="97">
        <f t="shared" si="20"/>
        <v>8.300945853539643E-2</v>
      </c>
      <c r="DA97" s="97">
        <f t="shared" si="20"/>
        <v>-6.1636886458223968E-2</v>
      </c>
      <c r="DB97" s="97">
        <f t="shared" si="20"/>
        <v>-0.26410329669712684</v>
      </c>
      <c r="DC97" s="97">
        <f t="shared" si="20"/>
        <v>-0.20299755048721743</v>
      </c>
      <c r="DD97" s="97">
        <f t="shared" si="20"/>
        <v>-0.14256540755741784</v>
      </c>
      <c r="DE97" s="97">
        <f t="shared" si="20"/>
        <v>-0.14668798708715494</v>
      </c>
      <c r="DF97" s="97">
        <f t="shared" si="20"/>
        <v>8.4062981905093315E-2</v>
      </c>
      <c r="DG97" s="97">
        <f t="shared" si="20"/>
        <v>0.35423072875983969</v>
      </c>
      <c r="DH97" s="97" t="str">
        <f t="shared" si="20"/>
        <v/>
      </c>
      <c r="DI97" s="97">
        <f t="shared" si="20"/>
        <v>-0.27544678990405624</v>
      </c>
      <c r="DJ97" s="97">
        <f t="shared" si="20"/>
        <v>-6.6921830624569911E-2</v>
      </c>
      <c r="DK97" s="97">
        <f t="shared" si="20"/>
        <v>-4.7328537764066758E-2</v>
      </c>
      <c r="DL97" s="97">
        <f t="shared" si="20"/>
        <v>-0.57119269233630476</v>
      </c>
      <c r="DM97" s="97">
        <f t="shared" si="20"/>
        <v>0.36951285560947444</v>
      </c>
      <c r="DN97" s="97">
        <f t="shared" si="20"/>
        <v>1.8498701224533235E-2</v>
      </c>
      <c r="DO97" s="97" t="str">
        <f t="shared" si="20"/>
        <v/>
      </c>
      <c r="DP97" s="97">
        <f t="shared" si="20"/>
        <v>-4.2397522883714789E-3</v>
      </c>
      <c r="DQ97" s="97">
        <f t="shared" si="20"/>
        <v>-0.16981298708715495</v>
      </c>
      <c r="DR97" s="97">
        <f t="shared" si="20"/>
        <v>-0.14384983800842774</v>
      </c>
      <c r="DS97" s="97">
        <f t="shared" si="20"/>
        <v>6.8344779667051769E-2</v>
      </c>
      <c r="DT97" s="97" t="str">
        <f t="shared" si="20"/>
        <v/>
      </c>
      <c r="DU97" s="97">
        <f t="shared" si="20"/>
        <v>-9.0551314991606735E-2</v>
      </c>
      <c r="DV97" s="97" t="str">
        <f t="shared" si="20"/>
        <v/>
      </c>
      <c r="DW97" s="97">
        <f t="shared" si="20"/>
        <v>0.12131098782842617</v>
      </c>
      <c r="DX97" s="97">
        <f t="shared" si="20"/>
        <v>-0.18962942430033802</v>
      </c>
      <c r="DY97" s="97">
        <f t="shared" si="20"/>
        <v>-9.7843290117457959E-2</v>
      </c>
      <c r="DZ97" s="97">
        <f t="shared" si="15"/>
        <v>-5.2286369560537449E-2</v>
      </c>
      <c r="EA97" s="97">
        <f t="shared" si="15"/>
        <v>-0.23058314352518122</v>
      </c>
      <c r="EB97" s="97">
        <f t="shared" si="15"/>
        <v>0.15657590180173406</v>
      </c>
      <c r="EC97" s="97">
        <f t="shared" si="15"/>
        <v>-5.3651370925538733E-2</v>
      </c>
      <c r="ED97" s="97">
        <f t="shared" si="15"/>
        <v>-0.19114632042048835</v>
      </c>
      <c r="EE97" s="97">
        <f t="shared" si="15"/>
        <v>-0.27960761583912963</v>
      </c>
      <c r="EF97" s="97">
        <f t="shared" si="15"/>
        <v>-0.53909403283878898</v>
      </c>
      <c r="EG97" s="97">
        <f t="shared" si="15"/>
        <v>0.30207456311364805</v>
      </c>
      <c r="EH97" s="97">
        <f t="shared" si="15"/>
        <v>-0.21810033911207705</v>
      </c>
      <c r="EI97" s="97">
        <f t="shared" si="15"/>
        <v>9.7501346544083267E-2</v>
      </c>
      <c r="EJ97" s="97">
        <f t="shared" si="15"/>
        <v>-0.10756399110321914</v>
      </c>
      <c r="EK97" s="97">
        <f t="shared" si="15"/>
        <v>-9.3130670968219031E-2</v>
      </c>
      <c r="EL97" s="97">
        <f t="shared" si="15"/>
        <v>-6.5646320420488236E-2</v>
      </c>
      <c r="EM97" s="97">
        <f t="shared" si="15"/>
        <v>-0.18496450223867003</v>
      </c>
      <c r="EN97" s="97">
        <f t="shared" si="15"/>
        <v>1.9137983422117033E-2</v>
      </c>
      <c r="EO97" s="97">
        <f t="shared" si="15"/>
        <v>-0.15314632042048823</v>
      </c>
    </row>
    <row r="98" spans="1:145" outlineLevel="1" x14ac:dyDescent="0.25">
      <c r="A98">
        <v>2022</v>
      </c>
      <c r="B98">
        <v>12</v>
      </c>
      <c r="C98" s="97">
        <f t="shared" ref="C98:BN101" si="23">IF(ISBLANK(C35),"",C35-$D35)</f>
        <v>-6.1206295593505877E-2</v>
      </c>
      <c r="D98" s="97">
        <f t="shared" si="23"/>
        <v>0</v>
      </c>
      <c r="E98" s="97">
        <f t="shared" si="23"/>
        <v>3.1192076145419849E-2</v>
      </c>
      <c r="F98" s="97">
        <f t="shared" si="23"/>
        <v>-0.20703919557199721</v>
      </c>
      <c r="G98" s="97" t="str">
        <f t="shared" si="23"/>
        <v/>
      </c>
      <c r="H98" s="97">
        <f t="shared" si="23"/>
        <v>-0.29926034574567861</v>
      </c>
      <c r="I98" s="97">
        <f t="shared" si="23"/>
        <v>-4.0638604922828669E-2</v>
      </c>
      <c r="J98" s="97">
        <f t="shared" si="23"/>
        <v>-5.3477931594569927E-2</v>
      </c>
      <c r="K98" s="97">
        <f t="shared" si="23"/>
        <v>-0.22628677569426481</v>
      </c>
      <c r="L98" s="97">
        <f t="shared" si="23"/>
        <v>9.8051292487553399E-2</v>
      </c>
      <c r="M98" s="97">
        <f t="shared" si="23"/>
        <v>-4.4631717589378228E-2</v>
      </c>
      <c r="N98" s="97" t="str">
        <f t="shared" si="23"/>
        <v/>
      </c>
      <c r="O98" s="97">
        <f t="shared" si="23"/>
        <v>-4.7762922885839609E-2</v>
      </c>
      <c r="P98" s="97">
        <f t="shared" si="23"/>
        <v>-3.1540008452885515E-2</v>
      </c>
      <c r="Q98" s="97">
        <f t="shared" si="23"/>
        <v>0.1711662222732149</v>
      </c>
      <c r="R98" s="97">
        <f t="shared" si="23"/>
        <v>-0.1700535276435825</v>
      </c>
      <c r="S98" s="97">
        <f t="shared" si="23"/>
        <v>1.2475230862230013E-3</v>
      </c>
      <c r="T98" s="97">
        <f t="shared" si="23"/>
        <v>0.38346624849928351</v>
      </c>
      <c r="U98" s="97">
        <f t="shared" si="23"/>
        <v>1.5662078807342942E-2</v>
      </c>
      <c r="V98" s="97">
        <f t="shared" si="23"/>
        <v>-0.22282354641400301</v>
      </c>
      <c r="W98" s="97">
        <f t="shared" si="23"/>
        <v>2.1955828250297852E-2</v>
      </c>
      <c r="X98" s="97">
        <f t="shared" si="23"/>
        <v>6.3322026525959085E-2</v>
      </c>
      <c r="Y98" s="97">
        <f t="shared" si="23"/>
        <v>-8.2128819209623338E-2</v>
      </c>
      <c r="Z98" s="97">
        <f t="shared" si="23"/>
        <v>-0.1306781447418838</v>
      </c>
      <c r="AA98" s="97" t="str">
        <f t="shared" si="23"/>
        <v/>
      </c>
      <c r="AB98" s="97">
        <f t="shared" si="23"/>
        <v>-0.10739124036154511</v>
      </c>
      <c r="AC98" s="97">
        <f t="shared" si="23"/>
        <v>-6.8793432962435341E-2</v>
      </c>
      <c r="AD98" s="97">
        <f t="shared" si="23"/>
        <v>-0.1956150117963979</v>
      </c>
      <c r="AE98" s="97">
        <f t="shared" si="23"/>
        <v>-9.3461034168841106E-2</v>
      </c>
      <c r="AF98" s="97">
        <f t="shared" si="23"/>
        <v>-0.40533992740366642</v>
      </c>
      <c r="AG98" s="97">
        <f t="shared" si="23"/>
        <v>3.7231561834425442E-3</v>
      </c>
      <c r="AH98" s="97">
        <f t="shared" si="23"/>
        <v>-7.801069098352087E-2</v>
      </c>
      <c r="AI98" s="97">
        <f t="shared" si="23"/>
        <v>-0.21155131777347272</v>
      </c>
      <c r="AJ98" s="97">
        <f t="shared" si="23"/>
        <v>-0.5313841488826706</v>
      </c>
      <c r="AK98" s="97">
        <f t="shared" si="23"/>
        <v>-0.29195169357747652</v>
      </c>
      <c r="AL98" s="97">
        <f t="shared" si="23"/>
        <v>5.7183374625808366E-2</v>
      </c>
      <c r="AM98" s="97">
        <f t="shared" si="23"/>
        <v>-0.2002286269600877</v>
      </c>
      <c r="AN98" s="97">
        <f t="shared" si="23"/>
        <v>-0.2090986284283162</v>
      </c>
      <c r="AO98" s="97">
        <f t="shared" si="23"/>
        <v>-1.2441098381489435E-2</v>
      </c>
      <c r="AP98" s="97">
        <f t="shared" si="23"/>
        <v>1.0792551228812062E-2</v>
      </c>
      <c r="AQ98" s="97" t="str">
        <f t="shared" si="23"/>
        <v/>
      </c>
      <c r="AR98" s="97">
        <f t="shared" si="23"/>
        <v>-0.3284168504805895</v>
      </c>
      <c r="AS98" s="97" t="str">
        <f t="shared" si="23"/>
        <v/>
      </c>
      <c r="AT98" s="97">
        <f t="shared" si="23"/>
        <v>-7.1151029008499123E-2</v>
      </c>
      <c r="AU98" s="97">
        <f t="shared" si="23"/>
        <v>6.3036140972401844E-2</v>
      </c>
      <c r="AV98" s="97">
        <f t="shared" si="23"/>
        <v>-0.1796248100476823</v>
      </c>
      <c r="AW98" s="97">
        <f t="shared" si="23"/>
        <v>-5.4135576199315201E-2</v>
      </c>
      <c r="AX98" s="97">
        <f t="shared" si="23"/>
        <v>-4.3536628980649805E-2</v>
      </c>
      <c r="AY98" s="97">
        <f t="shared" si="23"/>
        <v>-0.27889184973607661</v>
      </c>
      <c r="AZ98" s="97">
        <f t="shared" si="23"/>
        <v>3.3662291985293129E-2</v>
      </c>
      <c r="BA98" s="97">
        <f t="shared" si="23"/>
        <v>-7.3779779425608094E-2</v>
      </c>
      <c r="BB98" s="97">
        <f t="shared" si="23"/>
        <v>-6.985569125717872E-2</v>
      </c>
      <c r="BC98" s="97">
        <f t="shared" si="23"/>
        <v>0.7830361409724016</v>
      </c>
      <c r="BD98" s="97">
        <f t="shared" si="23"/>
        <v>-4.7478441300189411E-3</v>
      </c>
      <c r="BE98" s="97">
        <f t="shared" si="23"/>
        <v>-0.17621935818157441</v>
      </c>
      <c r="BF98" s="97">
        <f t="shared" si="23"/>
        <v>9.0119474305735192E-2</v>
      </c>
      <c r="BG98" s="97">
        <f t="shared" si="23"/>
        <v>5.9143196933472586E-2</v>
      </c>
      <c r="BH98" s="97">
        <f t="shared" si="23"/>
        <v>-0.1151478931531312</v>
      </c>
      <c r="BI98" s="97" t="str">
        <f t="shared" si="23"/>
        <v/>
      </c>
      <c r="BJ98" s="97">
        <f t="shared" si="23"/>
        <v>-0.1813413690677588</v>
      </c>
      <c r="BK98" s="97">
        <f t="shared" si="23"/>
        <v>0.92229540023166123</v>
      </c>
      <c r="BL98" s="97">
        <f t="shared" si="23"/>
        <v>-8.1763368257423585E-2</v>
      </c>
      <c r="BM98" s="97">
        <f t="shared" si="23"/>
        <v>0.32013629044923292</v>
      </c>
      <c r="BN98" s="97" t="str">
        <f t="shared" si="23"/>
        <v/>
      </c>
      <c r="BO98" s="97">
        <f t="shared" si="22"/>
        <v>-0.14390079596453512</v>
      </c>
      <c r="BP98" s="97">
        <f t="shared" si="22"/>
        <v>0.1891945864133586</v>
      </c>
      <c r="BQ98" s="97">
        <f t="shared" si="22"/>
        <v>5.5088497817443738E-3</v>
      </c>
      <c r="BR98" s="97">
        <f t="shared" si="22"/>
        <v>0.14247337040963129</v>
      </c>
      <c r="BS98" s="97">
        <f t="shared" si="22"/>
        <v>-2.7606918169366227E-2</v>
      </c>
      <c r="BT98" s="97">
        <f t="shared" si="22"/>
        <v>-0.35747667954041873</v>
      </c>
      <c r="BU98" s="97" t="str">
        <f t="shared" si="22"/>
        <v/>
      </c>
      <c r="BV98" s="97">
        <f t="shared" si="22"/>
        <v>-0.33516898723272642</v>
      </c>
      <c r="BW98" s="97">
        <f t="shared" si="22"/>
        <v>1.1664866568815931E-2</v>
      </c>
      <c r="BX98" s="97">
        <f t="shared" si="22"/>
        <v>-1.121466382536862E-2</v>
      </c>
      <c r="BY98" s="97" t="str">
        <f t="shared" si="22"/>
        <v/>
      </c>
      <c r="BZ98" s="97">
        <f t="shared" si="22"/>
        <v>-3.743334259567322E-2</v>
      </c>
      <c r="CA98" s="97">
        <f t="shared" si="22"/>
        <v>-0.17254944461318381</v>
      </c>
      <c r="CB98" s="97">
        <f t="shared" si="22"/>
        <v>-8.7306794555718992E-2</v>
      </c>
      <c r="CC98" s="97">
        <f t="shared" si="22"/>
        <v>-1.7751511995574568E-2</v>
      </c>
      <c r="CD98" s="97">
        <f t="shared" si="22"/>
        <v>-0.1198269264940871</v>
      </c>
      <c r="CE98" s="97">
        <f t="shared" si="22"/>
        <v>0.26529377709458002</v>
      </c>
      <c r="CF98" s="97">
        <f t="shared" si="22"/>
        <v>-0.10904363110737011</v>
      </c>
      <c r="CG98" s="97" t="str">
        <f t="shared" si="22"/>
        <v/>
      </c>
      <c r="CH98" s="97" t="str">
        <f t="shared" si="22"/>
        <v/>
      </c>
      <c r="CI98" s="97" t="str">
        <f t="shared" si="22"/>
        <v/>
      </c>
      <c r="CJ98" s="97">
        <f t="shared" si="22"/>
        <v>1.0500540750073782E-2</v>
      </c>
      <c r="CK98" s="97">
        <f t="shared" si="22"/>
        <v>-7.9853937509130501E-2</v>
      </c>
      <c r="CL98" s="97">
        <f t="shared" si="22"/>
        <v>-0.19648766855140762</v>
      </c>
      <c r="CM98" s="97" t="str">
        <f t="shared" si="22"/>
        <v/>
      </c>
      <c r="CN98" s="97">
        <f t="shared" si="22"/>
        <v>-0.23279719236093152</v>
      </c>
      <c r="CO98" s="97">
        <f t="shared" si="22"/>
        <v>-8.4038688959570895E-2</v>
      </c>
      <c r="CP98" s="97">
        <f t="shared" si="22"/>
        <v>1.6050763999759798E-3</v>
      </c>
      <c r="CQ98" s="97">
        <f t="shared" si="22"/>
        <v>-5.7502579566318768E-2</v>
      </c>
      <c r="CR98" s="97">
        <f t="shared" si="22"/>
        <v>6.9775366228213676E-2</v>
      </c>
      <c r="CS98" s="97">
        <f t="shared" si="22"/>
        <v>5.2444240660875163E-2</v>
      </c>
      <c r="CT98" s="97">
        <f t="shared" si="22"/>
        <v>4.156721441872957E-2</v>
      </c>
      <c r="CU98" s="97">
        <f t="shared" si="22"/>
        <v>0.42003811335898972</v>
      </c>
      <c r="CV98" s="97">
        <f t="shared" si="22"/>
        <v>8.5724875002599399E-2</v>
      </c>
      <c r="CW98" s="97">
        <f t="shared" si="22"/>
        <v>1.4918123833883582E-2</v>
      </c>
      <c r="CX98" s="97">
        <f t="shared" si="22"/>
        <v>-0.20342327180825451</v>
      </c>
      <c r="CY98" s="97">
        <f t="shared" si="22"/>
        <v>-0.42453076259871342</v>
      </c>
      <c r="CZ98" s="97">
        <f t="shared" si="22"/>
        <v>1.8512685071296001E-2</v>
      </c>
      <c r="DA98" s="97">
        <f t="shared" si="22"/>
        <v>0.12061797129972329</v>
      </c>
      <c r="DB98" s="97">
        <f t="shared" si="22"/>
        <v>4.8056090192568623E-2</v>
      </c>
      <c r="DC98" s="97">
        <f t="shared" si="22"/>
        <v>6.263510683360729E-2</v>
      </c>
      <c r="DD98" s="97">
        <f t="shared" si="22"/>
        <v>-7.4990217111815305E-2</v>
      </c>
      <c r="DE98" s="97">
        <f t="shared" si="22"/>
        <v>-0.43685845077332103</v>
      </c>
      <c r="DF98" s="97">
        <f t="shared" si="22"/>
        <v>3.3802629385949023E-2</v>
      </c>
      <c r="DG98" s="97">
        <f t="shared" si="22"/>
        <v>-0.2910701392208348</v>
      </c>
      <c r="DH98" s="97" t="str">
        <f t="shared" si="22"/>
        <v/>
      </c>
      <c r="DI98" s="97">
        <f t="shared" si="22"/>
        <v>-0.2530928912856627</v>
      </c>
      <c r="DJ98" s="97">
        <f t="shared" si="22"/>
        <v>0.15440762144469988</v>
      </c>
      <c r="DK98" s="97">
        <f t="shared" si="22"/>
        <v>-0.15551108842754072</v>
      </c>
      <c r="DL98" s="97">
        <f t="shared" si="22"/>
        <v>-0.117160852288355</v>
      </c>
      <c r="DM98" s="97">
        <f t="shared" si="22"/>
        <v>-2.5458629377757339E-2</v>
      </c>
      <c r="DN98" s="97">
        <f t="shared" si="22"/>
        <v>-0.34261357654172242</v>
      </c>
      <c r="DO98" s="97" t="str">
        <f t="shared" si="22"/>
        <v/>
      </c>
      <c r="DP98" s="97">
        <f t="shared" si="22"/>
        <v>-0.20188415243843622</v>
      </c>
      <c r="DQ98" s="97">
        <f t="shared" si="22"/>
        <v>6.1886715685045557E-2</v>
      </c>
      <c r="DR98" s="97">
        <f t="shared" si="22"/>
        <v>-0.34865976546034683</v>
      </c>
      <c r="DS98" s="97">
        <f t="shared" si="22"/>
        <v>-3.2225296936094772E-2</v>
      </c>
      <c r="DT98" s="97" t="str">
        <f t="shared" si="22"/>
        <v/>
      </c>
      <c r="DU98" s="97">
        <f t="shared" si="22"/>
        <v>-0.1315305851826645</v>
      </c>
      <c r="DV98" s="97" t="str">
        <f t="shared" si="22"/>
        <v/>
      </c>
      <c r="DW98" s="97">
        <f t="shared" si="22"/>
        <v>0.30653678447304528</v>
      </c>
      <c r="DX98" s="97">
        <f t="shared" si="22"/>
        <v>-0.7831177051814443</v>
      </c>
      <c r="DY98" s="97">
        <f t="shared" si="22"/>
        <v>-5.8023831133595438E-2</v>
      </c>
      <c r="DZ98" s="97">
        <f t="shared" si="15"/>
        <v>-0.30854008641777908</v>
      </c>
      <c r="EA98" s="97">
        <f t="shared" si="15"/>
        <v>-0.46624734812417129</v>
      </c>
      <c r="EB98" s="97">
        <f t="shared" si="15"/>
        <v>-0.2303371125206122</v>
      </c>
      <c r="EC98" s="97">
        <f t="shared" si="15"/>
        <v>2.2965218986586322E-2</v>
      </c>
      <c r="ED98" s="97">
        <f t="shared" si="15"/>
        <v>-3.9221658699190809E-2</v>
      </c>
      <c r="EE98" s="97">
        <f t="shared" si="15"/>
        <v>0.21689349177298409</v>
      </c>
      <c r="EF98" s="97">
        <f t="shared" si="15"/>
        <v>-7.405306090553232E-2</v>
      </c>
      <c r="EG98" s="97">
        <f t="shared" si="15"/>
        <v>-0.15747667954041872</v>
      </c>
      <c r="EH98" s="97">
        <f t="shared" si="15"/>
        <v>-0.26279648680470402</v>
      </c>
      <c r="EI98" s="97">
        <f t="shared" si="15"/>
        <v>5.4316767016049372E-3</v>
      </c>
      <c r="EJ98" s="97">
        <f t="shared" si="15"/>
        <v>0.12744915695492448</v>
      </c>
      <c r="EK98" s="97">
        <f t="shared" si="15"/>
        <v>-0.35874660480002568</v>
      </c>
      <c r="EL98" s="97">
        <f t="shared" si="15"/>
        <v>-0.11696385902759811</v>
      </c>
      <c r="EM98" s="97">
        <f t="shared" si="15"/>
        <v>-0.1628897849535241</v>
      </c>
      <c r="EN98" s="97">
        <f t="shared" si="15"/>
        <v>-5.2871535753343357E-2</v>
      </c>
      <c r="EO98" s="97">
        <f t="shared" si="15"/>
        <v>-3.9344811408550506E-2</v>
      </c>
    </row>
    <row r="99" spans="1:145" outlineLevel="1" x14ac:dyDescent="0.25">
      <c r="A99">
        <v>2023</v>
      </c>
      <c r="B99">
        <v>1</v>
      </c>
      <c r="C99" s="97">
        <f t="shared" si="23"/>
        <v>6.0044200791607771E-2</v>
      </c>
      <c r="D99" s="97">
        <f t="shared" si="23"/>
        <v>0</v>
      </c>
      <c r="E99" s="97">
        <f t="shared" si="23"/>
        <v>7.017276769820846E-2</v>
      </c>
      <c r="F99" s="97">
        <f t="shared" si="23"/>
        <v>1.2064592202637305</v>
      </c>
      <c r="G99" s="97" t="str">
        <f t="shared" si="23"/>
        <v/>
      </c>
      <c r="H99" s="97">
        <f t="shared" si="23"/>
        <v>0.15044156621518209</v>
      </c>
      <c r="I99" s="97">
        <f t="shared" si="23"/>
        <v>5.7779357469886161E-2</v>
      </c>
      <c r="J99" s="97">
        <f t="shared" si="23"/>
        <v>7.7099792612385531E-2</v>
      </c>
      <c r="K99" s="97">
        <f t="shared" si="23"/>
        <v>0.10268453287329038</v>
      </c>
      <c r="L99" s="97">
        <f t="shared" si="23"/>
        <v>4.9267304386506609E-2</v>
      </c>
      <c r="M99" s="97">
        <f t="shared" si="23"/>
        <v>0.10901371794855468</v>
      </c>
      <c r="N99" s="97" t="str">
        <f t="shared" si="23"/>
        <v/>
      </c>
      <c r="O99" s="97">
        <f t="shared" si="23"/>
        <v>0.27312751377992206</v>
      </c>
      <c r="P99" s="97">
        <f t="shared" si="23"/>
        <v>-1.6256252418872848E-2</v>
      </c>
      <c r="Q99" s="97">
        <f t="shared" si="23"/>
        <v>0.11134374589340808</v>
      </c>
      <c r="R99" s="97">
        <f t="shared" si="23"/>
        <v>-4.493606059389943E-2</v>
      </c>
      <c r="S99" s="97">
        <f t="shared" si="23"/>
        <v>6.8656325464131474E-3</v>
      </c>
      <c r="T99" s="97">
        <f t="shared" si="23"/>
        <v>-4.7029151829292348E-2</v>
      </c>
      <c r="U99" s="97">
        <f t="shared" si="23"/>
        <v>0.27160484420914949</v>
      </c>
      <c r="V99" s="97">
        <f t="shared" si="23"/>
        <v>4.81345483136204E-2</v>
      </c>
      <c r="W99" s="97">
        <f t="shared" si="23"/>
        <v>-4.0265142739701831E-2</v>
      </c>
      <c r="X99" s="97">
        <f t="shared" si="23"/>
        <v>-3.045881904773062E-2</v>
      </c>
      <c r="Y99" s="97">
        <f t="shared" si="23"/>
        <v>-0.12982723230179152</v>
      </c>
      <c r="Z99" s="97">
        <f t="shared" si="23"/>
        <v>-7.5721132810573244E-2</v>
      </c>
      <c r="AA99" s="97" t="str">
        <f t="shared" si="23"/>
        <v/>
      </c>
      <c r="AB99" s="97">
        <f t="shared" si="23"/>
        <v>1.4888252838347382E-2</v>
      </c>
      <c r="AC99" s="97">
        <f t="shared" si="23"/>
        <v>0.10439550058045888</v>
      </c>
      <c r="AD99" s="97">
        <f t="shared" si="23"/>
        <v>0.36475689468233541</v>
      </c>
      <c r="AE99" s="97">
        <f t="shared" si="23"/>
        <v>8.4680172149746991E-2</v>
      </c>
      <c r="AF99" s="97">
        <f t="shared" si="23"/>
        <v>-6.4747867222426425E-2</v>
      </c>
      <c r="AG99" s="97">
        <f t="shared" si="23"/>
        <v>-4.214310531766452E-2</v>
      </c>
      <c r="AH99" s="97">
        <f t="shared" si="23"/>
        <v>0.25608546611090666</v>
      </c>
      <c r="AI99" s="97">
        <f t="shared" si="23"/>
        <v>-8.2009771984331237E-2</v>
      </c>
      <c r="AJ99" s="97">
        <f t="shared" si="23"/>
        <v>0.62367216244357548</v>
      </c>
      <c r="AK99" s="97">
        <f t="shared" si="23"/>
        <v>0.4433107408361816</v>
      </c>
      <c r="AL99" s="97">
        <f t="shared" si="23"/>
        <v>0.20750172226854227</v>
      </c>
      <c r="AM99" s="97">
        <f t="shared" si="23"/>
        <v>0.12271080901025289</v>
      </c>
      <c r="AN99" s="97">
        <f t="shared" si="23"/>
        <v>0.11290246298264828</v>
      </c>
      <c r="AO99" s="97">
        <f t="shared" si="23"/>
        <v>0.20160133912677988</v>
      </c>
      <c r="AP99" s="97">
        <f t="shared" si="23"/>
        <v>2.5592913639681521E-2</v>
      </c>
      <c r="AQ99" s="97" t="str">
        <f t="shared" si="23"/>
        <v/>
      </c>
      <c r="AR99" s="97">
        <f t="shared" si="23"/>
        <v>0.75665056556841148</v>
      </c>
      <c r="AS99" s="97" t="str">
        <f t="shared" si="23"/>
        <v/>
      </c>
      <c r="AT99" s="97">
        <f t="shared" si="23"/>
        <v>0.52727737661004626</v>
      </c>
      <c r="AU99" s="97">
        <f t="shared" si="23"/>
        <v>0.18991731134900197</v>
      </c>
      <c r="AV99" s="97">
        <f t="shared" si="23"/>
        <v>0.87865978485574581</v>
      </c>
      <c r="AW99" s="97">
        <f t="shared" si="23"/>
        <v>0.12072481612259738</v>
      </c>
      <c r="AX99" s="97">
        <f t="shared" si="23"/>
        <v>0.12674124676057508</v>
      </c>
      <c r="AY99" s="97">
        <f t="shared" si="23"/>
        <v>0.37696458699002777</v>
      </c>
      <c r="AZ99" s="97">
        <f t="shared" si="23"/>
        <v>0.38064557643999208</v>
      </c>
      <c r="BA99" s="97">
        <f t="shared" si="23"/>
        <v>1.8023668358097881E-2</v>
      </c>
      <c r="BB99" s="97">
        <f t="shared" si="23"/>
        <v>0.23119944787382488</v>
      </c>
      <c r="BC99" s="97">
        <f t="shared" si="23"/>
        <v>0.50461958124949979</v>
      </c>
      <c r="BD99" s="97">
        <f t="shared" si="23"/>
        <v>0.14145219669575848</v>
      </c>
      <c r="BE99" s="97">
        <f t="shared" si="23"/>
        <v>0.44500965541853188</v>
      </c>
      <c r="BF99" s="97">
        <f t="shared" si="23"/>
        <v>0.32858546611090689</v>
      </c>
      <c r="BG99" s="97">
        <f t="shared" si="23"/>
        <v>0.72929975182519247</v>
      </c>
      <c r="BH99" s="97">
        <f t="shared" si="23"/>
        <v>-8.8234051819722104E-2</v>
      </c>
      <c r="BI99" s="97" t="str">
        <f t="shared" si="23"/>
        <v/>
      </c>
      <c r="BJ99" s="97">
        <f t="shared" si="23"/>
        <v>1.4273933249187656</v>
      </c>
      <c r="BK99" s="97">
        <f t="shared" si="23"/>
        <v>-0.355407207881767</v>
      </c>
      <c r="BL99" s="97">
        <f t="shared" si="23"/>
        <v>-0.12861443018154842</v>
      </c>
      <c r="BM99" s="97">
        <f t="shared" si="23"/>
        <v>1.4772070834097043E-2</v>
      </c>
      <c r="BN99" s="97" t="str">
        <f t="shared" si="23"/>
        <v/>
      </c>
      <c r="BO99" s="97">
        <f t="shared" si="22"/>
        <v>0.25462310027806007</v>
      </c>
      <c r="BP99" s="97">
        <f t="shared" si="22"/>
        <v>0.59866065408083147</v>
      </c>
      <c r="BQ99" s="97">
        <f t="shared" si="22"/>
        <v>-4.8126124185589036E-2</v>
      </c>
      <c r="BR99" s="97">
        <f t="shared" si="22"/>
        <v>-1.9840272456474569E-2</v>
      </c>
      <c r="BS99" s="97">
        <f t="shared" si="22"/>
        <v>-9.7325342657044733E-2</v>
      </c>
      <c r="BT99" s="97">
        <f t="shared" si="22"/>
        <v>0.65191879944424014</v>
      </c>
      <c r="BU99" s="97" t="str">
        <f t="shared" si="22"/>
        <v/>
      </c>
      <c r="BV99" s="97">
        <f t="shared" si="22"/>
        <v>-0.30779132165828593</v>
      </c>
      <c r="BW99" s="97">
        <f t="shared" si="22"/>
        <v>-1.947734045670169E-2</v>
      </c>
      <c r="BX99" s="97">
        <f t="shared" si="22"/>
        <v>-7.7736988668494433E-2</v>
      </c>
      <c r="BY99" s="97" t="str">
        <f t="shared" si="22"/>
        <v/>
      </c>
      <c r="BZ99" s="97">
        <f t="shared" si="22"/>
        <v>2.6311413632772673E-2</v>
      </c>
      <c r="CA99" s="97">
        <f t="shared" si="22"/>
        <v>0.30207559386932736</v>
      </c>
      <c r="CB99" s="97">
        <f t="shared" si="22"/>
        <v>4.0570068335030074E-2</v>
      </c>
      <c r="CC99" s="97">
        <f t="shared" si="22"/>
        <v>-6.2131407444553026E-2</v>
      </c>
      <c r="CD99" s="97">
        <f t="shared" si="22"/>
        <v>0.32948469759837357</v>
      </c>
      <c r="CE99" s="97">
        <f t="shared" si="22"/>
        <v>3.3263645074800063E-2</v>
      </c>
      <c r="CF99" s="97">
        <f t="shared" si="22"/>
        <v>-9.519979321575367E-2</v>
      </c>
      <c r="CG99" s="97" t="str">
        <f t="shared" si="22"/>
        <v/>
      </c>
      <c r="CH99" s="97" t="str">
        <f t="shared" si="22"/>
        <v/>
      </c>
      <c r="CI99" s="97" t="str">
        <f t="shared" si="22"/>
        <v/>
      </c>
      <c r="CJ99" s="97">
        <f t="shared" si="22"/>
        <v>-3.4749523651593006E-2</v>
      </c>
      <c r="CK99" s="97">
        <f t="shared" si="22"/>
        <v>0.2671568946823355</v>
      </c>
      <c r="CL99" s="97">
        <f t="shared" si="22"/>
        <v>0.20069671769118519</v>
      </c>
      <c r="CM99" s="97" t="str">
        <f t="shared" si="22"/>
        <v/>
      </c>
      <c r="CN99" s="97">
        <f t="shared" si="22"/>
        <v>5.1210948736389435E-2</v>
      </c>
      <c r="CO99" s="97">
        <f t="shared" si="22"/>
        <v>9.6957317884163209E-3</v>
      </c>
      <c r="CP99" s="97">
        <f t="shared" si="22"/>
        <v>0.27840689468233548</v>
      </c>
      <c r="CQ99" s="97">
        <f t="shared" si="22"/>
        <v>0.38861596941543169</v>
      </c>
      <c r="CR99" s="97">
        <f t="shared" si="22"/>
        <v>7.5925329650809115E-2</v>
      </c>
      <c r="CS99" s="97">
        <f t="shared" si="22"/>
        <v>0.28034273539030008</v>
      </c>
      <c r="CT99" s="97">
        <f t="shared" si="22"/>
        <v>-3.5275537750096946E-2</v>
      </c>
      <c r="CU99" s="97">
        <f t="shared" si="22"/>
        <v>-0.83742332144401532</v>
      </c>
      <c r="CV99" s="97">
        <f t="shared" si="22"/>
        <v>0.14556003562493799</v>
      </c>
      <c r="CW99" s="97">
        <f t="shared" si="22"/>
        <v>4.7636127909172599E-2</v>
      </c>
      <c r="CX99" s="97">
        <f t="shared" si="22"/>
        <v>1.4250911776352741E-2</v>
      </c>
      <c r="CY99" s="97">
        <f t="shared" si="22"/>
        <v>-0.22557037804493721</v>
      </c>
      <c r="CZ99" s="97">
        <f t="shared" si="22"/>
        <v>-0.13303111993613123</v>
      </c>
      <c r="DA99" s="97">
        <f t="shared" si="22"/>
        <v>6.0436752079839895E-2</v>
      </c>
      <c r="DB99" s="97">
        <f t="shared" si="22"/>
        <v>0.80988322680856428</v>
      </c>
      <c r="DC99" s="97">
        <f t="shared" si="22"/>
        <v>9.4840726049731039E-2</v>
      </c>
      <c r="DD99" s="97">
        <f t="shared" si="22"/>
        <v>-0.15341423719720773</v>
      </c>
      <c r="DE99" s="97">
        <f t="shared" si="22"/>
        <v>0.11303672300851568</v>
      </c>
      <c r="DF99" s="97">
        <f t="shared" si="22"/>
        <v>3.5816688496768549E-2</v>
      </c>
      <c r="DG99" s="97">
        <f t="shared" si="22"/>
        <v>-7.2334630741393346E-2</v>
      </c>
      <c r="DH99" s="97" t="str">
        <f t="shared" si="22"/>
        <v/>
      </c>
      <c r="DI99" s="97">
        <f t="shared" si="22"/>
        <v>0.16048067691729237</v>
      </c>
      <c r="DJ99" s="97">
        <f t="shared" si="22"/>
        <v>0.11715689468233538</v>
      </c>
      <c r="DK99" s="97">
        <f t="shared" si="22"/>
        <v>-5.4975806739465449E-2</v>
      </c>
      <c r="DL99" s="97">
        <f t="shared" si="22"/>
        <v>0.97460050370489171</v>
      </c>
      <c r="DM99" s="97">
        <f t="shared" si="22"/>
        <v>-0.14091841912519601</v>
      </c>
      <c r="DN99" s="97">
        <f t="shared" si="22"/>
        <v>0.17343894596438678</v>
      </c>
      <c r="DO99" s="97" t="str">
        <f t="shared" si="22"/>
        <v/>
      </c>
      <c r="DP99" s="97">
        <f t="shared" si="22"/>
        <v>-6.9233287883654349E-3</v>
      </c>
      <c r="DQ99" s="97">
        <f t="shared" si="22"/>
        <v>0.23663909532958469</v>
      </c>
      <c r="DR99" s="97">
        <f t="shared" si="22"/>
        <v>0.47929975182519285</v>
      </c>
      <c r="DS99" s="97">
        <f t="shared" si="22"/>
        <v>0.14686252966971969</v>
      </c>
      <c r="DT99" s="97" t="str">
        <f t="shared" si="22"/>
        <v/>
      </c>
      <c r="DU99" s="97">
        <f t="shared" si="22"/>
        <v>7.2191001094340956E-2</v>
      </c>
      <c r="DV99" s="97" t="str">
        <f t="shared" si="22"/>
        <v/>
      </c>
      <c r="DW99" s="97">
        <f t="shared" si="22"/>
        <v>-0.11188043341196711</v>
      </c>
      <c r="DX99" s="97">
        <f t="shared" si="22"/>
        <v>1.3435964449777463E-2</v>
      </c>
      <c r="DY99" s="97">
        <f t="shared" si="22"/>
        <v>-0.11788735310527512</v>
      </c>
      <c r="DZ99" s="97">
        <f t="shared" si="15"/>
        <v>0.20161786122508649</v>
      </c>
      <c r="EA99" s="97">
        <f t="shared" si="15"/>
        <v>1.3449829816388574</v>
      </c>
      <c r="EB99" s="97">
        <f t="shared" si="15"/>
        <v>0.93304043192873487</v>
      </c>
      <c r="EC99" s="97">
        <f t="shared" si="15"/>
        <v>0.20441078069269827</v>
      </c>
      <c r="ED99" s="97">
        <f t="shared" si="15"/>
        <v>0.299672537639812</v>
      </c>
      <c r="EE99" s="97">
        <f t="shared" si="15"/>
        <v>-6.0088185818559021E-2</v>
      </c>
      <c r="EF99" s="97">
        <f t="shared" si="15"/>
        <v>8.806598559142631E-2</v>
      </c>
      <c r="EG99" s="97">
        <f t="shared" si="15"/>
        <v>0.67715689468233542</v>
      </c>
      <c r="EH99" s="97">
        <f t="shared" si="15"/>
        <v>0.58770807578469775</v>
      </c>
      <c r="EI99" s="97">
        <f t="shared" si="15"/>
        <v>8.9697055025673045E-2</v>
      </c>
      <c r="EJ99" s="97">
        <f t="shared" si="15"/>
        <v>0.27803521124226238</v>
      </c>
      <c r="EK99" s="97">
        <f t="shared" si="15"/>
        <v>0.73049022801566865</v>
      </c>
      <c r="EL99" s="97">
        <f t="shared" si="15"/>
        <v>-7.0512278249995397E-2</v>
      </c>
      <c r="EM99" s="97">
        <f t="shared" si="15"/>
        <v>0.51345645415370122</v>
      </c>
      <c r="EN99" s="97">
        <f t="shared" si="15"/>
        <v>0.12901101566416179</v>
      </c>
      <c r="EO99" s="97">
        <f t="shared" si="15"/>
        <v>0.18669937834246619</v>
      </c>
    </row>
    <row r="100" spans="1:145" outlineLevel="1" x14ac:dyDescent="0.25">
      <c r="A100">
        <v>2023</v>
      </c>
      <c r="B100">
        <v>2</v>
      </c>
      <c r="C100" s="97">
        <f t="shared" si="23"/>
        <v>-2.8599455963258417E-2</v>
      </c>
      <c r="D100" s="97">
        <f t="shared" si="23"/>
        <v>0</v>
      </c>
      <c r="E100" s="97">
        <f t="shared" si="23"/>
        <v>-0.26617873329471942</v>
      </c>
      <c r="F100" s="97">
        <f t="shared" si="23"/>
        <v>-7.7141050329911032E-2</v>
      </c>
      <c r="G100" s="97" t="str">
        <f t="shared" si="23"/>
        <v/>
      </c>
      <c r="H100" s="97">
        <f t="shared" si="23"/>
        <v>1.2619109563493325E-2</v>
      </c>
      <c r="I100" s="97">
        <f t="shared" si="23"/>
        <v>-0.11496487756833104</v>
      </c>
      <c r="J100" s="97">
        <f t="shared" si="23"/>
        <v>4.9418242813721314E-2</v>
      </c>
      <c r="K100" s="97">
        <f t="shared" si="23"/>
        <v>-6.7093203439958948E-2</v>
      </c>
      <c r="L100" s="97">
        <f t="shared" si="23"/>
        <v>0.20438629745130688</v>
      </c>
      <c r="M100" s="97">
        <f t="shared" si="23"/>
        <v>-6.8066721314885004E-2</v>
      </c>
      <c r="N100" s="97" t="str">
        <f t="shared" si="23"/>
        <v/>
      </c>
      <c r="O100" s="97">
        <f t="shared" si="23"/>
        <v>-7.5825260856226873E-2</v>
      </c>
      <c r="P100" s="97">
        <f t="shared" si="23"/>
        <v>-0.12424335665752784</v>
      </c>
      <c r="Q100" s="97">
        <f t="shared" si="23"/>
        <v>-0.11370528700856423</v>
      </c>
      <c r="R100" s="97">
        <f t="shared" si="23"/>
        <v>-6.8150156861880418E-2</v>
      </c>
      <c r="S100" s="97">
        <f t="shared" si="23"/>
        <v>-5.6260903436444699E-4</v>
      </c>
      <c r="T100" s="97">
        <f t="shared" si="23"/>
        <v>0.34204194365139268</v>
      </c>
      <c r="U100" s="97">
        <f t="shared" si="23"/>
        <v>-0.24108060217983285</v>
      </c>
      <c r="V100" s="97">
        <f t="shared" si="23"/>
        <v>0.31880229640902918</v>
      </c>
      <c r="W100" s="97">
        <f t="shared" si="23"/>
        <v>-0.23887800611029064</v>
      </c>
      <c r="X100" s="97">
        <f t="shared" si="23"/>
        <v>-9.4256839803595227E-2</v>
      </c>
      <c r="Y100" s="97">
        <f t="shared" si="23"/>
        <v>-0.19739623374298915</v>
      </c>
      <c r="Z100" s="97">
        <f t="shared" si="23"/>
        <v>-0.13219301302082273</v>
      </c>
      <c r="AA100" s="97" t="str">
        <f t="shared" si="23"/>
        <v/>
      </c>
      <c r="AB100" s="97">
        <f t="shared" si="23"/>
        <v>-5.4249499014945468E-2</v>
      </c>
      <c r="AC100" s="97">
        <f t="shared" si="23"/>
        <v>0.12487245801722807</v>
      </c>
      <c r="AD100" s="97">
        <f t="shared" si="23"/>
        <v>-0.19912808870678322</v>
      </c>
      <c r="AE100" s="97">
        <f t="shared" si="23"/>
        <v>-0.13359382610496504</v>
      </c>
      <c r="AF100" s="97">
        <f t="shared" si="23"/>
        <v>-0.19127409868684384</v>
      </c>
      <c r="AG100" s="97">
        <f t="shared" si="23"/>
        <v>0.85976789216267946</v>
      </c>
      <c r="AH100" s="97">
        <f t="shared" si="23"/>
        <v>-0.12402421569012004</v>
      </c>
      <c r="AI100" s="97">
        <f t="shared" si="23"/>
        <v>-0.16635276740540514</v>
      </c>
      <c r="AJ100" s="97">
        <f t="shared" si="23"/>
        <v>-0.27704174546397264</v>
      </c>
      <c r="AK100" s="97">
        <f t="shared" si="23"/>
        <v>-0.31196747810146752</v>
      </c>
      <c r="AL100" s="97">
        <f t="shared" si="23"/>
        <v>-5.8656270003025313E-2</v>
      </c>
      <c r="AM100" s="97">
        <f t="shared" si="23"/>
        <v>-9.2258239628617122E-2</v>
      </c>
      <c r="AN100" s="97">
        <f t="shared" si="23"/>
        <v>-0.37355029774752035</v>
      </c>
      <c r="AO100" s="97">
        <f t="shared" si="23"/>
        <v>-0.15474835271872445</v>
      </c>
      <c r="AP100" s="97">
        <f t="shared" si="23"/>
        <v>-7.0277116301291076E-2</v>
      </c>
      <c r="AQ100" s="97" t="str">
        <f t="shared" si="23"/>
        <v/>
      </c>
      <c r="AR100" s="97">
        <f t="shared" si="23"/>
        <v>-0.17611871030719242</v>
      </c>
      <c r="AS100" s="97" t="str">
        <f t="shared" si="23"/>
        <v/>
      </c>
      <c r="AT100" s="97">
        <f t="shared" si="23"/>
        <v>-0.18455920200831963</v>
      </c>
      <c r="AU100" s="97">
        <f t="shared" si="23"/>
        <v>-0.27423104180350782</v>
      </c>
      <c r="AV100" s="97">
        <f t="shared" si="23"/>
        <v>-0.22619109479591484</v>
      </c>
      <c r="AW100" s="97">
        <f t="shared" si="23"/>
        <v>-0.16805989879849695</v>
      </c>
      <c r="AX100" s="97">
        <f t="shared" si="23"/>
        <v>0.16212757578082027</v>
      </c>
      <c r="AY100" s="97">
        <f t="shared" si="23"/>
        <v>-0.27523384328791561</v>
      </c>
      <c r="AZ100" s="97">
        <f t="shared" si="23"/>
        <v>-0.13050207560725255</v>
      </c>
      <c r="BA100" s="97">
        <f t="shared" si="23"/>
        <v>-3.1758726596048163E-2</v>
      </c>
      <c r="BB100" s="97">
        <f t="shared" si="23"/>
        <v>6.8382240656174931E-2</v>
      </c>
      <c r="BC100" s="97">
        <f t="shared" si="23"/>
        <v>-0.28315981010062485</v>
      </c>
      <c r="BD100" s="97">
        <f t="shared" si="23"/>
        <v>-6.699545172930399E-2</v>
      </c>
      <c r="BE100" s="97">
        <f t="shared" si="23"/>
        <v>0.22959400765403196</v>
      </c>
      <c r="BF100" s="97">
        <f t="shared" si="23"/>
        <v>-0.28671864237870265</v>
      </c>
      <c r="BG100" s="97">
        <f t="shared" si="23"/>
        <v>-0.52447190721041514</v>
      </c>
      <c r="BH100" s="97">
        <f t="shared" si="23"/>
        <v>7.4158458284143691E-2</v>
      </c>
      <c r="BI100" s="97" t="str">
        <f t="shared" si="23"/>
        <v/>
      </c>
      <c r="BJ100" s="97">
        <f t="shared" si="23"/>
        <v>0.19344642136384807</v>
      </c>
      <c r="BK100" s="97">
        <f t="shared" si="23"/>
        <v>-0.42721921604121893</v>
      </c>
      <c r="BL100" s="97">
        <f t="shared" si="23"/>
        <v>-8.9402449103989645E-2</v>
      </c>
      <c r="BM100" s="97">
        <f t="shared" si="23"/>
        <v>0.18961905899800266</v>
      </c>
      <c r="BN100" s="97" t="str">
        <f t="shared" si="23"/>
        <v/>
      </c>
      <c r="BO100" s="97">
        <f t="shared" si="22"/>
        <v>-5.3456839803595273E-2</v>
      </c>
      <c r="BP100" s="97">
        <f t="shared" si="22"/>
        <v>-6.2142285812984865E-2</v>
      </c>
      <c r="BQ100" s="97">
        <f t="shared" si="22"/>
        <v>-4.9306642175136695E-2</v>
      </c>
      <c r="BR100" s="97">
        <f t="shared" si="22"/>
        <v>-9.2205285644021417E-3</v>
      </c>
      <c r="BS100" s="97">
        <f t="shared" si="22"/>
        <v>1.9706766206421426E-2</v>
      </c>
      <c r="BT100" s="97">
        <f t="shared" si="22"/>
        <v>-0.18331295491150892</v>
      </c>
      <c r="BU100" s="97" t="str">
        <f t="shared" si="22"/>
        <v/>
      </c>
      <c r="BV100" s="97">
        <f t="shared" si="22"/>
        <v>-0.57961578020094628</v>
      </c>
      <c r="BW100" s="97">
        <f t="shared" si="22"/>
        <v>-0.10724849051213593</v>
      </c>
      <c r="BX100" s="97">
        <f t="shared" si="22"/>
        <v>-5.9020589925694256E-2</v>
      </c>
      <c r="BY100" s="97" t="str">
        <f t="shared" si="22"/>
        <v/>
      </c>
      <c r="BZ100" s="97">
        <f t="shared" si="22"/>
        <v>0.25716638965816108</v>
      </c>
      <c r="CA100" s="97">
        <f t="shared" si="22"/>
        <v>-5.9561011013214989E-2</v>
      </c>
      <c r="CB100" s="97">
        <f t="shared" si="22"/>
        <v>3.1550333797552454E-2</v>
      </c>
      <c r="CC100" s="97">
        <f t="shared" si="22"/>
        <v>-9.6201738740955167E-2</v>
      </c>
      <c r="CD100" s="97">
        <f t="shared" si="22"/>
        <v>-0.15194740584133104</v>
      </c>
      <c r="CE100" s="97">
        <f t="shared" si="22"/>
        <v>0.14351285716610176</v>
      </c>
      <c r="CF100" s="97">
        <f t="shared" si="22"/>
        <v>-0.16836912050534975</v>
      </c>
      <c r="CG100" s="97" t="str">
        <f t="shared" si="22"/>
        <v/>
      </c>
      <c r="CH100" s="97" t="str">
        <f t="shared" si="22"/>
        <v/>
      </c>
      <c r="CI100" s="97" t="str">
        <f t="shared" si="22"/>
        <v/>
      </c>
      <c r="CJ100" s="97">
        <f t="shared" si="22"/>
        <v>-1.4349306194694876E-2</v>
      </c>
      <c r="CK100" s="97">
        <f t="shared" si="22"/>
        <v>-7.4726777215264883E-2</v>
      </c>
      <c r="CL100" s="97">
        <f t="shared" si="22"/>
        <v>-0.49610389862712462</v>
      </c>
      <c r="CM100" s="97" t="str">
        <f t="shared" si="22"/>
        <v/>
      </c>
      <c r="CN100" s="97">
        <f t="shared" si="22"/>
        <v>-0.13166196800872343</v>
      </c>
      <c r="CO100" s="97">
        <f t="shared" si="22"/>
        <v>8.9693845127911676E-2</v>
      </c>
      <c r="CP100" s="97">
        <f t="shared" si="22"/>
        <v>-0.21483895362473354</v>
      </c>
      <c r="CQ100" s="97">
        <f t="shared" si="22"/>
        <v>0.54130019344448654</v>
      </c>
      <c r="CR100" s="97">
        <f t="shared" si="22"/>
        <v>-0.18175025926385113</v>
      </c>
      <c r="CS100" s="97">
        <f t="shared" si="22"/>
        <v>0.29654316019640475</v>
      </c>
      <c r="CT100" s="97">
        <f t="shared" si="22"/>
        <v>2.1297523751757645E-3</v>
      </c>
      <c r="CU100" s="97">
        <f t="shared" si="22"/>
        <v>5.1819542105952632E-2</v>
      </c>
      <c r="CV100" s="97">
        <f t="shared" si="22"/>
        <v>2.4464645814402664E-2</v>
      </c>
      <c r="CW100" s="97">
        <f t="shared" si="22"/>
        <v>-8.724637751649067E-2</v>
      </c>
      <c r="CX100" s="97">
        <f t="shared" si="22"/>
        <v>8.057677364178284E-2</v>
      </c>
      <c r="CY100" s="97">
        <f t="shared" si="22"/>
        <v>-0.21994806787377075</v>
      </c>
      <c r="CZ100" s="97">
        <f t="shared" si="22"/>
        <v>-8.4753063916826243E-2</v>
      </c>
      <c r="DA100" s="97">
        <f t="shared" si="22"/>
        <v>-0.28593797978683061</v>
      </c>
      <c r="DB100" s="97">
        <f t="shared" si="22"/>
        <v>-9.4210264461129456E-2</v>
      </c>
      <c r="DC100" s="97">
        <f t="shared" si="22"/>
        <v>3.7583221824439854E-3</v>
      </c>
      <c r="DD100" s="97">
        <f t="shared" si="22"/>
        <v>-0.10981380801875414</v>
      </c>
      <c r="DE100" s="97">
        <f t="shared" si="22"/>
        <v>-0.19576453211128753</v>
      </c>
      <c r="DF100" s="97">
        <f t="shared" si="22"/>
        <v>-0.14745187702443893</v>
      </c>
      <c r="DG100" s="97">
        <f t="shared" si="22"/>
        <v>0.14408414380296206</v>
      </c>
      <c r="DH100" s="97" t="str">
        <f t="shared" si="22"/>
        <v/>
      </c>
      <c r="DI100" s="97">
        <f t="shared" si="22"/>
        <v>-0.11675733241443254</v>
      </c>
      <c r="DJ100" s="97">
        <f t="shared" si="22"/>
        <v>-1.8162722156536245E-2</v>
      </c>
      <c r="DK100" s="97">
        <f t="shared" si="22"/>
        <v>-0.12131398266073813</v>
      </c>
      <c r="DL100" s="97">
        <f t="shared" si="22"/>
        <v>9.2867621539877598E-2</v>
      </c>
      <c r="DM100" s="97">
        <f t="shared" si="22"/>
        <v>0.21013539320611366</v>
      </c>
      <c r="DN100" s="97">
        <f t="shared" si="22"/>
        <v>-0.19146773898615654</v>
      </c>
      <c r="DO100" s="97" t="str">
        <f t="shared" si="22"/>
        <v/>
      </c>
      <c r="DP100" s="97">
        <f t="shared" si="22"/>
        <v>-6.8944848375654066E-2</v>
      </c>
      <c r="DQ100" s="97">
        <f t="shared" si="22"/>
        <v>-0.45254300168349082</v>
      </c>
      <c r="DR100" s="97">
        <f t="shared" si="22"/>
        <v>-0.26851708076745073</v>
      </c>
      <c r="DS100" s="97">
        <f t="shared" si="22"/>
        <v>-8.6851133878211084E-2</v>
      </c>
      <c r="DT100" s="97" t="str">
        <f t="shared" si="22"/>
        <v/>
      </c>
      <c r="DU100" s="97">
        <f t="shared" si="22"/>
        <v>-2.0588819499026686E-2</v>
      </c>
      <c r="DV100" s="97" t="str">
        <f t="shared" si="22"/>
        <v/>
      </c>
      <c r="DW100" s="97">
        <f t="shared" si="22"/>
        <v>0.11341195843234747</v>
      </c>
      <c r="DX100" s="97">
        <f t="shared" si="22"/>
        <v>-3.3205123556455662E-2</v>
      </c>
      <c r="DY100" s="97">
        <f t="shared" si="22"/>
        <v>-0.29345683980359522</v>
      </c>
      <c r="DZ100" s="97">
        <f t="shared" ref="DZ100:EO115" si="24">IF(ISBLANK(DZ37),"",DZ37-$D37)</f>
        <v>-0.13000004968013842</v>
      </c>
      <c r="EA100" s="97">
        <f t="shared" si="24"/>
        <v>-0.29604943239618786</v>
      </c>
      <c r="EB100" s="97">
        <f t="shared" si="24"/>
        <v>-0.35465683980359536</v>
      </c>
      <c r="EC100" s="97">
        <f t="shared" si="24"/>
        <v>2.2294233157778235E-2</v>
      </c>
      <c r="ED100" s="97">
        <f t="shared" si="24"/>
        <v>-8.9339192744771645E-2</v>
      </c>
      <c r="EE100" s="97">
        <f t="shared" si="24"/>
        <v>-6.2280369215359843E-2</v>
      </c>
      <c r="EF100" s="97">
        <f t="shared" si="24"/>
        <v>-0.31682489535915076</v>
      </c>
      <c r="EG100" s="97">
        <f t="shared" si="24"/>
        <v>0.67403233768558213</v>
      </c>
      <c r="EH100" s="97">
        <f t="shared" si="24"/>
        <v>-5.0840149563142645E-2</v>
      </c>
      <c r="EI100" s="97">
        <f t="shared" si="24"/>
        <v>-6.5953429906710603E-2</v>
      </c>
      <c r="EJ100" s="97">
        <f t="shared" si="24"/>
        <v>2.6305064958309424E-2</v>
      </c>
      <c r="EK100" s="97">
        <f t="shared" si="24"/>
        <v>-0.29085000219675766</v>
      </c>
      <c r="EL100" s="97">
        <f t="shared" si="24"/>
        <v>0.10944638600285626</v>
      </c>
      <c r="EM100" s="97">
        <f t="shared" si="24"/>
        <v>-0.30037723492271201</v>
      </c>
      <c r="EN100" s="97">
        <f t="shared" si="24"/>
        <v>5.6676256199372776E-3</v>
      </c>
      <c r="EO100" s="97">
        <f t="shared" si="24"/>
        <v>6.0645724298968862E-2</v>
      </c>
    </row>
    <row r="101" spans="1:145" outlineLevel="1" x14ac:dyDescent="0.25">
      <c r="A101">
        <v>2023</v>
      </c>
      <c r="B101">
        <v>3</v>
      </c>
      <c r="C101" s="97">
        <f t="shared" si="23"/>
        <v>3.3130488291521543E-2</v>
      </c>
      <c r="D101" s="97">
        <f t="shared" si="23"/>
        <v>0</v>
      </c>
      <c r="E101" s="97">
        <f t="shared" si="23"/>
        <v>-0.3547168371929883</v>
      </c>
      <c r="F101" s="97">
        <f t="shared" si="23"/>
        <v>-0.2085399803419741</v>
      </c>
      <c r="G101" s="97" t="str">
        <f t="shared" si="23"/>
        <v/>
      </c>
      <c r="H101" s="97">
        <f t="shared" si="23"/>
        <v>-0.29389112477496726</v>
      </c>
      <c r="I101" s="97">
        <f t="shared" si="23"/>
        <v>-0.16137534141972459</v>
      </c>
      <c r="J101" s="97">
        <f t="shared" si="23"/>
        <v>0.1730299563127084</v>
      </c>
      <c r="K101" s="97">
        <f t="shared" si="23"/>
        <v>-0.32923724424312151</v>
      </c>
      <c r="L101" s="97">
        <f t="shared" si="23"/>
        <v>-6.2436084238078005E-2</v>
      </c>
      <c r="M101" s="97">
        <f t="shared" si="23"/>
        <v>-5.4663741857705055E-2</v>
      </c>
      <c r="N101" s="97" t="str">
        <f t="shared" si="23"/>
        <v/>
      </c>
      <c r="O101" s="97">
        <f t="shared" si="23"/>
        <v>-0.12899452579651949</v>
      </c>
      <c r="P101" s="97">
        <f t="shared" si="23"/>
        <v>0.45287448378814493</v>
      </c>
      <c r="Q101" s="97">
        <f t="shared" si="23"/>
        <v>-0.19422140188727</v>
      </c>
      <c r="R101" s="97">
        <f t="shared" si="23"/>
        <v>-0.11264052905916219</v>
      </c>
      <c r="S101" s="97">
        <f t="shared" si="23"/>
        <v>2.7072316171199429E-3</v>
      </c>
      <c r="T101" s="97">
        <f t="shared" si="23"/>
        <v>0.14790420838069562</v>
      </c>
      <c r="U101" s="97">
        <f t="shared" si="23"/>
        <v>-0.19230621410820778</v>
      </c>
      <c r="V101" s="97">
        <f t="shared" si="23"/>
        <v>-8.3391510721142481E-2</v>
      </c>
      <c r="W101" s="97">
        <f t="shared" si="23"/>
        <v>-5.7666842180700291E-2</v>
      </c>
      <c r="X101" s="97">
        <f t="shared" si="23"/>
        <v>-9.9463069571266494E-2</v>
      </c>
      <c r="Y101" s="97">
        <f t="shared" si="23"/>
        <v>-0.16192685662358719</v>
      </c>
      <c r="Z101" s="97">
        <f t="shared" si="23"/>
        <v>-0.18011554146372638</v>
      </c>
      <c r="AA101" s="97" t="str">
        <f t="shared" si="23"/>
        <v/>
      </c>
      <c r="AB101" s="97">
        <f t="shared" si="23"/>
        <v>1.0822106007852828E-3</v>
      </c>
      <c r="AC101" s="97">
        <f t="shared" si="23"/>
        <v>0.32433165446099133</v>
      </c>
      <c r="AD101" s="97">
        <f t="shared" si="23"/>
        <v>-0.3546438764458702</v>
      </c>
      <c r="AE101" s="97">
        <f t="shared" si="23"/>
        <v>-0.52072680926108639</v>
      </c>
      <c r="AF101" s="97">
        <f t="shared" si="23"/>
        <v>0.23350547420348031</v>
      </c>
      <c r="AG101" s="97">
        <f t="shared" si="23"/>
        <v>-0.45371519618758099</v>
      </c>
      <c r="AH101" s="97">
        <f t="shared" si="23"/>
        <v>-0.16528484837716459</v>
      </c>
      <c r="AI101" s="97">
        <f t="shared" si="23"/>
        <v>-0.46345398525597886</v>
      </c>
      <c r="AJ101" s="97">
        <f t="shared" si="23"/>
        <v>-0.2738646556666493</v>
      </c>
      <c r="AK101" s="97">
        <f t="shared" si="23"/>
        <v>1.6518294716300952E-2</v>
      </c>
      <c r="AL101" s="97">
        <f t="shared" si="23"/>
        <v>-9.973519673507969E-2</v>
      </c>
      <c r="AM101" s="97">
        <f t="shared" si="23"/>
        <v>3.5851849623547809E-2</v>
      </c>
      <c r="AN101" s="97">
        <f t="shared" si="23"/>
        <v>-0.4253595109597243</v>
      </c>
      <c r="AO101" s="97">
        <f t="shared" si="23"/>
        <v>-0.15616843883999768</v>
      </c>
      <c r="AP101" s="97">
        <f t="shared" si="23"/>
        <v>1.8227696425702652E-2</v>
      </c>
      <c r="AQ101" s="97" t="str">
        <f t="shared" si="23"/>
        <v/>
      </c>
      <c r="AR101" s="97">
        <f t="shared" si="23"/>
        <v>1.3396778551306502E-2</v>
      </c>
      <c r="AS101" s="97">
        <f t="shared" si="23"/>
        <v>-0.29545181222868028</v>
      </c>
      <c r="AT101" s="97">
        <f t="shared" si="23"/>
        <v>-3.994525796519488E-3</v>
      </c>
      <c r="AU101" s="97">
        <f t="shared" si="23"/>
        <v>-6.3874765317477489E-2</v>
      </c>
      <c r="AV101" s="97">
        <f t="shared" si="23"/>
        <v>-0.10873760880047188</v>
      </c>
      <c r="AW101" s="97">
        <f t="shared" si="23"/>
        <v>-0.18446531917053868</v>
      </c>
      <c r="AX101" s="97">
        <f t="shared" si="23"/>
        <v>1.2718566125486053E-2</v>
      </c>
      <c r="AY101" s="97">
        <f t="shared" si="23"/>
        <v>-0.20772658321278747</v>
      </c>
      <c r="AZ101" s="97">
        <f t="shared" si="23"/>
        <v>-7.1249211573807147E-2</v>
      </c>
      <c r="BA101" s="97">
        <f t="shared" si="23"/>
        <v>-0.74671297239846113</v>
      </c>
      <c r="BB101" s="97">
        <f t="shared" si="23"/>
        <v>2.8177055972917531E-2</v>
      </c>
      <c r="BC101" s="97">
        <f t="shared" si="23"/>
        <v>-0.35107356359720676</v>
      </c>
      <c r="BD101" s="97">
        <f t="shared" si="23"/>
        <v>-0.30775235460654038</v>
      </c>
      <c r="BE101" s="97">
        <f t="shared" si="23"/>
        <v>0.2090638934474667</v>
      </c>
      <c r="BF101" s="97">
        <f t="shared" si="23"/>
        <v>-0.12375500483843559</v>
      </c>
      <c r="BG101" s="97">
        <f t="shared" si="23"/>
        <v>-0.53214022116075788</v>
      </c>
      <c r="BH101" s="97">
        <f t="shared" si="23"/>
        <v>-0.16996529823910819</v>
      </c>
      <c r="BI101" s="97" t="str">
        <f t="shared" si="23"/>
        <v/>
      </c>
      <c r="BJ101" s="97">
        <f t="shared" si="23"/>
        <v>-0.11504203581369178</v>
      </c>
      <c r="BK101" s="97">
        <f t="shared" si="23"/>
        <v>-0.29609074572779087</v>
      </c>
      <c r="BL101" s="97">
        <f t="shared" si="23"/>
        <v>-0.26245466660960148</v>
      </c>
      <c r="BM101" s="97">
        <f t="shared" si="23"/>
        <v>0.17680904563205191</v>
      </c>
      <c r="BN101" s="97" t="str">
        <f t="shared" ref="BN101:DY105" si="25">IF(ISBLANK(BN38),"",BN38-$D38)</f>
        <v/>
      </c>
      <c r="BO101" s="97">
        <f t="shared" si="25"/>
        <v>-0.11057347316494048</v>
      </c>
      <c r="BP101" s="97">
        <f t="shared" si="22"/>
        <v>-0.14364539861447459</v>
      </c>
      <c r="BQ101" s="97">
        <f t="shared" si="22"/>
        <v>-7.1931559765036512E-2</v>
      </c>
      <c r="BR101" s="97">
        <f t="shared" si="22"/>
        <v>8.2961995942610889E-2</v>
      </c>
      <c r="BS101" s="97">
        <f t="shared" si="22"/>
        <v>0.10043133592079641</v>
      </c>
      <c r="BT101" s="97">
        <f t="shared" si="22"/>
        <v>-0.12688926263862468</v>
      </c>
      <c r="BU101" s="97" t="str">
        <f t="shared" si="22"/>
        <v/>
      </c>
      <c r="BV101" s="97">
        <f t="shared" si="22"/>
        <v>-0.67717160912985275</v>
      </c>
      <c r="BW101" s="97">
        <f t="shared" si="22"/>
        <v>3.8241941439947739E-2</v>
      </c>
      <c r="BX101" s="97">
        <f t="shared" si="22"/>
        <v>7.3587301084785412E-3</v>
      </c>
      <c r="BY101" s="97" t="str">
        <f t="shared" si="22"/>
        <v/>
      </c>
      <c r="BZ101" s="97">
        <f t="shared" si="22"/>
        <v>-0.25343272804371048</v>
      </c>
      <c r="CA101" s="97">
        <f t="shared" si="22"/>
        <v>-0.10630475681962169</v>
      </c>
      <c r="CB101" s="97">
        <f t="shared" si="22"/>
        <v>1.5689422082604491E-2</v>
      </c>
      <c r="CC101" s="97">
        <f t="shared" si="22"/>
        <v>9.9469223589164116E-2</v>
      </c>
      <c r="CD101" s="97">
        <f t="shared" si="22"/>
        <v>-0.29914187789047031</v>
      </c>
      <c r="CE101" s="97">
        <f t="shared" si="22"/>
        <v>-9.1180787355304216E-2</v>
      </c>
      <c r="CF101" s="97">
        <f t="shared" si="22"/>
        <v>-0.1594567106704691</v>
      </c>
      <c r="CG101" s="97" t="str">
        <f t="shared" si="22"/>
        <v/>
      </c>
      <c r="CH101" s="97" t="str">
        <f t="shared" si="22"/>
        <v/>
      </c>
      <c r="CI101" s="97" t="str">
        <f t="shared" si="22"/>
        <v/>
      </c>
      <c r="CJ101" s="97">
        <f t="shared" si="22"/>
        <v>4.2512558336111894E-3</v>
      </c>
      <c r="CK101" s="97">
        <f t="shared" si="22"/>
        <v>-0.2648640910139109</v>
      </c>
      <c r="CL101" s="97">
        <f t="shared" si="22"/>
        <v>-0.49464669970956299</v>
      </c>
      <c r="CM101" s="97" t="str">
        <f t="shared" si="22"/>
        <v/>
      </c>
      <c r="CN101" s="97">
        <f t="shared" si="22"/>
        <v>-0.35781805520828408</v>
      </c>
      <c r="CO101" s="97">
        <f t="shared" si="22"/>
        <v>-0.17442059095942677</v>
      </c>
      <c r="CP101" s="97">
        <f t="shared" si="22"/>
        <v>-0.148324422703736</v>
      </c>
      <c r="CQ101" s="97">
        <f t="shared" si="22"/>
        <v>-0.1314779695051288</v>
      </c>
      <c r="CR101" s="97">
        <f t="shared" si="22"/>
        <v>-4.3602028224076217E-2</v>
      </c>
      <c r="CS101" s="97">
        <f t="shared" si="22"/>
        <v>0.22942722486661052</v>
      </c>
      <c r="CT101" s="97">
        <f t="shared" si="22"/>
        <v>6.82276964257027E-2</v>
      </c>
      <c r="CU101" s="97">
        <f t="shared" si="22"/>
        <v>3.4100712298718694E-2</v>
      </c>
      <c r="CV101" s="97">
        <f t="shared" si="22"/>
        <v>-2.8820607746298358E-2</v>
      </c>
      <c r="CW101" s="97">
        <f t="shared" si="22"/>
        <v>3.5507548892277141E-2</v>
      </c>
      <c r="CX101" s="97">
        <f t="shared" si="22"/>
        <v>-4.5338195047165408E-2</v>
      </c>
      <c r="CY101" s="97">
        <f t="shared" si="22"/>
        <v>-0.2574651930602902</v>
      </c>
      <c r="CZ101" s="97">
        <f t="shared" si="22"/>
        <v>1.6754111398962213E-3</v>
      </c>
      <c r="DA101" s="97">
        <f t="shared" si="22"/>
        <v>-0.16988237626380928</v>
      </c>
      <c r="DB101" s="97">
        <f t="shared" si="22"/>
        <v>-0.16909182648704049</v>
      </c>
      <c r="DC101" s="97">
        <f t="shared" si="22"/>
        <v>-4.5136307369491036E-2</v>
      </c>
      <c r="DD101" s="97">
        <f t="shared" si="22"/>
        <v>3.8413134942194782E-2</v>
      </c>
      <c r="DE101" s="97">
        <f t="shared" si="22"/>
        <v>-0.33970881151080518</v>
      </c>
      <c r="DF101" s="97">
        <f t="shared" si="22"/>
        <v>-0.15754410981831848</v>
      </c>
      <c r="DG101" s="97">
        <f t="shared" si="22"/>
        <v>-0.18494690674890038</v>
      </c>
      <c r="DH101" s="97" t="str">
        <f t="shared" si="22"/>
        <v/>
      </c>
      <c r="DI101" s="97">
        <f t="shared" si="22"/>
        <v>-0.37621674801874178</v>
      </c>
      <c r="DJ101" s="97">
        <f t="shared" si="22"/>
        <v>-0.11060433389886488</v>
      </c>
      <c r="DK101" s="97">
        <f t="shared" si="22"/>
        <v>-2.7476307173037617E-2</v>
      </c>
      <c r="DL101" s="97">
        <f t="shared" si="22"/>
        <v>-5.6017647183802866E-2</v>
      </c>
      <c r="DM101" s="97">
        <f t="shared" si="22"/>
        <v>0.20533880753681391</v>
      </c>
      <c r="DN101" s="97">
        <f t="shared" si="22"/>
        <v>1.0094282929954275</v>
      </c>
      <c r="DO101" s="97" t="str">
        <f t="shared" si="22"/>
        <v/>
      </c>
      <c r="DP101" s="97">
        <f t="shared" si="22"/>
        <v>-0.1645684980758842</v>
      </c>
      <c r="DQ101" s="97">
        <f t="shared" si="22"/>
        <v>-0.29783338835576106</v>
      </c>
      <c r="DR101" s="97">
        <f t="shared" si="22"/>
        <v>-0.20374862415717518</v>
      </c>
      <c r="DS101" s="97">
        <f t="shared" si="22"/>
        <v>-4.0174360859036251E-2</v>
      </c>
      <c r="DT101" s="97" t="str">
        <f t="shared" si="22"/>
        <v/>
      </c>
      <c r="DU101" s="97">
        <f t="shared" si="22"/>
        <v>-0.1925032410967131</v>
      </c>
      <c r="DV101" s="97" t="str">
        <f t="shared" si="22"/>
        <v/>
      </c>
      <c r="DW101" s="97">
        <f t="shared" si="22"/>
        <v>0.1648110023377351</v>
      </c>
      <c r="DX101" s="97">
        <f t="shared" si="22"/>
        <v>-3.2296412588972312E-2</v>
      </c>
      <c r="DY101" s="97">
        <f t="shared" si="22"/>
        <v>-0.54061424410637859</v>
      </c>
      <c r="DZ101" s="97">
        <f t="shared" si="24"/>
        <v>-0.11000159293432879</v>
      </c>
      <c r="EA101" s="97">
        <f t="shared" si="24"/>
        <v>-0.10347096558709534</v>
      </c>
      <c r="EB101" s="97">
        <f t="shared" si="24"/>
        <v>-0.10300808929836913</v>
      </c>
      <c r="EC101" s="97">
        <f t="shared" si="24"/>
        <v>-0.22993594839066178</v>
      </c>
      <c r="ED101" s="97">
        <f t="shared" si="24"/>
        <v>-0.11381863562062919</v>
      </c>
      <c r="EE101" s="97">
        <f t="shared" si="24"/>
        <v>-0.2479461386997453</v>
      </c>
      <c r="EF101" s="97">
        <f t="shared" si="24"/>
        <v>-0.71069490506327049</v>
      </c>
      <c r="EG101" s="97">
        <f t="shared" si="24"/>
        <v>-0.16528484837716459</v>
      </c>
      <c r="EH101" s="97">
        <f t="shared" si="24"/>
        <v>-0.17145661085325939</v>
      </c>
      <c r="EI101" s="97">
        <f t="shared" si="24"/>
        <v>-0.15054984533755209</v>
      </c>
      <c r="EJ101" s="97">
        <f t="shared" si="24"/>
        <v>-0.22942805180808018</v>
      </c>
      <c r="EK101" s="97">
        <f t="shared" si="24"/>
        <v>-8.0456294911961712E-2</v>
      </c>
      <c r="EL101" s="97">
        <f t="shared" si="24"/>
        <v>0.1771648944933355</v>
      </c>
      <c r="EM101" s="97">
        <f t="shared" si="24"/>
        <v>-0.19820940182957739</v>
      </c>
      <c r="EN101" s="97">
        <f t="shared" si="24"/>
        <v>-7.3482407441833875E-3</v>
      </c>
      <c r="EO101" s="97">
        <f t="shared" si="24"/>
        <v>-5.7350808068464376E-2</v>
      </c>
    </row>
    <row r="102" spans="1:145" outlineLevel="1" x14ac:dyDescent="0.25">
      <c r="A102">
        <v>2023</v>
      </c>
      <c r="B102">
        <v>4</v>
      </c>
      <c r="C102" s="97">
        <f t="shared" ref="C102:BN105" si="26">IF(ISBLANK(C39),"",C39-$D39)</f>
        <v>1.2345249650641547E-2</v>
      </c>
      <c r="D102" s="97">
        <f t="shared" si="26"/>
        <v>0</v>
      </c>
      <c r="E102" s="97">
        <f t="shared" si="26"/>
        <v>9.5257779771005024E-2</v>
      </c>
      <c r="F102" s="97">
        <f t="shared" si="26"/>
        <v>-1.9344021394455013E-2</v>
      </c>
      <c r="G102" s="97" t="str">
        <f t="shared" si="26"/>
        <v/>
      </c>
      <c r="H102" s="97">
        <f t="shared" si="26"/>
        <v>-0.19205078831174813</v>
      </c>
      <c r="I102" s="97">
        <f t="shared" si="26"/>
        <v>-3.566790882263704E-2</v>
      </c>
      <c r="J102" s="97">
        <f t="shared" si="26"/>
        <v>-4.9763069013502581E-2</v>
      </c>
      <c r="K102" s="97">
        <f t="shared" si="26"/>
        <v>0.38485947295292428</v>
      </c>
      <c r="L102" s="97">
        <f t="shared" si="26"/>
        <v>3.2668160439686118E-3</v>
      </c>
      <c r="M102" s="97">
        <f t="shared" si="26"/>
        <v>-5.3982202951065594E-2</v>
      </c>
      <c r="N102" s="97" t="str">
        <f t="shared" si="26"/>
        <v/>
      </c>
      <c r="O102" s="97">
        <f t="shared" si="26"/>
        <v>-0.20829032331948044</v>
      </c>
      <c r="P102" s="97">
        <f t="shared" si="26"/>
        <v>0.17180886081105887</v>
      </c>
      <c r="Q102" s="97">
        <f t="shared" si="26"/>
        <v>-0.30104352878361762</v>
      </c>
      <c r="R102" s="97">
        <f t="shared" si="26"/>
        <v>-4.4259311082804779E-2</v>
      </c>
      <c r="S102" s="97">
        <f t="shared" si="26"/>
        <v>-2.2011642515977758E-3</v>
      </c>
      <c r="T102" s="97">
        <f t="shared" si="26"/>
        <v>-0.13863758497373294</v>
      </c>
      <c r="U102" s="97">
        <f t="shared" si="26"/>
        <v>0.11237026431983077</v>
      </c>
      <c r="V102" s="97">
        <f t="shared" si="26"/>
        <v>0.14047506781328048</v>
      </c>
      <c r="W102" s="97">
        <f t="shared" si="26"/>
        <v>-2.7510332695094734E-2</v>
      </c>
      <c r="X102" s="97">
        <f t="shared" si="26"/>
        <v>0.15606546535744426</v>
      </c>
      <c r="Y102" s="97">
        <f t="shared" si="26"/>
        <v>4.5524244408227554E-2</v>
      </c>
      <c r="Z102" s="97">
        <f t="shared" si="26"/>
        <v>-3.641662092607089E-2</v>
      </c>
      <c r="AA102" s="97" t="str">
        <f t="shared" si="26"/>
        <v/>
      </c>
      <c r="AB102" s="97">
        <f t="shared" si="26"/>
        <v>-3.2514937818344802E-2</v>
      </c>
      <c r="AC102" s="97">
        <f t="shared" si="26"/>
        <v>3.9989004222900075E-2</v>
      </c>
      <c r="AD102" s="97">
        <f t="shared" si="26"/>
        <v>-0.22962973568016934</v>
      </c>
      <c r="AE102" s="97">
        <f t="shared" si="26"/>
        <v>-0.14823258700399833</v>
      </c>
      <c r="AF102" s="97">
        <f t="shared" si="26"/>
        <v>-0.10463983669027033</v>
      </c>
      <c r="AG102" s="97">
        <f t="shared" si="26"/>
        <v>9.2816964827444837E-2</v>
      </c>
      <c r="AH102" s="97">
        <f t="shared" si="26"/>
        <v>-3.2475889526323187E-2</v>
      </c>
      <c r="AI102" s="97">
        <f t="shared" si="26"/>
        <v>0.50637026431983068</v>
      </c>
      <c r="AJ102" s="97">
        <f t="shared" si="26"/>
        <v>2.9988193882263925E-2</v>
      </c>
      <c r="AK102" s="97">
        <f t="shared" si="26"/>
        <v>0.24260142009872518</v>
      </c>
      <c r="AL102" s="97">
        <f t="shared" si="26"/>
        <v>-3.3642240890673691E-2</v>
      </c>
      <c r="AM102" s="97">
        <f t="shared" si="26"/>
        <v>3.6536469305980195E-2</v>
      </c>
      <c r="AN102" s="97">
        <f t="shared" si="26"/>
        <v>-8.0552812603246204E-2</v>
      </c>
      <c r="AO102" s="97">
        <f t="shared" si="26"/>
        <v>-0.12670665875709244</v>
      </c>
      <c r="AP102" s="97">
        <f t="shared" si="26"/>
        <v>0.18960697929567627</v>
      </c>
      <c r="AQ102" s="97" t="str">
        <f t="shared" si="26"/>
        <v/>
      </c>
      <c r="AR102" s="97">
        <f t="shared" si="26"/>
        <v>0.23568650363607008</v>
      </c>
      <c r="AS102" s="97">
        <f t="shared" si="26"/>
        <v>-5.3275125751091175E-2</v>
      </c>
      <c r="AT102" s="97">
        <f t="shared" si="26"/>
        <v>-4.209127414170788E-2</v>
      </c>
      <c r="AU102" s="97">
        <f t="shared" si="26"/>
        <v>9.8281092345308366E-2</v>
      </c>
      <c r="AV102" s="97">
        <f t="shared" si="26"/>
        <v>-7.647741779937467E-2</v>
      </c>
      <c r="AW102" s="97">
        <f t="shared" si="26"/>
        <v>3.8170728304689479E-3</v>
      </c>
      <c r="AX102" s="97">
        <f t="shared" si="26"/>
        <v>-0.13422334298610544</v>
      </c>
      <c r="AY102" s="97">
        <f t="shared" si="26"/>
        <v>9.6838957986457266E-2</v>
      </c>
      <c r="AZ102" s="97">
        <f t="shared" si="26"/>
        <v>2.9467191033778491E-2</v>
      </c>
      <c r="BA102" s="97">
        <f t="shared" si="26"/>
        <v>-0.17344105643488622</v>
      </c>
      <c r="BB102" s="97">
        <f t="shared" si="26"/>
        <v>-6.0772592823026494E-2</v>
      </c>
      <c r="BC102" s="97">
        <f t="shared" si="26"/>
        <v>-1.6156051469643162E-2</v>
      </c>
      <c r="BD102" s="97">
        <f t="shared" si="26"/>
        <v>0.31121284303047525</v>
      </c>
      <c r="BE102" s="97">
        <f t="shared" si="26"/>
        <v>0.5034524172943351</v>
      </c>
      <c r="BF102" s="97">
        <f t="shared" si="26"/>
        <v>1.1324246860885387</v>
      </c>
      <c r="BG102" s="97">
        <f t="shared" si="26"/>
        <v>-0.12643675322402903</v>
      </c>
      <c r="BH102" s="97">
        <f t="shared" si="26"/>
        <v>4.7684406998178545E-2</v>
      </c>
      <c r="BI102" s="97" t="str">
        <f t="shared" si="26"/>
        <v/>
      </c>
      <c r="BJ102" s="97">
        <f t="shared" si="26"/>
        <v>-0.10794396620174053</v>
      </c>
      <c r="BK102" s="97">
        <f t="shared" si="26"/>
        <v>-0.16382391043745093</v>
      </c>
      <c r="BL102" s="97">
        <f t="shared" si="26"/>
        <v>-1.6187162938974712E-2</v>
      </c>
      <c r="BM102" s="97">
        <f t="shared" si="26"/>
        <v>0.18871430968845065</v>
      </c>
      <c r="BN102" s="97" t="str">
        <f t="shared" si="26"/>
        <v/>
      </c>
      <c r="BO102" s="97">
        <f t="shared" si="25"/>
        <v>1.2570558870640628E-2</v>
      </c>
      <c r="BP102" s="97">
        <f t="shared" si="25"/>
        <v>0.58477606142128002</v>
      </c>
      <c r="BQ102" s="97">
        <f t="shared" si="25"/>
        <v>3.9036930986497298E-2</v>
      </c>
      <c r="BR102" s="97">
        <f t="shared" si="25"/>
        <v>0.36437026431983055</v>
      </c>
      <c r="BS102" s="97">
        <f t="shared" si="25"/>
        <v>0.14410802978612786</v>
      </c>
      <c r="BT102" s="97">
        <f t="shared" si="25"/>
        <v>0.16648727602100077</v>
      </c>
      <c r="BU102" s="97" t="str">
        <f t="shared" si="25"/>
        <v/>
      </c>
      <c r="BV102" s="97">
        <f t="shared" si="25"/>
        <v>-0.20872933727379483</v>
      </c>
      <c r="BW102" s="97">
        <f t="shared" si="25"/>
        <v>-4.3676205987010164E-2</v>
      </c>
      <c r="BX102" s="97">
        <f t="shared" si="25"/>
        <v>5.2499296577895205E-2</v>
      </c>
      <c r="BY102" s="97" t="str">
        <f t="shared" si="25"/>
        <v/>
      </c>
      <c r="BZ102" s="97">
        <f t="shared" si="25"/>
        <v>0.32571158168510017</v>
      </c>
      <c r="CA102" s="97">
        <f t="shared" si="25"/>
        <v>-0.23524738273899293</v>
      </c>
      <c r="CB102" s="97">
        <f t="shared" si="25"/>
        <v>3.429848617953702E-2</v>
      </c>
      <c r="CC102" s="97">
        <f t="shared" si="25"/>
        <v>0.14906969216170696</v>
      </c>
      <c r="CD102" s="97">
        <f t="shared" si="25"/>
        <v>-0.18627670204294833</v>
      </c>
      <c r="CE102" s="97">
        <f t="shared" si="25"/>
        <v>-3.2573295738056451E-2</v>
      </c>
      <c r="CF102" s="97">
        <f t="shared" si="25"/>
        <v>0.19040011506609947</v>
      </c>
      <c r="CG102" s="97" t="str">
        <f t="shared" si="25"/>
        <v/>
      </c>
      <c r="CH102" s="97" t="str">
        <f t="shared" si="25"/>
        <v/>
      </c>
      <c r="CI102" s="97" t="str">
        <f t="shared" si="25"/>
        <v/>
      </c>
      <c r="CJ102" s="97">
        <f t="shared" si="25"/>
        <v>8.171595498035189E-2</v>
      </c>
      <c r="CK102" s="97">
        <f t="shared" si="25"/>
        <v>-0.32715914744487512</v>
      </c>
      <c r="CL102" s="97">
        <f t="shared" si="25"/>
        <v>6.6650531783196687E-2</v>
      </c>
      <c r="CM102" s="97" t="str">
        <f t="shared" si="25"/>
        <v/>
      </c>
      <c r="CN102" s="97">
        <f t="shared" si="25"/>
        <v>-0.12182120890122844</v>
      </c>
      <c r="CO102" s="97">
        <f t="shared" si="25"/>
        <v>2.4125603923381704E-3</v>
      </c>
      <c r="CP102" s="97">
        <f t="shared" si="25"/>
        <v>-3.3750217607880106E-2</v>
      </c>
      <c r="CQ102" s="97">
        <f t="shared" si="25"/>
        <v>0.17284085255512488</v>
      </c>
      <c r="CR102" s="97">
        <f t="shared" si="25"/>
        <v>4.3561525591551797E-2</v>
      </c>
      <c r="CS102" s="97">
        <f t="shared" si="25"/>
        <v>0.24368209227681967</v>
      </c>
      <c r="CT102" s="97">
        <f t="shared" si="25"/>
        <v>-0.11761937298586893</v>
      </c>
      <c r="CU102" s="97">
        <f t="shared" si="25"/>
        <v>3.7654667989555295E-2</v>
      </c>
      <c r="CV102" s="97">
        <f t="shared" si="25"/>
        <v>1.2034120059539747E-2</v>
      </c>
      <c r="CW102" s="97">
        <f t="shared" si="25"/>
        <v>-2.1193203666757251E-2</v>
      </c>
      <c r="CX102" s="97">
        <f t="shared" si="25"/>
        <v>0.10663735571899746</v>
      </c>
      <c r="CY102" s="97">
        <f t="shared" si="25"/>
        <v>0.25611831470975255</v>
      </c>
      <c r="CZ102" s="97">
        <f t="shared" si="25"/>
        <v>-5.0442967650582204E-2</v>
      </c>
      <c r="DA102" s="97">
        <f t="shared" si="25"/>
        <v>0.49496970409574109</v>
      </c>
      <c r="DB102" s="97">
        <f t="shared" si="25"/>
        <v>5.8400339507800547E-2</v>
      </c>
      <c r="DC102" s="97">
        <f t="shared" si="25"/>
        <v>3.3169178961956584E-2</v>
      </c>
      <c r="DD102" s="97">
        <f t="shared" si="25"/>
        <v>-1.9377767176232293E-2</v>
      </c>
      <c r="DE102" s="97">
        <f t="shared" si="25"/>
        <v>2.0788075403054935</v>
      </c>
      <c r="DF102" s="97">
        <f t="shared" si="25"/>
        <v>3.0140999362691097E-3</v>
      </c>
      <c r="DG102" s="97">
        <f t="shared" si="25"/>
        <v>-9.2777022501874695E-2</v>
      </c>
      <c r="DH102" s="97" t="str">
        <f t="shared" si="25"/>
        <v/>
      </c>
      <c r="DI102" s="97">
        <f t="shared" si="25"/>
        <v>0.11141451210744147</v>
      </c>
      <c r="DJ102" s="97">
        <f t="shared" si="25"/>
        <v>0.63121513305491406</v>
      </c>
      <c r="DK102" s="97">
        <f t="shared" si="25"/>
        <v>-4.0943168515990336E-2</v>
      </c>
      <c r="DL102" s="97">
        <f t="shared" si="25"/>
        <v>-0.12070290641187653</v>
      </c>
      <c r="DM102" s="97">
        <f t="shared" si="25"/>
        <v>8.3470595080580301E-2</v>
      </c>
      <c r="DN102" s="97">
        <f t="shared" si="25"/>
        <v>4.6370264319830705E-2</v>
      </c>
      <c r="DO102" s="97" t="str">
        <f t="shared" si="25"/>
        <v/>
      </c>
      <c r="DP102" s="97">
        <f t="shared" si="25"/>
        <v>1.0270591740837887E-2</v>
      </c>
      <c r="DQ102" s="97">
        <f t="shared" si="25"/>
        <v>-0.21168342695533712</v>
      </c>
      <c r="DR102" s="97">
        <f t="shared" si="25"/>
        <v>-3.2309444785976867E-2</v>
      </c>
      <c r="DS102" s="97">
        <f t="shared" si="25"/>
        <v>1.3759168542850416E-2</v>
      </c>
      <c r="DT102" s="97" t="str">
        <f t="shared" si="25"/>
        <v/>
      </c>
      <c r="DU102" s="97">
        <f t="shared" si="25"/>
        <v>0.18332332716788158</v>
      </c>
      <c r="DV102" s="97" t="str">
        <f t="shared" si="25"/>
        <v/>
      </c>
      <c r="DW102" s="97">
        <f t="shared" si="25"/>
        <v>9.8566210265776763E-2</v>
      </c>
      <c r="DX102" s="97">
        <f t="shared" si="25"/>
        <v>9.5884827426626851E-2</v>
      </c>
      <c r="DY102" s="97">
        <f t="shared" si="25"/>
        <v>1.4607346386700026E-2</v>
      </c>
      <c r="DZ102" s="97">
        <f t="shared" si="24"/>
        <v>-7.4775980739457792E-2</v>
      </c>
      <c r="EA102" s="97">
        <f t="shared" si="24"/>
        <v>4.8695845715179376E-2</v>
      </c>
      <c r="EB102" s="97">
        <f t="shared" si="24"/>
        <v>0.57020357484398576</v>
      </c>
      <c r="EC102" s="97">
        <f t="shared" si="24"/>
        <v>0.85582972377929001</v>
      </c>
      <c r="ED102" s="97">
        <f t="shared" si="24"/>
        <v>-6.4232145318723677E-2</v>
      </c>
      <c r="EE102" s="97">
        <f t="shared" si="24"/>
        <v>-5.9629735680169271E-2</v>
      </c>
      <c r="EF102" s="97">
        <f t="shared" si="24"/>
        <v>9.1197850526727242E-2</v>
      </c>
      <c r="EG102" s="97">
        <f t="shared" si="24"/>
        <v>-5.4398966449400121E-2</v>
      </c>
      <c r="EH102" s="97">
        <f t="shared" si="24"/>
        <v>-9.8534194278895426E-2</v>
      </c>
      <c r="EI102" s="97">
        <f t="shared" si="24"/>
        <v>-3.3769181759882083E-2</v>
      </c>
      <c r="EJ102" s="97">
        <f t="shared" si="24"/>
        <v>0.11875832402132326</v>
      </c>
      <c r="EK102" s="97">
        <f t="shared" si="24"/>
        <v>0.70416247211203831</v>
      </c>
      <c r="EL102" s="97">
        <f t="shared" si="24"/>
        <v>0.38287333180449329</v>
      </c>
      <c r="EM102" s="97">
        <f t="shared" si="24"/>
        <v>-0.62984056189099558</v>
      </c>
      <c r="EN102" s="97">
        <f t="shared" si="24"/>
        <v>5.4757796908313727E-2</v>
      </c>
      <c r="EO102" s="97">
        <f t="shared" si="24"/>
        <v>-2.1811553861987413E-2</v>
      </c>
    </row>
    <row r="103" spans="1:145" outlineLevel="1" x14ac:dyDescent="0.25">
      <c r="A103">
        <v>2023</v>
      </c>
      <c r="B103">
        <v>5</v>
      </c>
      <c r="C103" s="97">
        <f t="shared" si="26"/>
        <v>8.6286631005805204E-4</v>
      </c>
      <c r="D103" s="97">
        <f t="shared" si="26"/>
        <v>0</v>
      </c>
      <c r="E103" s="97">
        <f t="shared" si="26"/>
        <v>-6.4495672275993621E-2</v>
      </c>
      <c r="F103" s="97">
        <f t="shared" si="26"/>
        <v>-0.24032801108560173</v>
      </c>
      <c r="G103" s="97" t="str">
        <f t="shared" si="26"/>
        <v/>
      </c>
      <c r="H103" s="97">
        <f t="shared" si="26"/>
        <v>0.28245512229880898</v>
      </c>
      <c r="I103" s="97">
        <f t="shared" si="26"/>
        <v>-0.13438706789379473</v>
      </c>
      <c r="J103" s="97">
        <f t="shared" si="26"/>
        <v>0.23667167202123335</v>
      </c>
      <c r="K103" s="97">
        <f t="shared" si="26"/>
        <v>0.20868196808372816</v>
      </c>
      <c r="L103" s="97">
        <f t="shared" si="26"/>
        <v>-0.22978066233716743</v>
      </c>
      <c r="M103" s="97">
        <f t="shared" si="26"/>
        <v>0.19295935422321267</v>
      </c>
      <c r="N103" s="97" t="str">
        <f t="shared" si="26"/>
        <v/>
      </c>
      <c r="O103" s="97">
        <f t="shared" si="26"/>
        <v>-0.28910358354823096</v>
      </c>
      <c r="P103" s="97">
        <f t="shared" si="26"/>
        <v>0.72012733193803191</v>
      </c>
      <c r="Q103" s="97">
        <f t="shared" si="26"/>
        <v>9.195225639549931E-2</v>
      </c>
      <c r="R103" s="97">
        <f t="shared" si="26"/>
        <v>-0.17086505447025485</v>
      </c>
      <c r="S103" s="97">
        <f t="shared" si="26"/>
        <v>-1.4690022090683262E-2</v>
      </c>
      <c r="T103" s="97">
        <f t="shared" si="26"/>
        <v>0.14506706160187255</v>
      </c>
      <c r="U103" s="97">
        <f t="shared" si="26"/>
        <v>-1.0921723858255405E-2</v>
      </c>
      <c r="V103" s="97">
        <f t="shared" si="26"/>
        <v>0.31781162041928973</v>
      </c>
      <c r="W103" s="97">
        <f t="shared" si="26"/>
        <v>0.21643022116163865</v>
      </c>
      <c r="X103" s="97">
        <f t="shared" si="26"/>
        <v>2.7702068349640951E-2</v>
      </c>
      <c r="Y103" s="97">
        <f t="shared" si="26"/>
        <v>-0.29311496720455316</v>
      </c>
      <c r="Z103" s="97">
        <f t="shared" si="26"/>
        <v>-0.20714309558536803</v>
      </c>
      <c r="AA103" s="97" t="str">
        <f t="shared" si="26"/>
        <v/>
      </c>
      <c r="AB103" s="97">
        <f t="shared" si="26"/>
        <v>-3.8648727807683469E-2</v>
      </c>
      <c r="AC103" s="97">
        <f t="shared" si="26"/>
        <v>-0.15700403907070143</v>
      </c>
      <c r="AD103" s="97">
        <f t="shared" si="26"/>
        <v>5.5678259470909985E-2</v>
      </c>
      <c r="AE103" s="97">
        <f t="shared" si="26"/>
        <v>-0.24661040793403635</v>
      </c>
      <c r="AF103" s="97">
        <f t="shared" si="26"/>
        <v>0.14793212818153337</v>
      </c>
      <c r="AG103" s="97">
        <f t="shared" si="26"/>
        <v>-0.16116067248430074</v>
      </c>
      <c r="AH103" s="97">
        <f t="shared" si="26"/>
        <v>6.5553665616175927E-2</v>
      </c>
      <c r="AI103" s="97">
        <f t="shared" si="26"/>
        <v>0.21478978128072246</v>
      </c>
      <c r="AJ103" s="97">
        <f t="shared" si="26"/>
        <v>0.49340729248634885</v>
      </c>
      <c r="AK103" s="97">
        <f t="shared" si="26"/>
        <v>-0.13278552314140943</v>
      </c>
      <c r="AL103" s="97">
        <f t="shared" si="26"/>
        <v>-5.5321808265548333E-2</v>
      </c>
      <c r="AM103" s="97">
        <f t="shared" si="26"/>
        <v>3.8856588451734897E-2</v>
      </c>
      <c r="AN103" s="97">
        <f t="shared" si="26"/>
        <v>-5.8475487299115669E-2</v>
      </c>
      <c r="AO103" s="97">
        <f t="shared" si="26"/>
        <v>-6.2232797240636024E-2</v>
      </c>
      <c r="AP103" s="97">
        <f t="shared" si="26"/>
        <v>-3.0069054550577842E-2</v>
      </c>
      <c r="AQ103" s="97" t="str">
        <f t="shared" si="26"/>
        <v/>
      </c>
      <c r="AR103" s="97">
        <f t="shared" si="26"/>
        <v>-0.20375326507689345</v>
      </c>
      <c r="AS103" s="97">
        <f t="shared" si="26"/>
        <v>5.5948227460419941E-2</v>
      </c>
      <c r="AT103" s="97">
        <f t="shared" si="26"/>
        <v>6.2467349231065689E-3</v>
      </c>
      <c r="AU103" s="97">
        <f t="shared" si="26"/>
        <v>-0.31300181999018817</v>
      </c>
      <c r="AV103" s="97">
        <f t="shared" si="26"/>
        <v>0.46053244920882097</v>
      </c>
      <c r="AW103" s="97">
        <f t="shared" si="26"/>
        <v>-0.14314080467562623</v>
      </c>
      <c r="AX103" s="97">
        <f t="shared" si="26"/>
        <v>-4.261881129538081E-2</v>
      </c>
      <c r="AY103" s="97">
        <f t="shared" si="26"/>
        <v>1.2841139403397275</v>
      </c>
      <c r="AZ103" s="97">
        <f t="shared" si="26"/>
        <v>3.1715842474594032E-2</v>
      </c>
      <c r="BA103" s="97">
        <f t="shared" si="26"/>
        <v>2.6549765226136838E-2</v>
      </c>
      <c r="BB103" s="97">
        <f t="shared" si="26"/>
        <v>8.7155825832197387E-2</v>
      </c>
      <c r="BC103" s="97">
        <f t="shared" si="26"/>
        <v>-0.11898618267629635</v>
      </c>
      <c r="BD103" s="97">
        <f t="shared" si="26"/>
        <v>0.15018060037350556</v>
      </c>
      <c r="BE103" s="97">
        <f t="shared" si="26"/>
        <v>-0.46991867861072817</v>
      </c>
      <c r="BF103" s="97">
        <f t="shared" si="26"/>
        <v>-4.037746889854954E-2</v>
      </c>
      <c r="BG103" s="97">
        <f t="shared" si="26"/>
        <v>8.4246734923106636E-2</v>
      </c>
      <c r="BH103" s="97">
        <f t="shared" si="26"/>
        <v>0.32958006825643987</v>
      </c>
      <c r="BI103" s="97" t="str">
        <f t="shared" si="26"/>
        <v/>
      </c>
      <c r="BJ103" s="97">
        <f t="shared" si="26"/>
        <v>-0.31360229455209115</v>
      </c>
      <c r="BK103" s="97">
        <f t="shared" si="26"/>
        <v>-8.4678120568222881E-2</v>
      </c>
      <c r="BL103" s="97">
        <f t="shared" si="26"/>
        <v>6.8827380084396816E-2</v>
      </c>
      <c r="BM103" s="97">
        <f t="shared" si="26"/>
        <v>-0.25623047474792005</v>
      </c>
      <c r="BN103" s="97" t="str">
        <f t="shared" si="26"/>
        <v/>
      </c>
      <c r="BO103" s="97">
        <f t="shared" si="25"/>
        <v>-0.16317355493196595</v>
      </c>
      <c r="BP103" s="97">
        <f t="shared" si="25"/>
        <v>0.17325403419317945</v>
      </c>
      <c r="BQ103" s="97">
        <f t="shared" si="25"/>
        <v>0.14628936066905715</v>
      </c>
      <c r="BR103" s="97">
        <f t="shared" si="25"/>
        <v>-0.25131661790340426</v>
      </c>
      <c r="BS103" s="97">
        <f t="shared" si="25"/>
        <v>-4.8322854779226494E-2</v>
      </c>
      <c r="BT103" s="97">
        <f t="shared" si="25"/>
        <v>-2.0847282170910583E-2</v>
      </c>
      <c r="BU103" s="97" t="str">
        <f t="shared" si="25"/>
        <v/>
      </c>
      <c r="BV103" s="97">
        <f t="shared" si="25"/>
        <v>0.32704064029600155</v>
      </c>
      <c r="BW103" s="97">
        <f t="shared" si="25"/>
        <v>-9.1387635405077439E-2</v>
      </c>
      <c r="BX103" s="97">
        <f t="shared" si="25"/>
        <v>-4.9347177137096909E-2</v>
      </c>
      <c r="BY103" s="97" t="str">
        <f t="shared" si="25"/>
        <v/>
      </c>
      <c r="BZ103" s="97">
        <f t="shared" si="25"/>
        <v>-0.53303254435617275</v>
      </c>
      <c r="CA103" s="97">
        <f t="shared" si="25"/>
        <v>-0.64834656651230005</v>
      </c>
      <c r="CB103" s="97">
        <f t="shared" si="25"/>
        <v>-8.5875072542512254E-2</v>
      </c>
      <c r="CC103" s="97">
        <f t="shared" si="25"/>
        <v>8.3947222518373277E-2</v>
      </c>
      <c r="CD103" s="97">
        <f t="shared" si="25"/>
        <v>4.3758047140301182E-2</v>
      </c>
      <c r="CE103" s="97">
        <f t="shared" si="25"/>
        <v>0.20638086309002146</v>
      </c>
      <c r="CF103" s="97">
        <f t="shared" si="25"/>
        <v>6.7080068256439862E-2</v>
      </c>
      <c r="CG103" s="97" t="str">
        <f t="shared" si="25"/>
        <v/>
      </c>
      <c r="CH103" s="97" t="str">
        <f t="shared" si="25"/>
        <v/>
      </c>
      <c r="CI103" s="97" t="str">
        <f t="shared" si="25"/>
        <v/>
      </c>
      <c r="CJ103" s="97">
        <f t="shared" si="25"/>
        <v>-4.7574199974802174E-2</v>
      </c>
      <c r="CK103" s="97">
        <f t="shared" si="25"/>
        <v>-0.43862283029428473</v>
      </c>
      <c r="CL103" s="97">
        <f t="shared" si="25"/>
        <v>-0.23265131106918385</v>
      </c>
      <c r="CM103" s="97" t="str">
        <f t="shared" si="25"/>
        <v/>
      </c>
      <c r="CN103" s="97">
        <f t="shared" si="25"/>
        <v>0.20065141489557717</v>
      </c>
      <c r="CO103" s="97">
        <f t="shared" si="25"/>
        <v>-0.15120071252434084</v>
      </c>
      <c r="CP103" s="97">
        <f t="shared" si="25"/>
        <v>2.4579150473300611E-3</v>
      </c>
      <c r="CQ103" s="97">
        <f t="shared" si="25"/>
        <v>2.8504799439235555E-2</v>
      </c>
      <c r="CR103" s="97">
        <f t="shared" si="25"/>
        <v>-0.20594112743004656</v>
      </c>
      <c r="CS103" s="97">
        <f t="shared" si="25"/>
        <v>6.5212252164486006E-2</v>
      </c>
      <c r="CT103" s="97">
        <f t="shared" si="25"/>
        <v>-0.27275911303010986</v>
      </c>
      <c r="CU103" s="97">
        <f t="shared" si="25"/>
        <v>0.77598241774248988</v>
      </c>
      <c r="CV103" s="97">
        <f t="shared" si="25"/>
        <v>-0.14899629427322506</v>
      </c>
      <c r="CW103" s="97">
        <f t="shared" si="25"/>
        <v>-7.3637874210649379E-2</v>
      </c>
      <c r="CX103" s="97">
        <f t="shared" si="25"/>
        <v>-0.16442419864564203</v>
      </c>
      <c r="CY103" s="97">
        <f t="shared" si="25"/>
        <v>-1.9626280949909262E-2</v>
      </c>
      <c r="CZ103" s="97">
        <f t="shared" si="25"/>
        <v>-1.5459407280798202E-2</v>
      </c>
      <c r="DA103" s="97">
        <f t="shared" si="25"/>
        <v>9.5312155483854299E-2</v>
      </c>
      <c r="DB103" s="97">
        <f t="shared" si="25"/>
        <v>-0.23808954826273424</v>
      </c>
      <c r="DC103" s="97">
        <f t="shared" si="25"/>
        <v>-0.14438125055552545</v>
      </c>
      <c r="DD103" s="97">
        <f t="shared" si="25"/>
        <v>0.26158006825643998</v>
      </c>
      <c r="DE103" s="97">
        <f t="shared" si="25"/>
        <v>-0.46189279996061433</v>
      </c>
      <c r="DF103" s="97">
        <f t="shared" si="25"/>
        <v>-7.5094355095264631E-2</v>
      </c>
      <c r="DG103" s="97">
        <f t="shared" si="25"/>
        <v>-0.13566815869391463</v>
      </c>
      <c r="DH103" s="97" t="str">
        <f t="shared" si="25"/>
        <v/>
      </c>
      <c r="DI103" s="97">
        <f t="shared" si="25"/>
        <v>0.12323086190723356</v>
      </c>
      <c r="DJ103" s="97">
        <f t="shared" si="25"/>
        <v>-0.11178246215718535</v>
      </c>
      <c r="DK103" s="97">
        <f t="shared" si="25"/>
        <v>-2.5717089366299021E-2</v>
      </c>
      <c r="DL103" s="97">
        <f t="shared" si="25"/>
        <v>-0.18193006065700393</v>
      </c>
      <c r="DM103" s="97">
        <f t="shared" si="25"/>
        <v>7.3325842428177523E-2</v>
      </c>
      <c r="DN103" s="97">
        <f t="shared" si="25"/>
        <v>-0.21010247142609975</v>
      </c>
      <c r="DO103" s="97" t="str">
        <f t="shared" si="25"/>
        <v/>
      </c>
      <c r="DP103" s="97">
        <f t="shared" si="25"/>
        <v>3.3175907780957026E-2</v>
      </c>
      <c r="DQ103" s="97">
        <f t="shared" si="25"/>
        <v>-3.7532650768934421E-3</v>
      </c>
      <c r="DR103" s="97">
        <f t="shared" si="25"/>
        <v>1.912978880900762E-2</v>
      </c>
      <c r="DS103" s="97">
        <f t="shared" si="25"/>
        <v>-0.10467567419246585</v>
      </c>
      <c r="DT103" s="97" t="str">
        <f t="shared" si="25"/>
        <v/>
      </c>
      <c r="DU103" s="97">
        <f t="shared" si="25"/>
        <v>0.11890089041908516</v>
      </c>
      <c r="DV103" s="97" t="str">
        <f t="shared" si="25"/>
        <v/>
      </c>
      <c r="DW103" s="97">
        <f t="shared" si="25"/>
        <v>-0.19072644515352183</v>
      </c>
      <c r="DX103" s="97">
        <f t="shared" si="25"/>
        <v>5.3641878410965127E-2</v>
      </c>
      <c r="DY103" s="97">
        <f t="shared" si="25"/>
        <v>0.48281389910221084</v>
      </c>
      <c r="DZ103" s="97">
        <f t="shared" si="24"/>
        <v>-0.29311496720455316</v>
      </c>
      <c r="EA103" s="97">
        <f t="shared" si="24"/>
        <v>-4.2427298226064614E-2</v>
      </c>
      <c r="EB103" s="97">
        <f t="shared" si="24"/>
        <v>1.3638039270932548E-2</v>
      </c>
      <c r="EC103" s="97">
        <f t="shared" si="24"/>
        <v>-0.37584628833270733</v>
      </c>
      <c r="ED103" s="97">
        <f t="shared" si="24"/>
        <v>-2.3889214801146363E-2</v>
      </c>
      <c r="EE103" s="97">
        <f t="shared" si="24"/>
        <v>0.16856311910389765</v>
      </c>
      <c r="EF103" s="97">
        <f t="shared" si="24"/>
        <v>-0.22422570602177533</v>
      </c>
      <c r="EG103" s="97">
        <f t="shared" si="24"/>
        <v>-8.4790542224381316E-2</v>
      </c>
      <c r="EH103" s="97">
        <f t="shared" si="24"/>
        <v>0.10096172436716015</v>
      </c>
      <c r="EI103" s="97">
        <f t="shared" si="24"/>
        <v>-1.0315329314815047E-2</v>
      </c>
      <c r="EJ103" s="97">
        <f t="shared" si="24"/>
        <v>-8.6997945927957288E-2</v>
      </c>
      <c r="EK103" s="97">
        <f t="shared" si="24"/>
        <v>0.19206422541740314</v>
      </c>
      <c r="EL103" s="97">
        <f t="shared" si="24"/>
        <v>0.12899009775496517</v>
      </c>
      <c r="EM103" s="97">
        <f t="shared" si="24"/>
        <v>-0.42448497239396665</v>
      </c>
      <c r="EN103" s="97">
        <f t="shared" si="24"/>
        <v>-7.6401058943822098E-2</v>
      </c>
      <c r="EO103" s="97">
        <f t="shared" si="24"/>
        <v>-7.0419931743560205E-2</v>
      </c>
    </row>
    <row r="104" spans="1:145" outlineLevel="1" x14ac:dyDescent="0.25">
      <c r="A104">
        <v>2023</v>
      </c>
      <c r="B104">
        <v>6</v>
      </c>
      <c r="C104" s="97">
        <f t="shared" si="26"/>
        <v>6.0213980116390786E-2</v>
      </c>
      <c r="D104" s="97">
        <f t="shared" si="26"/>
        <v>0</v>
      </c>
      <c r="E104" s="97">
        <f t="shared" si="26"/>
        <v>0.23731587483190775</v>
      </c>
      <c r="F104" s="97">
        <f t="shared" si="26"/>
        <v>-0.21296531184416967</v>
      </c>
      <c r="G104" s="97" t="str">
        <f t="shared" si="26"/>
        <v/>
      </c>
      <c r="H104" s="97">
        <f t="shared" si="26"/>
        <v>-0.12224735165629216</v>
      </c>
      <c r="I104" s="97">
        <f t="shared" si="26"/>
        <v>-0.13096724301502297</v>
      </c>
      <c r="J104" s="97">
        <f t="shared" si="26"/>
        <v>0.29064424176268466</v>
      </c>
      <c r="K104" s="97">
        <f t="shared" si="26"/>
        <v>0.32018603195356216</v>
      </c>
      <c r="L104" s="97">
        <f t="shared" si="26"/>
        <v>3.5222716016794837E-2</v>
      </c>
      <c r="M104" s="97">
        <f t="shared" si="26"/>
        <v>0.18791189148270004</v>
      </c>
      <c r="N104" s="97" t="str">
        <f t="shared" si="26"/>
        <v/>
      </c>
      <c r="O104" s="97">
        <f t="shared" si="26"/>
        <v>0.51055122231875227</v>
      </c>
      <c r="P104" s="97">
        <f t="shared" si="26"/>
        <v>-0.29031457854704867</v>
      </c>
      <c r="Q104" s="97">
        <f t="shared" si="26"/>
        <v>0.10962143169131333</v>
      </c>
      <c r="R104" s="97">
        <f t="shared" si="26"/>
        <v>0.13236718311776394</v>
      </c>
      <c r="S104" s="97">
        <f t="shared" si="26"/>
        <v>-2.6772159096859474E-3</v>
      </c>
      <c r="T104" s="97">
        <f t="shared" si="26"/>
        <v>-0.14836016645045635</v>
      </c>
      <c r="U104" s="97">
        <f t="shared" si="26"/>
        <v>6.0381656625720925E-2</v>
      </c>
      <c r="V104" s="97">
        <f t="shared" si="26"/>
        <v>0.18529140391813972</v>
      </c>
      <c r="W104" s="97">
        <f t="shared" si="26"/>
        <v>-6.7256934436772942E-2</v>
      </c>
      <c r="X104" s="97">
        <f t="shared" si="26"/>
        <v>-3.0623605383589655E-2</v>
      </c>
      <c r="Y104" s="97">
        <f t="shared" si="26"/>
        <v>-4.6516460497433416E-2</v>
      </c>
      <c r="Z104" s="97">
        <f t="shared" si="26"/>
        <v>0.10178268589064143</v>
      </c>
      <c r="AA104" s="97" t="str">
        <f t="shared" si="26"/>
        <v/>
      </c>
      <c r="AB104" s="97">
        <f t="shared" si="26"/>
        <v>-1.2204906656768433E-2</v>
      </c>
      <c r="AC104" s="97">
        <f t="shared" si="26"/>
        <v>0.23123151703926645</v>
      </c>
      <c r="AD104" s="97">
        <f t="shared" si="26"/>
        <v>-2.6551512344958006E-2</v>
      </c>
      <c r="AE104" s="97">
        <f t="shared" si="26"/>
        <v>-0.11466318591452376</v>
      </c>
      <c r="AF104" s="97">
        <f t="shared" si="26"/>
        <v>-0.11191736600349446</v>
      </c>
      <c r="AG104" s="97">
        <f t="shared" si="26"/>
        <v>1.7377729145259035E-2</v>
      </c>
      <c r="AH104" s="97">
        <f t="shared" si="26"/>
        <v>3.2436744204274115E-2</v>
      </c>
      <c r="AI104" s="97">
        <f t="shared" si="26"/>
        <v>0.20735622890636754</v>
      </c>
      <c r="AJ104" s="97">
        <f t="shared" si="26"/>
        <v>0.83448016693735227</v>
      </c>
      <c r="AK104" s="97">
        <f t="shared" si="26"/>
        <v>0.10188118864871853</v>
      </c>
      <c r="AL104" s="97">
        <f t="shared" si="26"/>
        <v>-3.0880310956913345E-2</v>
      </c>
      <c r="AM104" s="97">
        <f t="shared" si="26"/>
        <v>-5.7388713437275363E-2</v>
      </c>
      <c r="AN104" s="97">
        <f t="shared" si="26"/>
        <v>-2.2494259506000698E-3</v>
      </c>
      <c r="AO104" s="97">
        <f t="shared" si="26"/>
        <v>-9.1556814571893352E-2</v>
      </c>
      <c r="AP104" s="97">
        <f t="shared" si="26"/>
        <v>-0.18027596850843858</v>
      </c>
      <c r="AQ104" s="97" t="str">
        <f t="shared" si="26"/>
        <v/>
      </c>
      <c r="AR104" s="97">
        <f t="shared" si="26"/>
        <v>2.9882465787926853E-2</v>
      </c>
      <c r="AS104" s="97">
        <f t="shared" si="26"/>
        <v>5.8779988857377896E-2</v>
      </c>
      <c r="AT104" s="97">
        <f t="shared" si="26"/>
        <v>-0.10351118392187164</v>
      </c>
      <c r="AU104" s="97">
        <f t="shared" si="26"/>
        <v>0.32594364022163042</v>
      </c>
      <c r="AV104" s="97">
        <f t="shared" si="26"/>
        <v>-0.19972224405227518</v>
      </c>
      <c r="AW104" s="97">
        <f t="shared" si="26"/>
        <v>0.22975553538809604</v>
      </c>
      <c r="AX104" s="97">
        <f t="shared" si="26"/>
        <v>0.11070025361532454</v>
      </c>
      <c r="AY104" s="97">
        <f t="shared" si="26"/>
        <v>-0.20030435011199915</v>
      </c>
      <c r="AZ104" s="97">
        <f t="shared" si="26"/>
        <v>-0.20128537570569116</v>
      </c>
      <c r="BA104" s="97">
        <f t="shared" si="26"/>
        <v>1.7458530696648825E-2</v>
      </c>
      <c r="BB104" s="97">
        <f t="shared" si="26"/>
        <v>-0.12328716151963147</v>
      </c>
      <c r="BC104" s="97">
        <f t="shared" si="26"/>
        <v>-1.0624389218305108E-2</v>
      </c>
      <c r="BD104" s="97">
        <f t="shared" si="26"/>
        <v>-0.23879001615292098</v>
      </c>
      <c r="BE104" s="97">
        <f t="shared" si="26"/>
        <v>-0.17009325057924177</v>
      </c>
      <c r="BF104" s="97">
        <f t="shared" si="26"/>
        <v>0.43341623609285684</v>
      </c>
      <c r="BG104" s="97">
        <f t="shared" si="26"/>
        <v>0.20863500128488413</v>
      </c>
      <c r="BH104" s="97">
        <f t="shared" si="26"/>
        <v>5.4774707167237313E-2</v>
      </c>
      <c r="BI104" s="97" t="str">
        <f t="shared" si="26"/>
        <v/>
      </c>
      <c r="BJ104" s="97">
        <f t="shared" si="26"/>
        <v>8.9149707167237136E-2</v>
      </c>
      <c r="BK104" s="97">
        <f t="shared" si="26"/>
        <v>0.88219215999742562</v>
      </c>
      <c r="BL104" s="97">
        <f t="shared" si="26"/>
        <v>1.3039961649596865E-2</v>
      </c>
      <c r="BM104" s="97">
        <f t="shared" si="26"/>
        <v>4.9437156508003186E-3</v>
      </c>
      <c r="BN104" s="97" t="str">
        <f t="shared" si="26"/>
        <v/>
      </c>
      <c r="BO104" s="97">
        <f t="shared" si="25"/>
        <v>6.9882465787926895E-2</v>
      </c>
      <c r="BP104" s="97">
        <f t="shared" si="25"/>
        <v>1.2453970733128594E-2</v>
      </c>
      <c r="BQ104" s="97">
        <f t="shared" si="25"/>
        <v>-6.0938321001776985E-2</v>
      </c>
      <c r="BR104" s="97">
        <f t="shared" si="25"/>
        <v>0.11975203877345474</v>
      </c>
      <c r="BS104" s="97">
        <f t="shared" si="25"/>
        <v>6.1752014341369899E-2</v>
      </c>
      <c r="BT104" s="97">
        <f t="shared" si="25"/>
        <v>-7.4165510224067033E-2</v>
      </c>
      <c r="BU104" s="97" t="str">
        <f t="shared" si="25"/>
        <v/>
      </c>
      <c r="BV104" s="97">
        <f t="shared" si="25"/>
        <v>-0.22725771976858697</v>
      </c>
      <c r="BW104" s="97">
        <f t="shared" si="25"/>
        <v>-3.7293800947619242E-2</v>
      </c>
      <c r="BX104" s="97">
        <f t="shared" si="25"/>
        <v>6.2857546868562375E-2</v>
      </c>
      <c r="BY104" s="97" t="str">
        <f t="shared" si="25"/>
        <v/>
      </c>
      <c r="BZ104" s="97">
        <f t="shared" si="25"/>
        <v>-0.69699263733037053</v>
      </c>
      <c r="CA104" s="97">
        <f t="shared" si="25"/>
        <v>-2.1428510387959454E-2</v>
      </c>
      <c r="CB104" s="97">
        <f t="shared" si="25"/>
        <v>2.4223908080479136E-2</v>
      </c>
      <c r="CC104" s="97">
        <f t="shared" si="25"/>
        <v>8.7422203708134694E-2</v>
      </c>
      <c r="CD104" s="97">
        <f t="shared" si="25"/>
        <v>8.3952622933975762E-2</v>
      </c>
      <c r="CE104" s="97">
        <f t="shared" si="25"/>
        <v>-3.7851524359856392E-2</v>
      </c>
      <c r="CF104" s="97">
        <f t="shared" si="25"/>
        <v>0.59462149705050593</v>
      </c>
      <c r="CG104" s="97" t="str">
        <f t="shared" si="25"/>
        <v/>
      </c>
      <c r="CH104" s="97" t="str">
        <f t="shared" si="25"/>
        <v/>
      </c>
      <c r="CI104" s="97" t="str">
        <f t="shared" si="25"/>
        <v/>
      </c>
      <c r="CJ104" s="97">
        <f t="shared" si="25"/>
        <v>4.7525911384007635E-2</v>
      </c>
      <c r="CK104" s="97">
        <f t="shared" si="25"/>
        <v>0.15280853929525692</v>
      </c>
      <c r="CL104" s="97">
        <f t="shared" si="25"/>
        <v>-1.3047112346639578E-2</v>
      </c>
      <c r="CM104" s="97" t="str">
        <f t="shared" si="25"/>
        <v/>
      </c>
      <c r="CN104" s="97">
        <f t="shared" si="25"/>
        <v>-0.31388600711847714</v>
      </c>
      <c r="CO104" s="97">
        <f t="shared" si="25"/>
        <v>5.2109816360615069E-2</v>
      </c>
      <c r="CP104" s="97">
        <f t="shared" si="25"/>
        <v>0.10651081827834834</v>
      </c>
      <c r="CQ104" s="97">
        <f t="shared" si="25"/>
        <v>-0.19835029283276287</v>
      </c>
      <c r="CR104" s="97">
        <f t="shared" si="25"/>
        <v>6.863653403463732E-2</v>
      </c>
      <c r="CS104" s="97">
        <f t="shared" si="25"/>
        <v>-0.12718093799405317</v>
      </c>
      <c r="CT104" s="97">
        <f t="shared" si="25"/>
        <v>-2.0600292832762875E-2</v>
      </c>
      <c r="CU104" s="97">
        <f t="shared" si="25"/>
        <v>-0.11846167897137676</v>
      </c>
      <c r="CV104" s="97">
        <f t="shared" si="25"/>
        <v>3.4573975050098404E-2</v>
      </c>
      <c r="CW104" s="97">
        <f t="shared" si="25"/>
        <v>3.3841084067464333E-2</v>
      </c>
      <c r="CX104" s="97">
        <f t="shared" si="25"/>
        <v>4.9041568855378026E-2</v>
      </c>
      <c r="CY104" s="97">
        <f t="shared" si="25"/>
        <v>-0.20218093799405326</v>
      </c>
      <c r="CZ104" s="97">
        <f t="shared" si="25"/>
        <v>-3.9843877505773118E-2</v>
      </c>
      <c r="DA104" s="97">
        <f t="shared" si="25"/>
        <v>0.21308678199716913</v>
      </c>
      <c r="DB104" s="97">
        <f t="shared" si="25"/>
        <v>-0.16687491141806096</v>
      </c>
      <c r="DC104" s="97">
        <f t="shared" si="25"/>
        <v>6.6709409841350986E-2</v>
      </c>
      <c r="DD104" s="97">
        <f t="shared" si="25"/>
        <v>-0.23958448672106636</v>
      </c>
      <c r="DE104" s="97">
        <f t="shared" si="25"/>
        <v>-0.13335565763962998</v>
      </c>
      <c r="DF104" s="97">
        <f t="shared" si="25"/>
        <v>-2.2807421821296244E-2</v>
      </c>
      <c r="DG104" s="97">
        <f t="shared" si="25"/>
        <v>5.2036287358645525E-3</v>
      </c>
      <c r="DH104" s="97" t="str">
        <f t="shared" si="25"/>
        <v/>
      </c>
      <c r="DI104" s="97">
        <f t="shared" si="25"/>
        <v>-0.13840310973417128</v>
      </c>
      <c r="DJ104" s="97">
        <f t="shared" si="25"/>
        <v>-4.5516823110995253E-2</v>
      </c>
      <c r="DK104" s="97">
        <f t="shared" si="25"/>
        <v>7.5100279602287712E-2</v>
      </c>
      <c r="DL104" s="97">
        <f t="shared" si="25"/>
        <v>-6.8465839051250255E-2</v>
      </c>
      <c r="DM104" s="97">
        <f t="shared" si="25"/>
        <v>-4.5089935017320282E-2</v>
      </c>
      <c r="DN104" s="97">
        <f t="shared" si="25"/>
        <v>0.17539970716723732</v>
      </c>
      <c r="DO104" s="97" t="str">
        <f t="shared" si="25"/>
        <v/>
      </c>
      <c r="DP104" s="97">
        <f t="shared" si="25"/>
        <v>-0.10441114133961249</v>
      </c>
      <c r="DQ104" s="97">
        <f t="shared" si="25"/>
        <v>-5.5447750459881484E-2</v>
      </c>
      <c r="DR104" s="97">
        <f t="shared" si="25"/>
        <v>9.8492490672391839E-2</v>
      </c>
      <c r="DS104" s="97">
        <f t="shared" si="25"/>
        <v>-9.7539339302286199E-2</v>
      </c>
      <c r="DT104" s="97" t="str">
        <f t="shared" si="25"/>
        <v/>
      </c>
      <c r="DU104" s="97">
        <f t="shared" si="25"/>
        <v>7.420567731649097E-2</v>
      </c>
      <c r="DV104" s="97" t="str">
        <f t="shared" si="25"/>
        <v/>
      </c>
      <c r="DW104" s="97">
        <f t="shared" si="25"/>
        <v>-0.17990660763012375</v>
      </c>
      <c r="DX104" s="97">
        <f t="shared" si="25"/>
        <v>-4.2492748829525522E-4</v>
      </c>
      <c r="DY104" s="97">
        <f t="shared" si="25"/>
        <v>0.10985753849253843</v>
      </c>
      <c r="DZ104" s="97">
        <f t="shared" si="24"/>
        <v>-7.0468556305816721E-2</v>
      </c>
      <c r="EA104" s="97">
        <f t="shared" si="24"/>
        <v>-0.14253132731552157</v>
      </c>
      <c r="EB104" s="97">
        <f t="shared" si="24"/>
        <v>3.946715714245653E-3</v>
      </c>
      <c r="EC104" s="97">
        <f t="shared" si="24"/>
        <v>0.10188118864871853</v>
      </c>
      <c r="ED104" s="97">
        <f t="shared" si="24"/>
        <v>-0.15878877450815557</v>
      </c>
      <c r="EE104" s="97">
        <f t="shared" si="24"/>
        <v>-1.1829208495413579E-2</v>
      </c>
      <c r="EF104" s="97">
        <f t="shared" si="24"/>
        <v>0.19741990918743912</v>
      </c>
      <c r="EG104" s="97">
        <f t="shared" si="24"/>
        <v>1.3036391470587997E-2</v>
      </c>
      <c r="EH104" s="97">
        <f t="shared" si="24"/>
        <v>0.37137116849989105</v>
      </c>
      <c r="EI104" s="97">
        <f t="shared" si="24"/>
        <v>8.6117927481230039E-2</v>
      </c>
      <c r="EJ104" s="97">
        <f t="shared" si="24"/>
        <v>-5.3048218565283967E-2</v>
      </c>
      <c r="EK104" s="97">
        <f t="shared" si="24"/>
        <v>-0.35277199394564057</v>
      </c>
      <c r="EL104" s="97">
        <f t="shared" si="24"/>
        <v>1.8837207167237136E-2</v>
      </c>
      <c r="EM104" s="97">
        <f t="shared" si="24"/>
        <v>-0.26775818756960496</v>
      </c>
      <c r="EN104" s="97">
        <f t="shared" si="24"/>
        <v>5.1837757529994428E-2</v>
      </c>
      <c r="EO104" s="97">
        <f t="shared" si="24"/>
        <v>7.3044690719989971E-3</v>
      </c>
    </row>
    <row r="105" spans="1:145" outlineLevel="1" x14ac:dyDescent="0.25">
      <c r="A105">
        <v>2023</v>
      </c>
      <c r="B105">
        <v>7</v>
      </c>
      <c r="C105" s="97">
        <f t="shared" si="26"/>
        <v>2.8876695826464134E-2</v>
      </c>
      <c r="D105" s="97">
        <f t="shared" si="26"/>
        <v>0</v>
      </c>
      <c r="E105" s="97">
        <f t="shared" si="26"/>
        <v>-5.2072449184383807E-2</v>
      </c>
      <c r="F105" s="97">
        <f t="shared" si="26"/>
        <v>0.53793030204602754</v>
      </c>
      <c r="G105" s="97" t="str">
        <f t="shared" si="26"/>
        <v/>
      </c>
      <c r="H105" s="97">
        <f t="shared" si="26"/>
        <v>-0.10861834623172736</v>
      </c>
      <c r="I105" s="97">
        <f t="shared" si="26"/>
        <v>8.3301648469908507E-2</v>
      </c>
      <c r="J105" s="97">
        <f t="shared" si="26"/>
        <v>5.2172791173295652E-2</v>
      </c>
      <c r="K105" s="97">
        <f t="shared" si="26"/>
        <v>2.8401623046306439E-2</v>
      </c>
      <c r="L105" s="97">
        <f t="shared" si="26"/>
        <v>-8.4707505299609798E-2</v>
      </c>
      <c r="M105" s="97">
        <f t="shared" si="26"/>
        <v>-2.7635003609893127E-2</v>
      </c>
      <c r="N105" s="97" t="str">
        <f t="shared" si="26"/>
        <v/>
      </c>
      <c r="O105" s="97">
        <f t="shared" si="26"/>
        <v>-4.856232382276382E-2</v>
      </c>
      <c r="P105" s="97">
        <f t="shared" si="26"/>
        <v>0.32341628580290482</v>
      </c>
      <c r="Q105" s="97">
        <f t="shared" si="26"/>
        <v>-3.4007195238666799E-2</v>
      </c>
      <c r="R105" s="97">
        <f t="shared" si="26"/>
        <v>-7.8854503336420745E-3</v>
      </c>
      <c r="S105" s="97">
        <f t="shared" si="26"/>
        <v>3.8211017163578553E-3</v>
      </c>
      <c r="T105" s="97">
        <f t="shared" si="26"/>
        <v>4.5959056685159094E-2</v>
      </c>
      <c r="U105" s="97">
        <f t="shared" si="26"/>
        <v>-1.4025932995246349E-2</v>
      </c>
      <c r="V105" s="97">
        <f t="shared" si="26"/>
        <v>-0.14827391719797786</v>
      </c>
      <c r="W105" s="97">
        <f t="shared" si="26"/>
        <v>-8.6744142004581914E-2</v>
      </c>
      <c r="X105" s="97">
        <f t="shared" si="26"/>
        <v>8.8127972668780252E-2</v>
      </c>
      <c r="Y105" s="97">
        <f t="shared" si="26"/>
        <v>0.12739355853017734</v>
      </c>
      <c r="Z105" s="97">
        <f t="shared" si="26"/>
        <v>0.12498971237633125</v>
      </c>
      <c r="AA105" s="97" t="str">
        <f t="shared" si="26"/>
        <v/>
      </c>
      <c r="AB105" s="97">
        <f t="shared" si="26"/>
        <v>-2.2639653519238797E-2</v>
      </c>
      <c r="AC105" s="97">
        <f t="shared" si="26"/>
        <v>5.0192981751480126E-3</v>
      </c>
      <c r="AD105" s="97">
        <f t="shared" si="26"/>
        <v>-0.13103848635760307</v>
      </c>
      <c r="AE105" s="97">
        <f t="shared" si="26"/>
        <v>0.17282200375985934</v>
      </c>
      <c r="AF105" s="97">
        <f t="shared" si="26"/>
        <v>-9.6752616333210639E-2</v>
      </c>
      <c r="AG105" s="97">
        <f t="shared" si="26"/>
        <v>-0.44364138770638167</v>
      </c>
      <c r="AH105" s="97">
        <f t="shared" si="26"/>
        <v>4.0786415673034419E-2</v>
      </c>
      <c r="AI105" s="97">
        <f t="shared" si="26"/>
        <v>9.5964733283837624E-3</v>
      </c>
      <c r="AJ105" s="97">
        <f t="shared" si="26"/>
        <v>-0.31635644146982256</v>
      </c>
      <c r="AK105" s="97">
        <f t="shared" si="26"/>
        <v>0.10911426982724844</v>
      </c>
      <c r="AL105" s="97">
        <f t="shared" si="26"/>
        <v>5.5240813067171539E-2</v>
      </c>
      <c r="AM105" s="97">
        <f t="shared" si="26"/>
        <v>0.14131209785602003</v>
      </c>
      <c r="AN105" s="97">
        <f t="shared" si="26"/>
        <v>-5.8679074128866748E-2</v>
      </c>
      <c r="AO105" s="97">
        <f t="shared" si="26"/>
        <v>3.0157163972354351E-2</v>
      </c>
      <c r="AP105" s="97">
        <f t="shared" si="26"/>
        <v>0.11089765689083335</v>
      </c>
      <c r="AQ105" s="97" t="str">
        <f t="shared" si="26"/>
        <v/>
      </c>
      <c r="AR105" s="97">
        <f t="shared" si="26"/>
        <v>-0.17893977480315595</v>
      </c>
      <c r="AS105" s="97">
        <f t="shared" si="26"/>
        <v>-0.44094253418505436</v>
      </c>
      <c r="AT105" s="97">
        <f t="shared" si="26"/>
        <v>-0.18339715128193115</v>
      </c>
      <c r="AU105" s="97">
        <f t="shared" si="26"/>
        <v>0.20998003651759875</v>
      </c>
      <c r="AV105" s="97">
        <f t="shared" si="26"/>
        <v>-0.31092714854052955</v>
      </c>
      <c r="AW105" s="97">
        <f t="shared" si="26"/>
        <v>0.19594475137311984</v>
      </c>
      <c r="AX105" s="97">
        <f t="shared" si="26"/>
        <v>-7.5879959353213011E-2</v>
      </c>
      <c r="AY105" s="97">
        <f t="shared" si="26"/>
        <v>-0.19376742069830905</v>
      </c>
      <c r="AZ105" s="97">
        <f t="shared" si="26"/>
        <v>0.37441040859895325</v>
      </c>
      <c r="BA105" s="97">
        <f t="shared" si="26"/>
        <v>0.12563996140787534</v>
      </c>
      <c r="BB105" s="97">
        <f t="shared" si="26"/>
        <v>-0.19583351883371947</v>
      </c>
      <c r="BC105" s="97">
        <f t="shared" si="26"/>
        <v>-2.2038259651640749E-2</v>
      </c>
      <c r="BD105" s="97">
        <f t="shared" si="26"/>
        <v>-6.3211280179499951E-2</v>
      </c>
      <c r="BE105" s="97">
        <f t="shared" si="26"/>
        <v>-0.10512226425463266</v>
      </c>
      <c r="BF105" s="97">
        <f t="shared" si="26"/>
        <v>0.43292516772557982</v>
      </c>
      <c r="BG105" s="97">
        <f t="shared" si="26"/>
        <v>0.15371931610593495</v>
      </c>
      <c r="BH105" s="97">
        <f t="shared" si="26"/>
        <v>0.10444528630093174</v>
      </c>
      <c r="BI105" s="97" t="str">
        <f t="shared" si="26"/>
        <v/>
      </c>
      <c r="BJ105" s="97">
        <f t="shared" si="26"/>
        <v>-0.24671358432696547</v>
      </c>
      <c r="BK105" s="97">
        <f t="shared" si="26"/>
        <v>-0.13385644146982256</v>
      </c>
      <c r="BL105" s="97">
        <f t="shared" si="26"/>
        <v>1.2586480442440262E-3</v>
      </c>
      <c r="BM105" s="97">
        <f t="shared" si="26"/>
        <v>0.15580742407639583</v>
      </c>
      <c r="BN105" s="97" t="str">
        <f t="shared" ref="BN105:DY109" si="27">IF(ISBLANK(BN42),"",BN42-$D42)</f>
        <v/>
      </c>
      <c r="BO105" s="97">
        <f t="shared" si="27"/>
        <v>5.5193622715029811E-2</v>
      </c>
      <c r="BP105" s="97">
        <f t="shared" si="25"/>
        <v>-0.21879546586006635</v>
      </c>
      <c r="BQ105" s="97">
        <f t="shared" si="25"/>
        <v>6.0558326794120987E-2</v>
      </c>
      <c r="BR105" s="97">
        <f t="shared" si="25"/>
        <v>-6.1605889352602805E-3</v>
      </c>
      <c r="BS105" s="97">
        <f t="shared" si="25"/>
        <v>-2.7229783225981689E-2</v>
      </c>
      <c r="BT105" s="97">
        <f t="shared" si="25"/>
        <v>-1.3202235862345924E-2</v>
      </c>
      <c r="BU105" s="97" t="str">
        <f t="shared" si="25"/>
        <v/>
      </c>
      <c r="BV105" s="97">
        <f t="shared" si="25"/>
        <v>0.25389549651467352</v>
      </c>
      <c r="BW105" s="97">
        <f t="shared" si="25"/>
        <v>4.8172275155167199E-2</v>
      </c>
      <c r="BX105" s="97">
        <f t="shared" si="25"/>
        <v>8.2868954505270712E-3</v>
      </c>
      <c r="BY105" s="97" t="str">
        <f t="shared" si="25"/>
        <v/>
      </c>
      <c r="BZ105" s="97">
        <f t="shared" si="25"/>
        <v>-7.680713364589975E-2</v>
      </c>
      <c r="CA105" s="97">
        <f t="shared" si="25"/>
        <v>0.13745534820565333</v>
      </c>
      <c r="CB105" s="97">
        <f t="shared" si="25"/>
        <v>-7.5562405408795996E-2</v>
      </c>
      <c r="CC105" s="97">
        <f t="shared" si="25"/>
        <v>-3.4625330198502113E-2</v>
      </c>
      <c r="CD105" s="97">
        <f t="shared" si="25"/>
        <v>-1.7745330358711509E-2</v>
      </c>
      <c r="CE105" s="97">
        <f t="shared" si="25"/>
        <v>-2.0416951023962678E-2</v>
      </c>
      <c r="CF105" s="97">
        <f t="shared" si="25"/>
        <v>-0.22040145363527275</v>
      </c>
      <c r="CG105" s="97" t="str">
        <f t="shared" si="25"/>
        <v/>
      </c>
      <c r="CH105" s="97" t="str">
        <f t="shared" si="25"/>
        <v/>
      </c>
      <c r="CI105" s="97" t="str">
        <f t="shared" si="25"/>
        <v/>
      </c>
      <c r="CJ105" s="97">
        <f t="shared" si="25"/>
        <v>-7.9599241560512901E-2</v>
      </c>
      <c r="CK105" s="97">
        <f t="shared" si="25"/>
        <v>-7.2854048489232381E-2</v>
      </c>
      <c r="CL105" s="97">
        <f t="shared" si="25"/>
        <v>-7.2354355238946289E-2</v>
      </c>
      <c r="CM105" s="97" t="str">
        <f t="shared" si="25"/>
        <v/>
      </c>
      <c r="CN105" s="97">
        <f t="shared" si="25"/>
        <v>-0.19703120879143585</v>
      </c>
      <c r="CO105" s="97">
        <f t="shared" si="25"/>
        <v>0.29614355853017743</v>
      </c>
      <c r="CP105" s="97">
        <f t="shared" si="25"/>
        <v>2.3921336307955343E-2</v>
      </c>
      <c r="CQ105" s="97">
        <f t="shared" si="25"/>
        <v>-0.12401148022951246</v>
      </c>
      <c r="CR105" s="97">
        <f t="shared" si="25"/>
        <v>5.2367526417610659E-2</v>
      </c>
      <c r="CS105" s="97">
        <f t="shared" si="25"/>
        <v>-0.20422408852864626</v>
      </c>
      <c r="CT105" s="97">
        <f t="shared" si="25"/>
        <v>-2.4181644721855137E-2</v>
      </c>
      <c r="CU105" s="97">
        <f t="shared" si="25"/>
        <v>-5.6929067168146608E-2</v>
      </c>
      <c r="CV105" s="97">
        <f t="shared" si="25"/>
        <v>5.3082484890705883E-2</v>
      </c>
      <c r="CW105" s="97">
        <f t="shared" si="25"/>
        <v>9.3400835999468912E-2</v>
      </c>
      <c r="CX105" s="97">
        <f t="shared" si="25"/>
        <v>-9.6693975784771347E-2</v>
      </c>
      <c r="CY105" s="97">
        <f t="shared" si="25"/>
        <v>-0.11943433091705856</v>
      </c>
      <c r="CZ105" s="97">
        <f t="shared" si="25"/>
        <v>-9.6259330974280966E-3</v>
      </c>
      <c r="DA105" s="97">
        <f t="shared" si="25"/>
        <v>5.8294396519004359E-2</v>
      </c>
      <c r="DB105" s="97">
        <f t="shared" si="25"/>
        <v>-1.9308980101169219E-2</v>
      </c>
      <c r="DC105" s="97">
        <f t="shared" si="25"/>
        <v>7.5379063885287589E-2</v>
      </c>
      <c r="DD105" s="97">
        <f t="shared" si="25"/>
        <v>-1.1016205331833011E-3</v>
      </c>
      <c r="DE105" s="97">
        <f t="shared" si="25"/>
        <v>0.9715130166582564</v>
      </c>
      <c r="DF105" s="97">
        <f t="shared" si="25"/>
        <v>-1.5050471320568918E-2</v>
      </c>
      <c r="DG105" s="97">
        <f t="shared" si="25"/>
        <v>3.4978509986488104E-2</v>
      </c>
      <c r="DH105" s="97" t="str">
        <f t="shared" si="25"/>
        <v/>
      </c>
      <c r="DI105" s="97">
        <f t="shared" si="25"/>
        <v>6.1184208936681639E-2</v>
      </c>
      <c r="DJ105" s="97">
        <f t="shared" si="25"/>
        <v>-0.19498272133330377</v>
      </c>
      <c r="DK105" s="97">
        <f t="shared" si="25"/>
        <v>-0.10744534848450436</v>
      </c>
      <c r="DL105" s="97">
        <f t="shared" si="25"/>
        <v>-2.1809762834275048E-2</v>
      </c>
      <c r="DM105" s="97">
        <f t="shared" si="25"/>
        <v>-0.17657479279465085</v>
      </c>
      <c r="DN105" s="97">
        <f t="shared" si="25"/>
        <v>-3.856441469822558E-3</v>
      </c>
      <c r="DO105" s="97" t="str">
        <f t="shared" si="25"/>
        <v/>
      </c>
      <c r="DP105" s="97">
        <f t="shared" si="25"/>
        <v>0.13276671463757414</v>
      </c>
      <c r="DQ105" s="97">
        <f t="shared" si="25"/>
        <v>-0.17349929861267976</v>
      </c>
      <c r="DR105" s="97">
        <f t="shared" si="25"/>
        <v>5.4893529227009186E-3</v>
      </c>
      <c r="DS105" s="97">
        <f t="shared" si="25"/>
        <v>1.7101642362512774E-2</v>
      </c>
      <c r="DT105" s="97" t="str">
        <f t="shared" si="25"/>
        <v/>
      </c>
      <c r="DU105" s="97">
        <f t="shared" si="25"/>
        <v>0.21418451038407893</v>
      </c>
      <c r="DV105" s="97" t="str">
        <f t="shared" si="25"/>
        <v/>
      </c>
      <c r="DW105" s="97">
        <f t="shared" si="25"/>
        <v>-0.17871358432696546</v>
      </c>
      <c r="DX105" s="97">
        <f t="shared" si="25"/>
        <v>0.47015603254265143</v>
      </c>
      <c r="DY105" s="97">
        <f t="shared" si="25"/>
        <v>-7.5928513541894671E-2</v>
      </c>
      <c r="DZ105" s="97">
        <f t="shared" si="24"/>
        <v>0.61793843032504903</v>
      </c>
      <c r="EA105" s="97">
        <f t="shared" si="24"/>
        <v>-3.7189774803155891E-2</v>
      </c>
      <c r="EB105" s="97">
        <f t="shared" si="24"/>
        <v>-0.12250050926643276</v>
      </c>
      <c r="EC105" s="97">
        <f t="shared" si="24"/>
        <v>-8.0405418882326662E-3</v>
      </c>
      <c r="ED105" s="97">
        <f t="shared" si="24"/>
        <v>-5.5233724044876698E-2</v>
      </c>
      <c r="EE105" s="97">
        <f t="shared" si="24"/>
        <v>-1.8419548265939167E-2</v>
      </c>
      <c r="EF105" s="97">
        <f t="shared" si="24"/>
        <v>5.4967087941942161E-2</v>
      </c>
      <c r="EG105" s="97">
        <f t="shared" si="24"/>
        <v>8.2752743014080626E-3</v>
      </c>
      <c r="EH105" s="97">
        <f t="shared" si="24"/>
        <v>-0.17978236739574846</v>
      </c>
      <c r="EI105" s="97">
        <f t="shared" si="24"/>
        <v>5.1253323859473454E-2</v>
      </c>
      <c r="EJ105" s="97">
        <f t="shared" si="24"/>
        <v>0.12571672926188485</v>
      </c>
      <c r="EK105" s="97">
        <f t="shared" si="24"/>
        <v>0.13028989999359225</v>
      </c>
      <c r="EL105" s="97">
        <f t="shared" si="24"/>
        <v>-7.6732353629523908E-3</v>
      </c>
      <c r="EM105" s="97">
        <f t="shared" si="24"/>
        <v>3.1857844244463251E-2</v>
      </c>
      <c r="EN105" s="97">
        <f t="shared" si="24"/>
        <v>9.0743471311908408E-2</v>
      </c>
      <c r="EO105" s="97">
        <f t="shared" si="24"/>
        <v>-4.69936963717833E-2</v>
      </c>
    </row>
    <row r="106" spans="1:145" outlineLevel="1" x14ac:dyDescent="0.25">
      <c r="A106">
        <v>2023</v>
      </c>
      <c r="B106">
        <v>8</v>
      </c>
      <c r="C106" s="97">
        <f t="shared" ref="C106:BN109" si="28">IF(ISBLANK(C43),"",C43-$D43)</f>
        <v>-2.1215180619770461E-2</v>
      </c>
      <c r="D106" s="97">
        <f t="shared" si="28"/>
        <v>0</v>
      </c>
      <c r="E106" s="97">
        <f t="shared" si="28"/>
        <v>-0.24711101070033448</v>
      </c>
      <c r="F106" s="97">
        <f t="shared" si="28"/>
        <v>-0.45916869517798331</v>
      </c>
      <c r="G106" s="97" t="str">
        <f t="shared" si="28"/>
        <v/>
      </c>
      <c r="H106" s="97">
        <f t="shared" si="28"/>
        <v>-0.50496308770134779</v>
      </c>
      <c r="I106" s="97">
        <f t="shared" si="28"/>
        <v>-8.556010262672098E-2</v>
      </c>
      <c r="J106" s="97">
        <f t="shared" si="28"/>
        <v>-0.12656466951054199</v>
      </c>
      <c r="K106" s="97">
        <f t="shared" si="28"/>
        <v>0.27316191229865222</v>
      </c>
      <c r="L106" s="97">
        <f t="shared" si="28"/>
        <v>0.28670357896531873</v>
      </c>
      <c r="M106" s="97">
        <f t="shared" si="28"/>
        <v>0.2203461416040757</v>
      </c>
      <c r="N106" s="97" t="str">
        <f t="shared" si="28"/>
        <v/>
      </c>
      <c r="O106" s="97">
        <f t="shared" si="28"/>
        <v>0.8472536610671253</v>
      </c>
      <c r="P106" s="97">
        <f t="shared" si="28"/>
        <v>-0.25610464021276341</v>
      </c>
      <c r="Q106" s="97">
        <f t="shared" si="28"/>
        <v>-2.0507129152125051E-2</v>
      </c>
      <c r="R106" s="97">
        <f t="shared" si="28"/>
        <v>0.13621814207211511</v>
      </c>
      <c r="S106" s="97">
        <f t="shared" si="28"/>
        <v>2.8846436108176172E-2</v>
      </c>
      <c r="T106" s="97">
        <f t="shared" si="28"/>
        <v>-0.42851317557481011</v>
      </c>
      <c r="U106" s="97">
        <f t="shared" si="28"/>
        <v>-0.24126445756436138</v>
      </c>
      <c r="V106" s="97">
        <f t="shared" si="28"/>
        <v>-4.6807059332553469E-2</v>
      </c>
      <c r="W106" s="97">
        <f t="shared" si="28"/>
        <v>-2.537125096665405E-2</v>
      </c>
      <c r="X106" s="97">
        <f t="shared" si="28"/>
        <v>2.472978855709496E-2</v>
      </c>
      <c r="Y106" s="97">
        <f t="shared" si="28"/>
        <v>-6.5736568364331283E-2</v>
      </c>
      <c r="Z106" s="97">
        <f t="shared" si="28"/>
        <v>-0.2673140246689798</v>
      </c>
      <c r="AA106" s="97" t="str">
        <f t="shared" si="28"/>
        <v/>
      </c>
      <c r="AB106" s="97">
        <f t="shared" si="28"/>
        <v>-1.3647101699253983E-2</v>
      </c>
      <c r="AC106" s="97">
        <f t="shared" si="28"/>
        <v>-0.28062291174826859</v>
      </c>
      <c r="AD106" s="97">
        <f t="shared" si="28"/>
        <v>-0.133505944844205</v>
      </c>
      <c r="AE106" s="97">
        <f t="shared" si="28"/>
        <v>-0.23319131592957609</v>
      </c>
      <c r="AF106" s="97">
        <f t="shared" si="28"/>
        <v>-7.1228147942311582E-2</v>
      </c>
      <c r="AG106" s="97">
        <f t="shared" si="28"/>
        <v>0.22747453226026451</v>
      </c>
      <c r="AH106" s="97">
        <f t="shared" si="28"/>
        <v>-0.22718530992356989</v>
      </c>
      <c r="AI106" s="97">
        <f t="shared" si="28"/>
        <v>-0.24832591955975489</v>
      </c>
      <c r="AJ106" s="97">
        <f t="shared" si="28"/>
        <v>-6.8599451337711503E-2</v>
      </c>
      <c r="AK106" s="97">
        <f t="shared" si="28"/>
        <v>0.12285646117083271</v>
      </c>
      <c r="AL106" s="97">
        <f t="shared" si="28"/>
        <v>2.403515482940799E-2</v>
      </c>
      <c r="AM106" s="97">
        <f t="shared" si="28"/>
        <v>0.27957380397840081</v>
      </c>
      <c r="AN106" s="97">
        <f t="shared" si="28"/>
        <v>-0.50868517206859343</v>
      </c>
      <c r="AO106" s="97">
        <f t="shared" si="28"/>
        <v>8.0563228088125882E-2</v>
      </c>
      <c r="AP106" s="97">
        <f t="shared" si="28"/>
        <v>-8.4148608063338681E-2</v>
      </c>
      <c r="AQ106" s="97" t="str">
        <f t="shared" si="28"/>
        <v/>
      </c>
      <c r="AR106" s="97">
        <f t="shared" si="28"/>
        <v>-8.3455864749534481E-2</v>
      </c>
      <c r="AS106" s="97">
        <f t="shared" si="28"/>
        <v>-9.9080734760171318E-2</v>
      </c>
      <c r="AT106" s="97">
        <f t="shared" si="28"/>
        <v>-8.8530785571978465E-2</v>
      </c>
      <c r="AU106" s="97">
        <f t="shared" si="28"/>
        <v>0.10384520245409282</v>
      </c>
      <c r="AV106" s="97">
        <f t="shared" si="28"/>
        <v>-0.11283480781796588</v>
      </c>
      <c r="AW106" s="97">
        <f t="shared" si="28"/>
        <v>5.8074176839049089E-3</v>
      </c>
      <c r="AX106" s="97">
        <f t="shared" si="28"/>
        <v>-0.1802534784088452</v>
      </c>
      <c r="AY106" s="97">
        <f t="shared" si="28"/>
        <v>-0.21375429649255659</v>
      </c>
      <c r="AZ106" s="97">
        <f t="shared" si="28"/>
        <v>-1.793713959755527E-2</v>
      </c>
      <c r="BA106" s="97">
        <f t="shared" si="28"/>
        <v>1.4145192553429279E-2</v>
      </c>
      <c r="BB106" s="97">
        <f t="shared" si="28"/>
        <v>0.59078159314971623</v>
      </c>
      <c r="BC106" s="97">
        <f t="shared" si="28"/>
        <v>-0.23891370498529849</v>
      </c>
      <c r="BD106" s="97">
        <f t="shared" si="28"/>
        <v>-0.14762426739956458</v>
      </c>
      <c r="BE106" s="97">
        <f t="shared" si="28"/>
        <v>-0.11763914403937599</v>
      </c>
      <c r="BF106" s="97">
        <f t="shared" si="28"/>
        <v>-0.2121630877013477</v>
      </c>
      <c r="BG106" s="97">
        <f t="shared" si="28"/>
        <v>0.44268089135624389</v>
      </c>
      <c r="BH106" s="97">
        <f t="shared" si="28"/>
        <v>-0.1965980686899409</v>
      </c>
      <c r="BI106" s="97" t="str">
        <f t="shared" si="28"/>
        <v/>
      </c>
      <c r="BJ106" s="97">
        <f t="shared" si="28"/>
        <v>-6.7856169462354066E-2</v>
      </c>
      <c r="BK106" s="97">
        <f t="shared" si="28"/>
        <v>-0.173545463180275</v>
      </c>
      <c r="BL106" s="97">
        <f t="shared" si="28"/>
        <v>1.991675397238701E-2</v>
      </c>
      <c r="BM106" s="97">
        <f t="shared" si="28"/>
        <v>-0.3179159862520724</v>
      </c>
      <c r="BN106" s="97" t="str">
        <f t="shared" si="28"/>
        <v/>
      </c>
      <c r="BO106" s="97">
        <f t="shared" si="27"/>
        <v>4.2915700177440057E-2</v>
      </c>
      <c r="BP106" s="97">
        <f t="shared" si="27"/>
        <v>-0.10399221391494018</v>
      </c>
      <c r="BQ106" s="97">
        <f t="shared" si="27"/>
        <v>-6.4003678107251938E-2</v>
      </c>
      <c r="BR106" s="97">
        <f t="shared" si="27"/>
        <v>-8.3485027655158417E-2</v>
      </c>
      <c r="BS106" s="97">
        <f t="shared" si="27"/>
        <v>-0.1071623115047113</v>
      </c>
      <c r="BT106" s="97">
        <f t="shared" si="27"/>
        <v>-0.1747744084560649</v>
      </c>
      <c r="BU106" s="97" t="str">
        <f t="shared" si="27"/>
        <v/>
      </c>
      <c r="BV106" s="97">
        <f t="shared" si="27"/>
        <v>-0.41174274871829697</v>
      </c>
      <c r="BW106" s="97">
        <f t="shared" si="27"/>
        <v>9.4254823661940268E-2</v>
      </c>
      <c r="BX106" s="97">
        <f t="shared" si="27"/>
        <v>-3.2974189793199771E-2</v>
      </c>
      <c r="BY106" s="97" t="str">
        <f t="shared" si="27"/>
        <v/>
      </c>
      <c r="BZ106" s="97">
        <f t="shared" si="27"/>
        <v>-0.16956040313758949</v>
      </c>
      <c r="CA106" s="97">
        <f t="shared" si="27"/>
        <v>0.25466498668377513</v>
      </c>
      <c r="CB106" s="97">
        <f t="shared" si="27"/>
        <v>-2.2294628116707241E-2</v>
      </c>
      <c r="CC106" s="97">
        <f t="shared" si="27"/>
        <v>0.21682543248513461</v>
      </c>
      <c r="CD106" s="97">
        <f t="shared" si="27"/>
        <v>-0.2101944760313276</v>
      </c>
      <c r="CE106" s="97">
        <f t="shared" si="27"/>
        <v>-0.11506671464435289</v>
      </c>
      <c r="CF106" s="97">
        <f t="shared" si="27"/>
        <v>7.5782253913558861E-2</v>
      </c>
      <c r="CG106" s="97" t="str">
        <f t="shared" si="27"/>
        <v/>
      </c>
      <c r="CH106" s="97" t="str">
        <f t="shared" si="27"/>
        <v/>
      </c>
      <c r="CI106" s="97" t="str">
        <f t="shared" si="27"/>
        <v/>
      </c>
      <c r="CJ106" s="97">
        <f t="shared" si="27"/>
        <v>1.6883918236238141E-2</v>
      </c>
      <c r="CK106" s="97">
        <f t="shared" si="27"/>
        <v>-0.18417199816829058</v>
      </c>
      <c r="CL106" s="97">
        <f t="shared" si="27"/>
        <v>0.10552590072717001</v>
      </c>
      <c r="CM106" s="97" t="str">
        <f t="shared" si="27"/>
        <v/>
      </c>
      <c r="CN106" s="97">
        <f t="shared" si="27"/>
        <v>-0.2484903883934779</v>
      </c>
      <c r="CO106" s="97">
        <f t="shared" si="27"/>
        <v>-0.18188616462442478</v>
      </c>
      <c r="CP106" s="97">
        <f t="shared" si="27"/>
        <v>-0.11847660121486139</v>
      </c>
      <c r="CQ106" s="97">
        <f t="shared" si="27"/>
        <v>-0.17236396875861659</v>
      </c>
      <c r="CR106" s="97">
        <f t="shared" si="27"/>
        <v>6.5913463510303104E-3</v>
      </c>
      <c r="CS106" s="97">
        <f t="shared" si="27"/>
        <v>-0.20956078885077298</v>
      </c>
      <c r="CT106" s="97">
        <f t="shared" si="27"/>
        <v>-1.7411220481430623E-2</v>
      </c>
      <c r="CU106" s="97">
        <f t="shared" si="27"/>
        <v>-3.7411465282468859E-2</v>
      </c>
      <c r="CV106" s="97">
        <f t="shared" si="27"/>
        <v>-4.1569508576842162E-2</v>
      </c>
      <c r="CW106" s="97">
        <f t="shared" si="27"/>
        <v>-0.11046837830094899</v>
      </c>
      <c r="CX106" s="97">
        <f t="shared" si="27"/>
        <v>-3.3848919888418094E-2</v>
      </c>
      <c r="CY106" s="97">
        <f t="shared" si="27"/>
        <v>-0.29132672406498417</v>
      </c>
      <c r="CZ106" s="97">
        <f t="shared" si="27"/>
        <v>-2.3821230204629781E-2</v>
      </c>
      <c r="DA106" s="97">
        <f t="shared" si="27"/>
        <v>-5.8874987767093989E-2</v>
      </c>
      <c r="DB106" s="97">
        <f t="shared" si="27"/>
        <v>-5.8774746894172954E-2</v>
      </c>
      <c r="DC106" s="97">
        <f t="shared" si="27"/>
        <v>-4.2272389240920923E-2</v>
      </c>
      <c r="DD106" s="97">
        <f t="shared" si="27"/>
        <v>-0.41705099978925991</v>
      </c>
      <c r="DE106" s="97">
        <f t="shared" si="27"/>
        <v>-0.36905286326244496</v>
      </c>
      <c r="DF106" s="97">
        <f t="shared" si="27"/>
        <v>-0.11817063487115909</v>
      </c>
      <c r="DG106" s="97">
        <f t="shared" si="27"/>
        <v>-0.11711262041162829</v>
      </c>
      <c r="DH106" s="97" t="str">
        <f t="shared" si="27"/>
        <v/>
      </c>
      <c r="DI106" s="97">
        <f t="shared" si="27"/>
        <v>0.28511324817651462</v>
      </c>
      <c r="DJ106" s="97">
        <f t="shared" si="27"/>
        <v>-0.1800685729334153</v>
      </c>
      <c r="DK106" s="97">
        <f t="shared" si="27"/>
        <v>-5.0913952123549877E-2</v>
      </c>
      <c r="DL106" s="97">
        <f t="shared" si="27"/>
        <v>-0.48028301457520517</v>
      </c>
      <c r="DM106" s="97">
        <f t="shared" si="27"/>
        <v>-9.3931059231596947E-2</v>
      </c>
      <c r="DN106" s="97">
        <f t="shared" si="27"/>
        <v>0.1882572512817029</v>
      </c>
      <c r="DO106" s="97" t="str">
        <f t="shared" si="27"/>
        <v/>
      </c>
      <c r="DP106" s="97">
        <f t="shared" si="27"/>
        <v>-0.20531041366489719</v>
      </c>
      <c r="DQ106" s="97">
        <f t="shared" si="27"/>
        <v>-0.3834577113572617</v>
      </c>
      <c r="DR106" s="97">
        <f t="shared" si="27"/>
        <v>-0.19709271733097758</v>
      </c>
      <c r="DS106" s="97">
        <f t="shared" si="27"/>
        <v>3.2508401383044561E-2</v>
      </c>
      <c r="DT106" s="97" t="str">
        <f t="shared" si="27"/>
        <v/>
      </c>
      <c r="DU106" s="97">
        <f t="shared" si="27"/>
        <v>-0.20941560928244729</v>
      </c>
      <c r="DV106" s="97" t="str">
        <f t="shared" si="27"/>
        <v/>
      </c>
      <c r="DW106" s="97">
        <f t="shared" si="27"/>
        <v>-0.27504619019442267</v>
      </c>
      <c r="DX106" s="97">
        <f t="shared" si="27"/>
        <v>-0.1488276857267356</v>
      </c>
      <c r="DY106" s="97">
        <f t="shared" si="27"/>
        <v>-4.9630877013477903E-3</v>
      </c>
      <c r="DZ106" s="97">
        <f t="shared" si="24"/>
        <v>0.16499738660695271</v>
      </c>
      <c r="EA106" s="97">
        <f t="shared" si="24"/>
        <v>-0.34875619114962358</v>
      </c>
      <c r="EB106" s="97">
        <f t="shared" si="24"/>
        <v>-0.2491938569321171</v>
      </c>
      <c r="EC106" s="97">
        <f t="shared" si="24"/>
        <v>-7.6391659129919187E-2</v>
      </c>
      <c r="ED106" s="97">
        <f t="shared" si="24"/>
        <v>-0.16809522473234298</v>
      </c>
      <c r="EE106" s="97">
        <f t="shared" si="24"/>
        <v>-7.1465550755534846E-2</v>
      </c>
      <c r="EF106" s="97">
        <f t="shared" si="24"/>
        <v>-0.1795662623045223</v>
      </c>
      <c r="EG106" s="97">
        <f t="shared" si="24"/>
        <v>-0.22585349866025198</v>
      </c>
      <c r="EH106" s="97">
        <f t="shared" si="24"/>
        <v>-3.8670952869887087E-2</v>
      </c>
      <c r="EI106" s="97">
        <f t="shared" si="24"/>
        <v>2.706651277422778E-2</v>
      </c>
      <c r="EJ106" s="97">
        <f t="shared" si="24"/>
        <v>-0.10077955193886456</v>
      </c>
      <c r="EK106" s="97">
        <f t="shared" si="24"/>
        <v>-6.947921673360602E-2</v>
      </c>
      <c r="EL106" s="97">
        <f t="shared" si="24"/>
        <v>-0.13523128693506428</v>
      </c>
      <c r="EM106" s="97">
        <f t="shared" si="24"/>
        <v>-0.21179067390824438</v>
      </c>
      <c r="EN106" s="97">
        <f t="shared" si="24"/>
        <v>7.9029378503965297E-3</v>
      </c>
      <c r="EO106" s="97">
        <f t="shared" si="24"/>
        <v>3.3971338528160588E-2</v>
      </c>
    </row>
    <row r="107" spans="1:145" outlineLevel="1" x14ac:dyDescent="0.25">
      <c r="A107">
        <v>2023</v>
      </c>
      <c r="B107">
        <v>9</v>
      </c>
      <c r="C107" s="97">
        <f t="shared" si="28"/>
        <v>-5.1379574449855525E-2</v>
      </c>
      <c r="D107" s="97">
        <f t="shared" si="28"/>
        <v>0</v>
      </c>
      <c r="E107" s="97">
        <f t="shared" si="28"/>
        <v>-8.8211047597442804E-2</v>
      </c>
      <c r="F107" s="97">
        <f t="shared" si="28"/>
        <v>-0.36930608337015769</v>
      </c>
      <c r="G107" s="97" t="str">
        <f t="shared" si="28"/>
        <v/>
      </c>
      <c r="H107" s="97">
        <f t="shared" si="28"/>
        <v>-0.1273907039861103</v>
      </c>
      <c r="I107" s="97">
        <f t="shared" si="28"/>
        <v>-0.15472856369479071</v>
      </c>
      <c r="J107" s="97">
        <f t="shared" si="28"/>
        <v>-0.1412965218239676</v>
      </c>
      <c r="K107" s="97">
        <f t="shared" si="28"/>
        <v>2.7798392408833195E-2</v>
      </c>
      <c r="L107" s="97">
        <f t="shared" si="28"/>
        <v>9.0995630186085252E-2</v>
      </c>
      <c r="M107" s="97">
        <f t="shared" si="28"/>
        <v>-0.10229363922450141</v>
      </c>
      <c r="N107" s="97" t="str">
        <f t="shared" si="28"/>
        <v/>
      </c>
      <c r="O107" s="97">
        <f t="shared" si="28"/>
        <v>6.5162487503251265E-2</v>
      </c>
      <c r="P107" s="97">
        <f t="shared" si="28"/>
        <v>-7.1059619398668672E-2</v>
      </c>
      <c r="Q107" s="97">
        <f t="shared" si="28"/>
        <v>-0.2355653960353824</v>
      </c>
      <c r="R107" s="97">
        <f t="shared" si="28"/>
        <v>-0.30777942987929741</v>
      </c>
      <c r="S107" s="97">
        <f t="shared" si="28"/>
        <v>-6.2895348023829234E-3</v>
      </c>
      <c r="T107" s="97">
        <f t="shared" si="28"/>
        <v>-0.2234986437889126</v>
      </c>
      <c r="U107" s="97">
        <f t="shared" si="28"/>
        <v>-9.8156852254405291E-2</v>
      </c>
      <c r="V107" s="97">
        <f t="shared" si="28"/>
        <v>-0.24158822512884151</v>
      </c>
      <c r="W107" s="97">
        <f t="shared" si="28"/>
        <v>-0.1111293058098185</v>
      </c>
      <c r="X107" s="97">
        <f t="shared" si="28"/>
        <v>-0.13901120114220891</v>
      </c>
      <c r="Y107" s="97">
        <f t="shared" si="28"/>
        <v>0.58424884545068578</v>
      </c>
      <c r="Z107" s="97">
        <f t="shared" si="28"/>
        <v>8.7156298549784239E-3</v>
      </c>
      <c r="AA107" s="97" t="str">
        <f t="shared" si="28"/>
        <v/>
      </c>
      <c r="AB107" s="97">
        <f t="shared" si="28"/>
        <v>-6.2542452327581599E-2</v>
      </c>
      <c r="AC107" s="97">
        <f t="shared" si="28"/>
        <v>3.2450798296601351E-2</v>
      </c>
      <c r="AD107" s="97">
        <f t="shared" si="28"/>
        <v>-0.13204782370384552</v>
      </c>
      <c r="AE107" s="97">
        <f t="shared" si="28"/>
        <v>-0.35028995061248669</v>
      </c>
      <c r="AF107" s="97">
        <f t="shared" si="28"/>
        <v>-7.4954190602445347E-2</v>
      </c>
      <c r="AG107" s="97">
        <f t="shared" si="28"/>
        <v>0.10020292993450239</v>
      </c>
      <c r="AH107" s="97">
        <f t="shared" si="28"/>
        <v>-4.8052382732895464E-2</v>
      </c>
      <c r="AI107" s="97">
        <f t="shared" si="28"/>
        <v>-0.33731978200029483</v>
      </c>
      <c r="AJ107" s="97">
        <f t="shared" si="28"/>
        <v>0.46203296880876682</v>
      </c>
      <c r="AK107" s="97">
        <f t="shared" si="28"/>
        <v>-0.380653115333628</v>
      </c>
      <c r="AL107" s="97">
        <f t="shared" si="28"/>
        <v>-4.9673895293776089E-2</v>
      </c>
      <c r="AM107" s="97">
        <f t="shared" si="28"/>
        <v>-0.17156970561777102</v>
      </c>
      <c r="AN107" s="97">
        <f t="shared" si="28"/>
        <v>-7.8986448666961473E-2</v>
      </c>
      <c r="AO107" s="97">
        <f t="shared" si="28"/>
        <v>0.1414680967875841</v>
      </c>
      <c r="AP107" s="97">
        <f t="shared" si="28"/>
        <v>-9.4895539576052346E-2</v>
      </c>
      <c r="AQ107" s="97" t="str">
        <f t="shared" si="28"/>
        <v/>
      </c>
      <c r="AR107" s="97">
        <f t="shared" si="28"/>
        <v>-0.25371238596141443</v>
      </c>
      <c r="AS107" s="97">
        <f t="shared" si="28"/>
        <v>-0.12073969542020821</v>
      </c>
      <c r="AT107" s="97">
        <f t="shared" si="28"/>
        <v>-0.32913623677159398</v>
      </c>
      <c r="AU107" s="97">
        <f t="shared" si="28"/>
        <v>0.27638738310873961</v>
      </c>
      <c r="AV107" s="97">
        <f t="shared" si="28"/>
        <v>-0.1902609584708829</v>
      </c>
      <c r="AW107" s="97">
        <f t="shared" si="28"/>
        <v>-8.267497325712525E-2</v>
      </c>
      <c r="AX107" s="97">
        <f t="shared" si="28"/>
        <v>-0.129466602316129</v>
      </c>
      <c r="AY107" s="97">
        <f t="shared" si="28"/>
        <v>9.786540318489069E-2</v>
      </c>
      <c r="AZ107" s="97">
        <f t="shared" si="28"/>
        <v>-7.982062460224959E-2</v>
      </c>
      <c r="BA107" s="97">
        <f t="shared" si="28"/>
        <v>-0.39148644866696153</v>
      </c>
      <c r="BB107" s="97">
        <f t="shared" si="28"/>
        <v>-7.7319782000294768E-2</v>
      </c>
      <c r="BC107" s="97">
        <f t="shared" si="28"/>
        <v>0.10801999774722069</v>
      </c>
      <c r="BD107" s="97">
        <f t="shared" si="28"/>
        <v>-8.7186448666961347E-2</v>
      </c>
      <c r="BE107" s="97">
        <f t="shared" si="28"/>
        <v>-0.12567957036008293</v>
      </c>
      <c r="BF107" s="97">
        <f t="shared" si="28"/>
        <v>-0.19773014190611379</v>
      </c>
      <c r="BG107" s="97">
        <f t="shared" si="28"/>
        <v>-0.20109313944453822</v>
      </c>
      <c r="BH107" s="97">
        <f t="shared" si="28"/>
        <v>-5.8549007462822204E-2</v>
      </c>
      <c r="BI107" s="97" t="str">
        <f t="shared" si="28"/>
        <v/>
      </c>
      <c r="BJ107" s="97">
        <f t="shared" si="28"/>
        <v>-0.33418779094884049</v>
      </c>
      <c r="BK107" s="97">
        <f t="shared" si="28"/>
        <v>-0.30338737032594748</v>
      </c>
      <c r="BL107" s="97">
        <f t="shared" si="28"/>
        <v>-9.998644866696127E-2</v>
      </c>
      <c r="BM107" s="97">
        <f t="shared" si="28"/>
        <v>-5.6722111158721493E-2</v>
      </c>
      <c r="BN107" s="97" t="str">
        <f t="shared" si="28"/>
        <v/>
      </c>
      <c r="BO107" s="97">
        <f t="shared" si="27"/>
        <v>3.5053458793998793E-2</v>
      </c>
      <c r="BP107" s="97">
        <f t="shared" si="27"/>
        <v>-7.0796793494547483E-2</v>
      </c>
      <c r="BQ107" s="97">
        <f t="shared" si="27"/>
        <v>1.4837080744803274E-2</v>
      </c>
      <c r="BR107" s="97">
        <f t="shared" si="27"/>
        <v>-0.16438745117322712</v>
      </c>
      <c r="BS107" s="97">
        <f t="shared" si="27"/>
        <v>-6.5765987571860585E-2</v>
      </c>
      <c r="BT107" s="97">
        <f t="shared" si="27"/>
        <v>-9.3759175939688633E-2</v>
      </c>
      <c r="BU107" s="97" t="str">
        <f t="shared" si="27"/>
        <v/>
      </c>
      <c r="BV107" s="97">
        <f t="shared" si="27"/>
        <v>-0.32866177334228608</v>
      </c>
      <c r="BW107" s="97">
        <f t="shared" si="27"/>
        <v>-0.10108466295267582</v>
      </c>
      <c r="BX107" s="97">
        <f t="shared" si="27"/>
        <v>-4.0663917508587E-2</v>
      </c>
      <c r="BY107" s="97" t="str">
        <f t="shared" si="27"/>
        <v/>
      </c>
      <c r="BZ107" s="97">
        <f t="shared" si="27"/>
        <v>0.13620234426334599</v>
      </c>
      <c r="CA107" s="97">
        <f t="shared" si="27"/>
        <v>-5.1610031865361283E-2</v>
      </c>
      <c r="CB107" s="97">
        <f t="shared" si="27"/>
        <v>-9.2932776780082826E-2</v>
      </c>
      <c r="CC107" s="97">
        <f t="shared" si="27"/>
        <v>-3.478750769260297E-2</v>
      </c>
      <c r="CD107" s="97">
        <f t="shared" si="27"/>
        <v>-0.249556068920126</v>
      </c>
      <c r="CE107" s="97">
        <f t="shared" si="27"/>
        <v>-8.1133464678606271E-2</v>
      </c>
      <c r="CF107" s="97">
        <f t="shared" si="27"/>
        <v>0.11957676972384319</v>
      </c>
      <c r="CG107" s="97" t="str">
        <f t="shared" si="27"/>
        <v/>
      </c>
      <c r="CH107" s="97" t="str">
        <f t="shared" si="27"/>
        <v/>
      </c>
      <c r="CI107" s="97" t="str">
        <f t="shared" si="27"/>
        <v/>
      </c>
      <c r="CJ107" s="97">
        <f t="shared" si="27"/>
        <v>-5.2946423985958509E-2</v>
      </c>
      <c r="CK107" s="97">
        <f t="shared" si="27"/>
        <v>-0.22110544657927872</v>
      </c>
      <c r="CL107" s="97">
        <f t="shared" si="27"/>
        <v>-2.9780453056167393E-3</v>
      </c>
      <c r="CM107" s="97" t="str">
        <f t="shared" si="27"/>
        <v/>
      </c>
      <c r="CN107" s="97">
        <f t="shared" si="27"/>
        <v>-0.12292917994449451</v>
      </c>
      <c r="CO107" s="97">
        <f t="shared" si="27"/>
        <v>-0.20959392530247542</v>
      </c>
      <c r="CP107" s="97">
        <f t="shared" si="27"/>
        <v>-0.186913277935254</v>
      </c>
      <c r="CQ107" s="97">
        <f t="shared" si="27"/>
        <v>-0.1732986179791306</v>
      </c>
      <c r="CR107" s="97">
        <f t="shared" si="27"/>
        <v>-0.21345870301097822</v>
      </c>
      <c r="CS107" s="97">
        <f t="shared" si="27"/>
        <v>-0.16005581282881109</v>
      </c>
      <c r="CT107" s="97">
        <f t="shared" si="27"/>
        <v>2.9626996711189735E-2</v>
      </c>
      <c r="CU107" s="97">
        <f t="shared" si="27"/>
        <v>-0.20825474134988819</v>
      </c>
      <c r="CV107" s="97">
        <f t="shared" si="27"/>
        <v>-8.0389515678440104E-2</v>
      </c>
      <c r="CW107" s="97">
        <f t="shared" si="27"/>
        <v>-2.3530422608329497E-2</v>
      </c>
      <c r="CX107" s="97">
        <f t="shared" si="27"/>
        <v>-0.1348646356357999</v>
      </c>
      <c r="CY107" s="97">
        <f t="shared" si="27"/>
        <v>-0.2071711620427576</v>
      </c>
      <c r="CZ107" s="97">
        <f t="shared" si="27"/>
        <v>-6.6450332774732779E-2</v>
      </c>
      <c r="DA107" s="97">
        <f t="shared" si="27"/>
        <v>-0.2833471157969128</v>
      </c>
      <c r="DB107" s="97">
        <f t="shared" si="27"/>
        <v>2.3264736167161845E-2</v>
      </c>
      <c r="DC107" s="97">
        <f t="shared" si="27"/>
        <v>-9.1130486172220082E-2</v>
      </c>
      <c r="DD107" s="97">
        <f t="shared" si="27"/>
        <v>1.7041588716216083E-2</v>
      </c>
      <c r="DE107" s="97">
        <f t="shared" si="27"/>
        <v>-0.32559429180421628</v>
      </c>
      <c r="DF107" s="97">
        <f t="shared" si="27"/>
        <v>-0.14015666143291891</v>
      </c>
      <c r="DG107" s="97">
        <f t="shared" si="27"/>
        <v>-0.43161802761432988</v>
      </c>
      <c r="DH107" s="97" t="str">
        <f t="shared" si="27"/>
        <v/>
      </c>
      <c r="DI107" s="97">
        <f t="shared" si="27"/>
        <v>-0.11641248416992001</v>
      </c>
      <c r="DJ107" s="97">
        <f t="shared" si="27"/>
        <v>0.2440953927652636</v>
      </c>
      <c r="DK107" s="97">
        <f t="shared" si="27"/>
        <v>-0.2104719040794554</v>
      </c>
      <c r="DL107" s="97">
        <f t="shared" si="27"/>
        <v>-0.51618157061818093</v>
      </c>
      <c r="DM107" s="97">
        <f t="shared" si="27"/>
        <v>-7.6903115333628036E-2</v>
      </c>
      <c r="DN107" s="97">
        <f t="shared" si="27"/>
        <v>-0.3562591759396887</v>
      </c>
      <c r="DO107" s="97" t="str">
        <f t="shared" si="27"/>
        <v/>
      </c>
      <c r="DP107" s="97">
        <f t="shared" si="27"/>
        <v>0.1397914277078838</v>
      </c>
      <c r="DQ107" s="97">
        <f t="shared" si="27"/>
        <v>-0.27734285005104442</v>
      </c>
      <c r="DR107" s="97">
        <f t="shared" si="27"/>
        <v>-0.11928730826581521</v>
      </c>
      <c r="DS107" s="97">
        <f t="shared" si="27"/>
        <v>-0.13809448886796641</v>
      </c>
      <c r="DT107" s="97">
        <f t="shared" si="27"/>
        <v>-0.47537726229650629</v>
      </c>
      <c r="DU107" s="97">
        <f t="shared" si="27"/>
        <v>1.0862209242804344E-2</v>
      </c>
      <c r="DV107" s="97" t="str">
        <f t="shared" si="27"/>
        <v/>
      </c>
      <c r="DW107" s="97">
        <f t="shared" si="27"/>
        <v>-4.9527245630908157E-2</v>
      </c>
      <c r="DX107" s="97">
        <f t="shared" si="27"/>
        <v>4.8731837988722271E-2</v>
      </c>
      <c r="DY107" s="97">
        <f t="shared" si="27"/>
        <v>-0.44087965255045658</v>
      </c>
      <c r="DZ107" s="97">
        <f t="shared" si="24"/>
        <v>-0.19655401623452889</v>
      </c>
      <c r="EA107" s="97">
        <f t="shared" si="24"/>
        <v>-0.38181093631803859</v>
      </c>
      <c r="EB107" s="97">
        <f t="shared" si="24"/>
        <v>-9.8897390142788311E-2</v>
      </c>
      <c r="EC107" s="97">
        <f t="shared" si="24"/>
        <v>-1.7561109300445514E-2</v>
      </c>
      <c r="ED107" s="97">
        <f t="shared" si="24"/>
        <v>-8.0009840479826844E-2</v>
      </c>
      <c r="EE107" s="97">
        <f t="shared" si="24"/>
        <v>-0.20715267557989012</v>
      </c>
      <c r="EF107" s="97">
        <f t="shared" si="24"/>
        <v>-0.31264029482080763</v>
      </c>
      <c r="EG107" s="97">
        <f t="shared" si="24"/>
        <v>-0.1501402948208076</v>
      </c>
      <c r="EH107" s="97">
        <f t="shared" si="24"/>
        <v>-7.3870169597193946E-2</v>
      </c>
      <c r="EI107" s="97">
        <f t="shared" si="24"/>
        <v>-8.6784315407782309E-2</v>
      </c>
      <c r="EJ107" s="97">
        <f t="shared" si="24"/>
        <v>3.2729969243486361E-2</v>
      </c>
      <c r="EK107" s="97">
        <f t="shared" si="24"/>
        <v>-7.5250816483053318E-2</v>
      </c>
      <c r="EL107" s="97">
        <f t="shared" si="24"/>
        <v>-0.18460318875506709</v>
      </c>
      <c r="EM107" s="97">
        <f t="shared" si="24"/>
        <v>-0.1040647027318253</v>
      </c>
      <c r="EN107" s="97">
        <f t="shared" si="24"/>
        <v>-9.0753483216545083E-2</v>
      </c>
      <c r="EO107" s="97">
        <f t="shared" si="24"/>
        <v>-5.3296113361241515E-2</v>
      </c>
    </row>
    <row r="108" spans="1:145" outlineLevel="1" x14ac:dyDescent="0.25">
      <c r="A108">
        <v>2023</v>
      </c>
      <c r="B108">
        <v>10</v>
      </c>
      <c r="C108" s="97">
        <f t="shared" si="28"/>
        <v>-2.6020895171933511E-2</v>
      </c>
      <c r="D108" s="97">
        <f t="shared" si="28"/>
        <v>0</v>
      </c>
      <c r="E108" s="97">
        <f t="shared" si="28"/>
        <v>-0.27730486681287458</v>
      </c>
      <c r="F108" s="97">
        <f t="shared" si="28"/>
        <v>-0.31004258804057222</v>
      </c>
      <c r="G108" s="97" t="str">
        <f t="shared" si="28"/>
        <v/>
      </c>
      <c r="H108" s="97">
        <f t="shared" si="28"/>
        <v>-0.22664226317032632</v>
      </c>
      <c r="I108" s="97">
        <f t="shared" si="28"/>
        <v>-0.11354209508349392</v>
      </c>
      <c r="J108" s="97">
        <f t="shared" si="28"/>
        <v>-1.9967743382360622E-2</v>
      </c>
      <c r="K108" s="97">
        <f t="shared" si="28"/>
        <v>-8.725055470854004E-2</v>
      </c>
      <c r="L108" s="97">
        <f t="shared" si="28"/>
        <v>-0.28418123318605742</v>
      </c>
      <c r="M108" s="97">
        <f t="shared" si="28"/>
        <v>5.9070541460972459E-2</v>
      </c>
      <c r="N108" s="97" t="str">
        <f t="shared" si="28"/>
        <v/>
      </c>
      <c r="O108" s="97">
        <f t="shared" si="28"/>
        <v>-0.10754599692871882</v>
      </c>
      <c r="P108" s="97">
        <f t="shared" si="28"/>
        <v>2.1831624766725618E-2</v>
      </c>
      <c r="Q108" s="97">
        <f t="shared" si="28"/>
        <v>-0.15842175512404352</v>
      </c>
      <c r="R108" s="97">
        <f t="shared" si="28"/>
        <v>-0.18353823532938351</v>
      </c>
      <c r="S108" s="97">
        <f t="shared" si="28"/>
        <v>-1.5420829804546625E-3</v>
      </c>
      <c r="T108" s="97">
        <f t="shared" si="28"/>
        <v>-0.16446841608294771</v>
      </c>
      <c r="U108" s="97">
        <f t="shared" si="28"/>
        <v>-0.23203493836017541</v>
      </c>
      <c r="V108" s="97">
        <f t="shared" si="28"/>
        <v>-4.7030612684889624E-2</v>
      </c>
      <c r="W108" s="97">
        <f t="shared" si="28"/>
        <v>7.9021167250385549E-2</v>
      </c>
      <c r="X108" s="97">
        <f t="shared" si="28"/>
        <v>-0.11319755741217941</v>
      </c>
      <c r="Y108" s="97">
        <f t="shared" si="28"/>
        <v>7.5767228059411291E-3</v>
      </c>
      <c r="Z108" s="97">
        <f t="shared" si="28"/>
        <v>-0.46839426414452123</v>
      </c>
      <c r="AA108" s="97" t="str">
        <f t="shared" si="28"/>
        <v/>
      </c>
      <c r="AB108" s="97">
        <f t="shared" si="28"/>
        <v>-0.10750560179842152</v>
      </c>
      <c r="AC108" s="97">
        <f t="shared" si="28"/>
        <v>3.670345891705229E-2</v>
      </c>
      <c r="AD108" s="97">
        <f t="shared" si="28"/>
        <v>-0.17708900383440462</v>
      </c>
      <c r="AE108" s="97">
        <f t="shared" si="28"/>
        <v>-0.23645502322580481</v>
      </c>
      <c r="AF108" s="97">
        <f t="shared" si="28"/>
        <v>-0.22653438830516981</v>
      </c>
      <c r="AG108" s="97">
        <f t="shared" si="28"/>
        <v>-0.39782415479944983</v>
      </c>
      <c r="AH108" s="97">
        <f t="shared" si="28"/>
        <v>-0.17134285926607221</v>
      </c>
      <c r="AI108" s="97">
        <f t="shared" si="28"/>
        <v>0.81147730760126291</v>
      </c>
      <c r="AJ108" s="97">
        <f t="shared" si="28"/>
        <v>-0.30232541111606032</v>
      </c>
      <c r="AK108" s="97">
        <f t="shared" si="28"/>
        <v>-8.9873663409151039E-2</v>
      </c>
      <c r="AL108" s="97">
        <f t="shared" si="28"/>
        <v>-3.0710376373775491E-2</v>
      </c>
      <c r="AM108" s="97">
        <f t="shared" si="28"/>
        <v>2.6335659206096148E-2</v>
      </c>
      <c r="AN108" s="97">
        <f t="shared" si="28"/>
        <v>-0.38133919310997472</v>
      </c>
      <c r="AO108" s="97">
        <f t="shared" si="28"/>
        <v>4.3306881536099961E-2</v>
      </c>
      <c r="AP108" s="97">
        <f t="shared" si="28"/>
        <v>-6.3771625542407229E-2</v>
      </c>
      <c r="AQ108" s="97" t="str">
        <f t="shared" si="28"/>
        <v/>
      </c>
      <c r="AR108" s="97">
        <f t="shared" si="28"/>
        <v>9.5337161795486125E-2</v>
      </c>
      <c r="AS108" s="97">
        <f t="shared" si="28"/>
        <v>-0.35587811226733229</v>
      </c>
      <c r="AT108" s="97">
        <f t="shared" si="28"/>
        <v>-7.7504024030110918E-2</v>
      </c>
      <c r="AU108" s="97">
        <f t="shared" si="28"/>
        <v>0.232914111289315</v>
      </c>
      <c r="AV108" s="97">
        <f t="shared" si="28"/>
        <v>0.10010550459978319</v>
      </c>
      <c r="AW108" s="97">
        <f t="shared" si="28"/>
        <v>-0.22050433690145302</v>
      </c>
      <c r="AX108" s="97">
        <f t="shared" si="28"/>
        <v>-9.7284347634924218E-2</v>
      </c>
      <c r="AY108" s="97">
        <f t="shared" si="28"/>
        <v>-0.26901804843588889</v>
      </c>
      <c r="AZ108" s="97">
        <f t="shared" si="28"/>
        <v>-0.17280231925581432</v>
      </c>
      <c r="BA108" s="97">
        <f t="shared" si="28"/>
        <v>-0.1585978803686619</v>
      </c>
      <c r="BB108" s="97">
        <f t="shared" si="28"/>
        <v>7.6782415909131298E-3</v>
      </c>
      <c r="BC108" s="97">
        <f t="shared" si="28"/>
        <v>-0.16373245593802011</v>
      </c>
      <c r="BD108" s="97">
        <f t="shared" si="28"/>
        <v>0.11261628068843099</v>
      </c>
      <c r="BE108" s="97">
        <f t="shared" si="28"/>
        <v>-0.22117963596246581</v>
      </c>
      <c r="BF108" s="97">
        <f t="shared" si="28"/>
        <v>-0.25087036383013173</v>
      </c>
      <c r="BG108" s="97">
        <f t="shared" si="28"/>
        <v>-0.18449234626312791</v>
      </c>
      <c r="BH108" s="97">
        <f t="shared" si="28"/>
        <v>-0.27694898200334583</v>
      </c>
      <c r="BI108" s="97" t="str">
        <f t="shared" si="28"/>
        <v/>
      </c>
      <c r="BJ108" s="97">
        <f t="shared" si="28"/>
        <v>-6.8440422595973716E-2</v>
      </c>
      <c r="BK108" s="97">
        <f t="shared" si="28"/>
        <v>-0.2051277945773238</v>
      </c>
      <c r="BL108" s="97">
        <f t="shared" si="28"/>
        <v>-0.28597222101123593</v>
      </c>
      <c r="BM108" s="97">
        <f t="shared" si="28"/>
        <v>-6.7477958672204075E-3</v>
      </c>
      <c r="BN108" s="97" t="str">
        <f t="shared" si="28"/>
        <v/>
      </c>
      <c r="BO108" s="97">
        <f t="shared" si="27"/>
        <v>-0.16963362447426422</v>
      </c>
      <c r="BP108" s="97">
        <f t="shared" si="27"/>
        <v>-7.3596230748074642E-2</v>
      </c>
      <c r="BQ108" s="97">
        <f t="shared" si="27"/>
        <v>-4.8961896644918464E-2</v>
      </c>
      <c r="BR108" s="97">
        <f t="shared" si="27"/>
        <v>-0.15356589742623131</v>
      </c>
      <c r="BS108" s="97">
        <f t="shared" si="27"/>
        <v>-4.9042440607808602E-2</v>
      </c>
      <c r="BT108" s="97">
        <f t="shared" si="27"/>
        <v>-0.18845698505922751</v>
      </c>
      <c r="BU108" s="97" t="str">
        <f t="shared" si="27"/>
        <v/>
      </c>
      <c r="BV108" s="97">
        <f t="shared" si="27"/>
        <v>0.32645706468628299</v>
      </c>
      <c r="BW108" s="97">
        <f t="shared" si="27"/>
        <v>-2.300808697293533E-2</v>
      </c>
      <c r="BX108" s="97">
        <f t="shared" si="27"/>
        <v>-5.1887912440761963E-2</v>
      </c>
      <c r="BY108" s="97" t="str">
        <f t="shared" si="27"/>
        <v/>
      </c>
      <c r="BZ108" s="97">
        <f t="shared" si="27"/>
        <v>3.4969144468399722E-2</v>
      </c>
      <c r="CA108" s="97">
        <f t="shared" si="27"/>
        <v>0.37582584771843242</v>
      </c>
      <c r="CB108" s="97">
        <f t="shared" si="27"/>
        <v>-0.13164861468107861</v>
      </c>
      <c r="CC108" s="97">
        <f t="shared" si="27"/>
        <v>2.6965227354757593E-2</v>
      </c>
      <c r="CD108" s="97">
        <f t="shared" si="27"/>
        <v>-0.1486074680963706</v>
      </c>
      <c r="CE108" s="97">
        <f t="shared" si="27"/>
        <v>2.250171404323531E-2</v>
      </c>
      <c r="CF108" s="97">
        <f t="shared" si="27"/>
        <v>-0.244721373244073</v>
      </c>
      <c r="CG108" s="97" t="str">
        <f t="shared" si="27"/>
        <v/>
      </c>
      <c r="CH108" s="97" t="str">
        <f t="shared" si="27"/>
        <v/>
      </c>
      <c r="CI108" s="97">
        <f t="shared" si="27"/>
        <v>-0.58710786500767886</v>
      </c>
      <c r="CJ108" s="97">
        <f t="shared" si="27"/>
        <v>-6.7410729126768931E-3</v>
      </c>
      <c r="CK108" s="97">
        <f t="shared" si="27"/>
        <v>-0.21986772163850321</v>
      </c>
      <c r="CL108" s="97">
        <f t="shared" si="27"/>
        <v>-0.2168709303542708</v>
      </c>
      <c r="CM108" s="97" t="str">
        <f t="shared" si="27"/>
        <v/>
      </c>
      <c r="CN108" s="97">
        <f t="shared" si="27"/>
        <v>0.24568783391705229</v>
      </c>
      <c r="CO108" s="97">
        <f t="shared" si="27"/>
        <v>-0.12195922490647701</v>
      </c>
      <c r="CP108" s="97">
        <f t="shared" si="27"/>
        <v>-0.28520768847100741</v>
      </c>
      <c r="CQ108" s="97">
        <f t="shared" si="27"/>
        <v>-9.6668853981036862E-2</v>
      </c>
      <c r="CR108" s="97">
        <f t="shared" si="27"/>
        <v>-0.15235527079776531</v>
      </c>
      <c r="CS108" s="97">
        <f t="shared" si="27"/>
        <v>-0.59677791950760528</v>
      </c>
      <c r="CT108" s="97">
        <f t="shared" si="27"/>
        <v>-8.561297909107779E-2</v>
      </c>
      <c r="CU108" s="97">
        <f t="shared" si="27"/>
        <v>-0.3031627407955913</v>
      </c>
      <c r="CV108" s="97">
        <f t="shared" si="27"/>
        <v>-0.14918452776033961</v>
      </c>
      <c r="CW108" s="97">
        <f t="shared" si="27"/>
        <v>3.3631530367480789E-2</v>
      </c>
      <c r="CX108" s="97">
        <f t="shared" si="27"/>
        <v>-8.3190914453221465E-2</v>
      </c>
      <c r="CY108" s="97">
        <f t="shared" si="27"/>
        <v>0.3985655317587789</v>
      </c>
      <c r="CZ108" s="97">
        <f t="shared" si="27"/>
        <v>-8.2997848538608143E-2</v>
      </c>
      <c r="DA108" s="97">
        <f t="shared" si="27"/>
        <v>-0.1074944225921086</v>
      </c>
      <c r="DB108" s="97">
        <f t="shared" si="27"/>
        <v>-0.158291404837273</v>
      </c>
      <c r="DC108" s="97">
        <f t="shared" si="27"/>
        <v>-0.13920975041258751</v>
      </c>
      <c r="DD108" s="97">
        <f t="shared" si="27"/>
        <v>2.6449295595387667E-4</v>
      </c>
      <c r="DE108" s="97">
        <f t="shared" si="27"/>
        <v>-0.17767478819983312</v>
      </c>
      <c r="DF108" s="97">
        <f t="shared" si="27"/>
        <v>-7.3277683324326937E-2</v>
      </c>
      <c r="DG108" s="97">
        <f t="shared" si="27"/>
        <v>-0.10316274079559129</v>
      </c>
      <c r="DH108" s="97" t="str">
        <f t="shared" si="27"/>
        <v/>
      </c>
      <c r="DI108" s="97">
        <f t="shared" si="27"/>
        <v>-7.6454994162810097E-3</v>
      </c>
      <c r="DJ108" s="97">
        <f t="shared" si="27"/>
        <v>-4.3246592312455763E-2</v>
      </c>
      <c r="DK108" s="97">
        <f t="shared" si="27"/>
        <v>0.2066253339170521</v>
      </c>
      <c r="DL108" s="97">
        <f t="shared" si="27"/>
        <v>0.3314021196313382</v>
      </c>
      <c r="DM108" s="97">
        <f t="shared" si="27"/>
        <v>-0.25290767170092532</v>
      </c>
      <c r="DN108" s="97">
        <f t="shared" si="27"/>
        <v>-0.175364797661895</v>
      </c>
      <c r="DO108" s="97" t="str">
        <f t="shared" si="27"/>
        <v/>
      </c>
      <c r="DP108" s="97">
        <f t="shared" si="27"/>
        <v>-3.2874844727292296E-2</v>
      </c>
      <c r="DQ108" s="97">
        <f t="shared" si="27"/>
        <v>-0.29002645179723341</v>
      </c>
      <c r="DR108" s="97">
        <f t="shared" si="27"/>
        <v>-0.79314491643921148</v>
      </c>
      <c r="DS108" s="97">
        <f t="shared" si="27"/>
        <v>-0.13924143702962891</v>
      </c>
      <c r="DT108" s="97">
        <f t="shared" si="27"/>
        <v>-0.2299878417586233</v>
      </c>
      <c r="DU108" s="97">
        <f t="shared" si="27"/>
        <v>-0.20296157519943611</v>
      </c>
      <c r="DV108" s="97" t="str">
        <f t="shared" si="27"/>
        <v/>
      </c>
      <c r="DW108" s="97">
        <f t="shared" si="27"/>
        <v>4.1413480040312527E-2</v>
      </c>
      <c r="DX108" s="97">
        <f t="shared" si="27"/>
        <v>-2.7472208560306304E-3</v>
      </c>
      <c r="DY108" s="97">
        <f t="shared" si="27"/>
        <v>-0.10776044194501651</v>
      </c>
      <c r="DZ108" s="97">
        <f t="shared" si="24"/>
        <v>-0.25117409076914021</v>
      </c>
      <c r="EA108" s="97">
        <f t="shared" si="24"/>
        <v>-0.28640676067754234</v>
      </c>
      <c r="EB108" s="97">
        <f t="shared" si="24"/>
        <v>-0.10467764260810941</v>
      </c>
      <c r="EC108" s="97">
        <f t="shared" si="24"/>
        <v>-0.18779840461505781</v>
      </c>
      <c r="ED108" s="97">
        <f t="shared" si="24"/>
        <v>-0.15937545722218832</v>
      </c>
      <c r="EE108" s="97">
        <f t="shared" si="24"/>
        <v>-0.2990141528379146</v>
      </c>
      <c r="EF108" s="97">
        <f t="shared" si="24"/>
        <v>0.25145973934125276</v>
      </c>
      <c r="EG108" s="97">
        <f t="shared" si="24"/>
        <v>-5.7079218850000328E-2</v>
      </c>
      <c r="EH108" s="97">
        <f t="shared" si="24"/>
        <v>-7.2945745280347363E-2</v>
      </c>
      <c r="EI108" s="97">
        <f t="shared" si="24"/>
        <v>-0.10166582699638949</v>
      </c>
      <c r="EJ108" s="97">
        <f t="shared" si="24"/>
        <v>-0.58910917155372222</v>
      </c>
      <c r="EK108" s="97">
        <f t="shared" si="24"/>
        <v>-0.2493616710334427</v>
      </c>
      <c r="EL108" s="97">
        <f t="shared" si="24"/>
        <v>-2.0441198341012209E-2</v>
      </c>
      <c r="EM108" s="97">
        <f t="shared" si="24"/>
        <v>-0.43416723854671579</v>
      </c>
      <c r="EN108" s="97">
        <f t="shared" si="24"/>
        <v>-9.9754306904081491E-2</v>
      </c>
      <c r="EO108" s="97">
        <f t="shared" si="24"/>
        <v>-7.4851585170084611E-2</v>
      </c>
    </row>
    <row r="109" spans="1:145" outlineLevel="1" x14ac:dyDescent="0.25">
      <c r="A109">
        <v>2023</v>
      </c>
      <c r="B109">
        <v>11</v>
      </c>
      <c r="C109" s="97">
        <f t="shared" si="28"/>
        <v>8.6665845944927877E-2</v>
      </c>
      <c r="D109" s="97">
        <f t="shared" si="28"/>
        <v>0</v>
      </c>
      <c r="E109" s="97">
        <f t="shared" si="28"/>
        <v>-0.82903556949510071</v>
      </c>
      <c r="F109" s="97">
        <f t="shared" si="28"/>
        <v>0.13003688613051059</v>
      </c>
      <c r="G109" s="97" t="str">
        <f t="shared" si="28"/>
        <v/>
      </c>
      <c r="H109" s="97">
        <f t="shared" si="28"/>
        <v>0.30618328344474849</v>
      </c>
      <c r="I109" s="97">
        <f t="shared" si="28"/>
        <v>-0.13649910850706512</v>
      </c>
      <c r="J109" s="97">
        <f t="shared" si="28"/>
        <v>0.23941286972233877</v>
      </c>
      <c r="K109" s="97">
        <f t="shared" si="28"/>
        <v>0.10901695066305118</v>
      </c>
      <c r="L109" s="97">
        <f t="shared" si="28"/>
        <v>3.1685496587410926E-2</v>
      </c>
      <c r="M109" s="97">
        <f t="shared" si="28"/>
        <v>-0.19790781259773471</v>
      </c>
      <c r="N109" s="97" t="str">
        <f t="shared" si="28"/>
        <v/>
      </c>
      <c r="O109" s="97">
        <f t="shared" si="28"/>
        <v>0.21376846216552248</v>
      </c>
      <c r="P109" s="97">
        <f t="shared" si="28"/>
        <v>0.42844287933205499</v>
      </c>
      <c r="Q109" s="97">
        <f t="shared" si="28"/>
        <v>0.11273076710636577</v>
      </c>
      <c r="R109" s="97">
        <f t="shared" si="28"/>
        <v>0.35822508603022629</v>
      </c>
      <c r="S109" s="97">
        <f t="shared" si="28"/>
        <v>-4.6781397762252208E-3</v>
      </c>
      <c r="T109" s="97">
        <f t="shared" si="28"/>
        <v>-0.53025953512506241</v>
      </c>
      <c r="U109" s="97">
        <f t="shared" si="28"/>
        <v>-8.1601216699302204E-2</v>
      </c>
      <c r="V109" s="97">
        <f t="shared" si="28"/>
        <v>0.16570725576130019</v>
      </c>
      <c r="W109" s="97">
        <f t="shared" si="28"/>
        <v>-8.4678139776225181E-2</v>
      </c>
      <c r="X109" s="97">
        <f t="shared" si="28"/>
        <v>7.8334063178174373E-2</v>
      </c>
      <c r="Y109" s="97">
        <f t="shared" si="28"/>
        <v>-0.16649505716577903</v>
      </c>
      <c r="Z109" s="97">
        <f t="shared" si="28"/>
        <v>-0.29272069296771464</v>
      </c>
      <c r="AA109" s="97" t="str">
        <f t="shared" si="28"/>
        <v/>
      </c>
      <c r="AB109" s="97">
        <f t="shared" si="28"/>
        <v>-4.6403278925277958E-2</v>
      </c>
      <c r="AC109" s="97">
        <f t="shared" si="28"/>
        <v>-6.8468008444142692E-2</v>
      </c>
      <c r="AD109" s="97">
        <f t="shared" si="28"/>
        <v>0.88168549658741124</v>
      </c>
      <c r="AE109" s="97">
        <f t="shared" si="28"/>
        <v>-0.25514325605529503</v>
      </c>
      <c r="AF109" s="97">
        <f t="shared" si="28"/>
        <v>-1.3606711204796618E-2</v>
      </c>
      <c r="AG109" s="97">
        <f t="shared" si="28"/>
        <v>-0.2756083723343648</v>
      </c>
      <c r="AH109" s="97">
        <f t="shared" si="28"/>
        <v>0.38919434159280586</v>
      </c>
      <c r="AI109" s="97">
        <f t="shared" si="28"/>
        <v>1.5277809817093591E-4</v>
      </c>
      <c r="AJ109" s="97">
        <f t="shared" si="28"/>
        <v>-0.20279134732339513</v>
      </c>
      <c r="AK109" s="97">
        <f t="shared" si="28"/>
        <v>0.10643297133488598</v>
      </c>
      <c r="AL109" s="97">
        <f t="shared" si="28"/>
        <v>0.17317112492965697</v>
      </c>
      <c r="AM109" s="97">
        <f t="shared" si="28"/>
        <v>-9.7626857724943172E-2</v>
      </c>
      <c r="AN109" s="97">
        <f t="shared" si="28"/>
        <v>0.22200298820642117</v>
      </c>
      <c r="AO109" s="97">
        <f t="shared" si="28"/>
        <v>-0.17639531149339693</v>
      </c>
      <c r="AP109" s="97">
        <f t="shared" si="28"/>
        <v>-7.0770093799213729E-2</v>
      </c>
      <c r="AQ109" s="97" t="str">
        <f t="shared" si="28"/>
        <v/>
      </c>
      <c r="AR109" s="97">
        <f t="shared" si="28"/>
        <v>1.963756577785403E-2</v>
      </c>
      <c r="AS109" s="97">
        <f t="shared" si="28"/>
        <v>3.8405760450532123E-2</v>
      </c>
      <c r="AT109" s="97">
        <f t="shared" si="28"/>
        <v>-0.18692113043043082</v>
      </c>
      <c r="AU109" s="97">
        <f t="shared" si="28"/>
        <v>0.25490888087274216</v>
      </c>
      <c r="AV109" s="97">
        <f t="shared" si="28"/>
        <v>-0.77922359432167976</v>
      </c>
      <c r="AW109" s="97">
        <f t="shared" si="28"/>
        <v>0.33243877282309359</v>
      </c>
      <c r="AX109" s="97">
        <f t="shared" si="28"/>
        <v>-9.5880722504231741E-2</v>
      </c>
      <c r="AY109" s="97">
        <f t="shared" si="28"/>
        <v>-0.15896385406193961</v>
      </c>
      <c r="AZ109" s="97">
        <f t="shared" si="28"/>
        <v>0.24137449180272227</v>
      </c>
      <c r="BA109" s="97">
        <f t="shared" si="28"/>
        <v>0.6000515899535046</v>
      </c>
      <c r="BB109" s="97">
        <f t="shared" si="28"/>
        <v>-0.16581558053451892</v>
      </c>
      <c r="BC109" s="97">
        <f t="shared" si="28"/>
        <v>0.11385634298239558</v>
      </c>
      <c r="BD109" s="97">
        <f t="shared" si="28"/>
        <v>-5.4678139776225258E-2</v>
      </c>
      <c r="BE109" s="97">
        <f t="shared" si="28"/>
        <v>8.7629552531466981E-2</v>
      </c>
      <c r="BF109" s="97">
        <f t="shared" si="28"/>
        <v>3.3527840290219942E-2</v>
      </c>
      <c r="BG109" s="97">
        <f t="shared" si="28"/>
        <v>0.31400317890509349</v>
      </c>
      <c r="BH109" s="97">
        <f t="shared" si="28"/>
        <v>-0.15105296877759311</v>
      </c>
      <c r="BI109" s="97" t="str">
        <f t="shared" si="28"/>
        <v/>
      </c>
      <c r="BJ109" s="97">
        <f t="shared" si="28"/>
        <v>-0.31517064512954435</v>
      </c>
      <c r="BK109" s="97">
        <f t="shared" si="28"/>
        <v>-8.2867440187747832E-2</v>
      </c>
      <c r="BL109" s="97">
        <f t="shared" si="28"/>
        <v>0.22981633770890639</v>
      </c>
      <c r="BM109" s="97">
        <f t="shared" si="28"/>
        <v>-0.3607995210109653</v>
      </c>
      <c r="BN109" s="97" t="str">
        <f t="shared" ref="BN109:DY113" si="29">IF(ISBLANK(BN46),"",BN46-$D46)</f>
        <v/>
      </c>
      <c r="BO109" s="97">
        <f t="shared" si="29"/>
        <v>5.234086655921999E-2</v>
      </c>
      <c r="BP109" s="97">
        <f t="shared" si="27"/>
        <v>-0.64487665094247837</v>
      </c>
      <c r="BQ109" s="97">
        <f t="shared" si="27"/>
        <v>0.11135731550177638</v>
      </c>
      <c r="BR109" s="97">
        <f t="shared" si="27"/>
        <v>6.5497298820266003E-2</v>
      </c>
      <c r="BS109" s="97">
        <f t="shared" si="27"/>
        <v>0.22864179591509307</v>
      </c>
      <c r="BT109" s="97">
        <f t="shared" si="27"/>
        <v>1.8721389987088548</v>
      </c>
      <c r="BU109" s="97" t="str">
        <f t="shared" si="27"/>
        <v/>
      </c>
      <c r="BV109" s="97">
        <f t="shared" si="27"/>
        <v>1.7865212824931028E-2</v>
      </c>
      <c r="BW109" s="97">
        <f t="shared" si="27"/>
        <v>-7.3879840295828392E-2</v>
      </c>
      <c r="BX109" s="97">
        <f t="shared" si="27"/>
        <v>4.6202724317918387E-2</v>
      </c>
      <c r="BY109" s="97" t="str">
        <f t="shared" si="27"/>
        <v/>
      </c>
      <c r="BZ109" s="97">
        <f t="shared" si="27"/>
        <v>-0.1278984787592759</v>
      </c>
      <c r="CA109" s="97">
        <f t="shared" si="27"/>
        <v>8.2278381962905378E-2</v>
      </c>
      <c r="CB109" s="97">
        <f t="shared" si="27"/>
        <v>0.11044903559191407</v>
      </c>
      <c r="CC109" s="97">
        <f t="shared" si="27"/>
        <v>6.4289635020287283E-2</v>
      </c>
      <c r="CD109" s="97">
        <f t="shared" si="27"/>
        <v>-5.9580100560538862E-2</v>
      </c>
      <c r="CE109" s="97">
        <f t="shared" si="27"/>
        <v>9.5168250392745568E-2</v>
      </c>
      <c r="CF109" s="97">
        <f t="shared" si="27"/>
        <v>0.10979997470188918</v>
      </c>
      <c r="CG109" s="97" t="str">
        <f t="shared" si="27"/>
        <v/>
      </c>
      <c r="CH109" s="97" t="str">
        <f t="shared" si="27"/>
        <v/>
      </c>
      <c r="CI109" s="97">
        <f t="shared" si="27"/>
        <v>0.82521876744026956</v>
      </c>
      <c r="CJ109" s="97">
        <f t="shared" si="27"/>
        <v>-6.8202942877571004E-3</v>
      </c>
      <c r="CK109" s="97">
        <f t="shared" si="27"/>
        <v>-0.15396992447877483</v>
      </c>
      <c r="CL109" s="97">
        <f t="shared" si="27"/>
        <v>4.0097979626759976E-2</v>
      </c>
      <c r="CM109" s="97">
        <f t="shared" si="27"/>
        <v>0.11711673201864659</v>
      </c>
      <c r="CN109" s="97">
        <f t="shared" si="27"/>
        <v>5.3783398685313122E-2</v>
      </c>
      <c r="CO109" s="97">
        <f t="shared" si="27"/>
        <v>0.11976630466821918</v>
      </c>
      <c r="CP109" s="97">
        <f t="shared" si="27"/>
        <v>0.2821628730921848</v>
      </c>
      <c r="CQ109" s="97">
        <f t="shared" si="27"/>
        <v>-0.13450270117973401</v>
      </c>
      <c r="CR109" s="97">
        <f t="shared" si="27"/>
        <v>-0.22002157510421533</v>
      </c>
      <c r="CS109" s="97">
        <f t="shared" si="27"/>
        <v>0.83565799467755641</v>
      </c>
      <c r="CT109" s="97">
        <f t="shared" si="27"/>
        <v>0.10151655048926148</v>
      </c>
      <c r="CU109" s="97">
        <f t="shared" si="27"/>
        <v>0.20843661432213548</v>
      </c>
      <c r="CV109" s="97">
        <f t="shared" si="27"/>
        <v>-0.11559563860338162</v>
      </c>
      <c r="CW109" s="97">
        <f t="shared" si="27"/>
        <v>-3.8539325760052701E-2</v>
      </c>
      <c r="CX109" s="97">
        <f t="shared" si="27"/>
        <v>-3.9356129868228118E-2</v>
      </c>
      <c r="CY109" s="97">
        <f t="shared" si="27"/>
        <v>0.8186836835855984</v>
      </c>
      <c r="CZ109" s="97">
        <f t="shared" si="27"/>
        <v>6.1509840199425198E-3</v>
      </c>
      <c r="DA109" s="97">
        <f t="shared" si="27"/>
        <v>-0.25306523655041879</v>
      </c>
      <c r="DB109" s="97">
        <f t="shared" si="27"/>
        <v>-5.7847873927554423E-2</v>
      </c>
      <c r="DC109" s="97">
        <f t="shared" si="27"/>
        <v>0.10722672250326278</v>
      </c>
      <c r="DD109" s="97">
        <f t="shared" si="27"/>
        <v>0.15021935452901397</v>
      </c>
      <c r="DE109" s="97">
        <f t="shared" si="27"/>
        <v>0.11420297910489378</v>
      </c>
      <c r="DF109" s="97">
        <f t="shared" si="27"/>
        <v>8.5268950170864777E-2</v>
      </c>
      <c r="DG109" s="97">
        <f t="shared" si="27"/>
        <v>5.525941856427739E-3</v>
      </c>
      <c r="DH109" s="97" t="str">
        <f t="shared" si="27"/>
        <v/>
      </c>
      <c r="DI109" s="97">
        <f t="shared" si="27"/>
        <v>-0.17859118325448611</v>
      </c>
      <c r="DJ109" s="97">
        <f t="shared" si="27"/>
        <v>-0.18804700971225943</v>
      </c>
      <c r="DK109" s="97">
        <f t="shared" si="27"/>
        <v>2.9068758486802126E-2</v>
      </c>
      <c r="DL109" s="97">
        <f t="shared" si="27"/>
        <v>-0.33622894191526265</v>
      </c>
      <c r="DM109" s="97">
        <f t="shared" si="27"/>
        <v>1.214429013031704E-2</v>
      </c>
      <c r="DN109" s="97">
        <f t="shared" si="27"/>
        <v>-0.11578925088733621</v>
      </c>
      <c r="DO109" s="97" t="str">
        <f t="shared" si="27"/>
        <v/>
      </c>
      <c r="DP109" s="97">
        <f t="shared" si="27"/>
        <v>6.0032564076152761E-2</v>
      </c>
      <c r="DQ109" s="97">
        <f t="shared" si="27"/>
        <v>-0.73801147310955861</v>
      </c>
      <c r="DR109" s="97">
        <f t="shared" si="27"/>
        <v>7.7530449180829963E-2</v>
      </c>
      <c r="DS109" s="97">
        <f t="shared" si="27"/>
        <v>0.13787951221538908</v>
      </c>
      <c r="DT109" s="97">
        <f t="shared" si="27"/>
        <v>7.7346293033548008E-2</v>
      </c>
      <c r="DU109" s="97">
        <f t="shared" si="27"/>
        <v>0.15613646696534778</v>
      </c>
      <c r="DV109" s="97" t="str">
        <f t="shared" si="27"/>
        <v/>
      </c>
      <c r="DW109" s="97">
        <f t="shared" si="27"/>
        <v>-0.15867053521348753</v>
      </c>
      <c r="DX109" s="97">
        <f t="shared" si="27"/>
        <v>0.32344686022377478</v>
      </c>
      <c r="DY109" s="97">
        <f t="shared" si="27"/>
        <v>0.4087833986853131</v>
      </c>
      <c r="DZ109" s="97">
        <f t="shared" si="24"/>
        <v>8.77415779330315E-4</v>
      </c>
      <c r="EA109" s="97">
        <f t="shared" si="24"/>
        <v>-0.34585461036446052</v>
      </c>
      <c r="EB109" s="97">
        <f t="shared" si="24"/>
        <v>7.1884360223774868E-2</v>
      </c>
      <c r="EC109" s="97">
        <f t="shared" si="24"/>
        <v>-0.37265566786611282</v>
      </c>
      <c r="ED109" s="97">
        <f t="shared" si="24"/>
        <v>-0.15523993752903423</v>
      </c>
      <c r="EE109" s="97">
        <f t="shared" si="24"/>
        <v>0.20658946585757779</v>
      </c>
      <c r="EF109" s="97">
        <f t="shared" si="24"/>
        <v>5.3135571598234677E-2</v>
      </c>
      <c r="EG109" s="97">
        <f t="shared" si="24"/>
        <v>-4.6781397762252208E-3</v>
      </c>
      <c r="EH109" s="97">
        <f t="shared" si="24"/>
        <v>-0.46803384447421181</v>
      </c>
      <c r="EI109" s="97">
        <f t="shared" si="24"/>
        <v>3.9981961227817386E-2</v>
      </c>
      <c r="EJ109" s="97">
        <f t="shared" si="24"/>
        <v>-0.85488618415902684</v>
      </c>
      <c r="EK109" s="97">
        <f t="shared" si="24"/>
        <v>8.0567761863119092E-2</v>
      </c>
      <c r="EL109" s="97">
        <f t="shared" si="24"/>
        <v>1.1715302846725621E-2</v>
      </c>
      <c r="EM109" s="97">
        <f t="shared" si="24"/>
        <v>0.18139201782418149</v>
      </c>
      <c r="EN109" s="97">
        <f t="shared" si="24"/>
        <v>0.12060849124947848</v>
      </c>
      <c r="EO109" s="97">
        <f t="shared" si="24"/>
        <v>5.7821860223774557E-2</v>
      </c>
    </row>
    <row r="110" spans="1:145" outlineLevel="1" x14ac:dyDescent="0.25">
      <c r="A110">
        <v>2023</v>
      </c>
      <c r="B110">
        <v>12</v>
      </c>
      <c r="C110" s="97">
        <f t="shared" ref="C110:BN113" si="30">IF(ISBLANK(C47),"",C47-$D47)</f>
        <v>4.1383994331414486E-2</v>
      </c>
      <c r="D110" s="97">
        <f t="shared" si="30"/>
        <v>0</v>
      </c>
      <c r="E110" s="97">
        <f t="shared" si="30"/>
        <v>0.19613325843912535</v>
      </c>
      <c r="F110" s="97">
        <f t="shared" si="30"/>
        <v>-0.15496324274875756</v>
      </c>
      <c r="G110" s="97" t="str">
        <f t="shared" si="30"/>
        <v/>
      </c>
      <c r="H110" s="97">
        <f t="shared" si="30"/>
        <v>0.31715026018666337</v>
      </c>
      <c r="I110" s="97">
        <f t="shared" si="30"/>
        <v>3.5269711356961782E-2</v>
      </c>
      <c r="J110" s="97">
        <f t="shared" si="30"/>
        <v>9.3910609212637164E-2</v>
      </c>
      <c r="K110" s="97">
        <f t="shared" si="30"/>
        <v>0.40407435697154903</v>
      </c>
      <c r="L110" s="97">
        <f t="shared" si="30"/>
        <v>5.7125197530021543E-2</v>
      </c>
      <c r="M110" s="97">
        <f t="shared" si="30"/>
        <v>0.10272831393375915</v>
      </c>
      <c r="N110" s="97" t="str">
        <f t="shared" si="30"/>
        <v/>
      </c>
      <c r="O110" s="97">
        <f t="shared" si="30"/>
        <v>0.16191406212177986</v>
      </c>
      <c r="P110" s="97">
        <f t="shared" si="30"/>
        <v>-0.10650053346413045</v>
      </c>
      <c r="Q110" s="97">
        <f t="shared" si="30"/>
        <v>1.021444238128022E-2</v>
      </c>
      <c r="R110" s="97">
        <f t="shared" si="30"/>
        <v>0.86918550305030839</v>
      </c>
      <c r="S110" s="97">
        <f t="shared" si="30"/>
        <v>-1.5158803026815715E-3</v>
      </c>
      <c r="T110" s="97">
        <f t="shared" si="30"/>
        <v>4.4741296601229052E-2</v>
      </c>
      <c r="U110" s="97">
        <f t="shared" si="30"/>
        <v>0.68322168875809197</v>
      </c>
      <c r="V110" s="97">
        <f t="shared" si="30"/>
        <v>0.21929187939933964</v>
      </c>
      <c r="W110" s="97">
        <f t="shared" si="30"/>
        <v>1.5788578390198541E-2</v>
      </c>
      <c r="X110" s="97">
        <f t="shared" si="30"/>
        <v>0.17570686296120505</v>
      </c>
      <c r="Y110" s="97">
        <f t="shared" si="30"/>
        <v>0.23589636124717475</v>
      </c>
      <c r="Z110" s="97">
        <f t="shared" si="30"/>
        <v>-0.17647363728338816</v>
      </c>
      <c r="AA110" s="97" t="str">
        <f t="shared" si="30"/>
        <v/>
      </c>
      <c r="AB110" s="97">
        <f t="shared" si="30"/>
        <v>3.4807927503272003E-2</v>
      </c>
      <c r="AC110" s="97">
        <f t="shared" si="30"/>
        <v>-1.4298351322068581E-2</v>
      </c>
      <c r="AD110" s="97">
        <f t="shared" si="30"/>
        <v>-0.31512168473588414</v>
      </c>
      <c r="AE110" s="97">
        <f t="shared" si="30"/>
        <v>-0.23584310594663474</v>
      </c>
      <c r="AF110" s="97">
        <f t="shared" si="30"/>
        <v>0.66238835542475827</v>
      </c>
      <c r="AG110" s="97">
        <f t="shared" si="30"/>
        <v>0.21581738253799604</v>
      </c>
      <c r="AH110" s="97">
        <f t="shared" si="30"/>
        <v>0.15413753034225006</v>
      </c>
      <c r="AI110" s="97">
        <f t="shared" si="30"/>
        <v>-0.39370138816498518</v>
      </c>
      <c r="AJ110" s="97">
        <f t="shared" si="30"/>
        <v>0.32513345346397404</v>
      </c>
      <c r="AK110" s="97">
        <f t="shared" si="30"/>
        <v>-9.7857258610329234E-2</v>
      </c>
      <c r="AL110" s="97">
        <f t="shared" si="30"/>
        <v>0.19665809141123256</v>
      </c>
      <c r="AM110" s="97">
        <f t="shared" si="30"/>
        <v>0.27094744454921854</v>
      </c>
      <c r="AN110" s="97">
        <f t="shared" si="30"/>
        <v>6.5571379297437504E-2</v>
      </c>
      <c r="AO110" s="97">
        <f t="shared" si="30"/>
        <v>8.8221688758091776E-2</v>
      </c>
      <c r="AP110" s="97">
        <f t="shared" si="30"/>
        <v>0.15264476568116864</v>
      </c>
      <c r="AQ110" s="97" t="str">
        <f t="shared" si="30"/>
        <v/>
      </c>
      <c r="AR110" s="97">
        <f t="shared" si="30"/>
        <v>-2.295777680164357E-2</v>
      </c>
      <c r="AS110" s="97">
        <f t="shared" si="30"/>
        <v>0.60419994962765688</v>
      </c>
      <c r="AT110" s="97">
        <f t="shared" si="30"/>
        <v>-0.12142116838476535</v>
      </c>
      <c r="AU110" s="97">
        <f t="shared" si="30"/>
        <v>0.34466782458947365</v>
      </c>
      <c r="AV110" s="97">
        <f t="shared" si="30"/>
        <v>-5.2665408016101874E-2</v>
      </c>
      <c r="AW110" s="97">
        <f t="shared" si="30"/>
        <v>0.26057737636420386</v>
      </c>
      <c r="AX110" s="97">
        <f t="shared" si="30"/>
        <v>0.22485135128029435</v>
      </c>
      <c r="AY110" s="97">
        <f t="shared" si="30"/>
        <v>-0.12589993286352985</v>
      </c>
      <c r="AZ110" s="97">
        <f t="shared" si="30"/>
        <v>0.10765410692071045</v>
      </c>
      <c r="BA110" s="97">
        <f t="shared" si="30"/>
        <v>1.2438419895099717</v>
      </c>
      <c r="BB110" s="97">
        <f t="shared" si="30"/>
        <v>0.23300982435131215</v>
      </c>
      <c r="BC110" s="97">
        <f t="shared" si="30"/>
        <v>-0.19479854245578104</v>
      </c>
      <c r="BD110" s="97">
        <f t="shared" si="30"/>
        <v>0.79506379402124949</v>
      </c>
      <c r="BE110" s="97">
        <f t="shared" si="30"/>
        <v>0.46051042115245794</v>
      </c>
      <c r="BF110" s="97">
        <f t="shared" si="30"/>
        <v>2.6933216887580915</v>
      </c>
      <c r="BG110" s="97">
        <f t="shared" si="30"/>
        <v>0.40197168875809175</v>
      </c>
      <c r="BH110" s="97">
        <f t="shared" si="30"/>
        <v>-7.4791131754728846E-2</v>
      </c>
      <c r="BI110" s="97" t="str">
        <f t="shared" si="30"/>
        <v/>
      </c>
      <c r="BJ110" s="97">
        <f t="shared" si="30"/>
        <v>1.9328688823152529E-3</v>
      </c>
      <c r="BK110" s="97">
        <f t="shared" si="30"/>
        <v>0.28143597447237734</v>
      </c>
      <c r="BL110" s="97">
        <f t="shared" si="30"/>
        <v>0.10721515056125755</v>
      </c>
      <c r="BM110" s="97">
        <f t="shared" si="30"/>
        <v>0.20915614162916424</v>
      </c>
      <c r="BN110" s="97" t="str">
        <f t="shared" si="30"/>
        <v/>
      </c>
      <c r="BO110" s="97">
        <f t="shared" si="29"/>
        <v>-0.12068209673086715</v>
      </c>
      <c r="BP110" s="97">
        <f t="shared" si="29"/>
        <v>0.35434237841326427</v>
      </c>
      <c r="BQ110" s="97">
        <f t="shared" si="29"/>
        <v>0.15384443244040225</v>
      </c>
      <c r="BR110" s="97">
        <f t="shared" si="29"/>
        <v>-1.7393065340268958E-2</v>
      </c>
      <c r="BS110" s="97">
        <f t="shared" si="29"/>
        <v>0.16274140523193895</v>
      </c>
      <c r="BT110" s="97">
        <f t="shared" si="29"/>
        <v>4.359402918362365E-2</v>
      </c>
      <c r="BU110" s="97" t="str">
        <f t="shared" si="29"/>
        <v/>
      </c>
      <c r="BV110" s="97">
        <f t="shared" si="29"/>
        <v>-0.57635292967039897</v>
      </c>
      <c r="BW110" s="97">
        <f t="shared" si="29"/>
        <v>3.6066778836751912E-2</v>
      </c>
      <c r="BX110" s="97">
        <f t="shared" si="29"/>
        <v>9.1706531024320394E-3</v>
      </c>
      <c r="BY110" s="97" t="str">
        <f t="shared" si="29"/>
        <v/>
      </c>
      <c r="BZ110" s="97">
        <f t="shared" si="29"/>
        <v>5.58057141805679E-3</v>
      </c>
      <c r="CA110" s="97">
        <f t="shared" si="29"/>
        <v>-0.17094497790857485</v>
      </c>
      <c r="CB110" s="97">
        <f t="shared" si="29"/>
        <v>0.22055447901705236</v>
      </c>
      <c r="CC110" s="97">
        <f t="shared" si="29"/>
        <v>-1.801667466213808E-2</v>
      </c>
      <c r="CD110" s="97">
        <f t="shared" si="29"/>
        <v>0.15339803730580945</v>
      </c>
      <c r="CE110" s="97">
        <f t="shared" si="29"/>
        <v>0.6758892865234547</v>
      </c>
      <c r="CF110" s="97">
        <f t="shared" si="29"/>
        <v>0.57880325975507074</v>
      </c>
      <c r="CG110" s="97" t="str">
        <f t="shared" si="29"/>
        <v/>
      </c>
      <c r="CH110" s="97" t="str">
        <f t="shared" si="29"/>
        <v/>
      </c>
      <c r="CI110" s="97">
        <f t="shared" si="29"/>
        <v>-0.70850366335458426</v>
      </c>
      <c r="CJ110" s="97">
        <f t="shared" si="29"/>
        <v>6.7275375918715463E-2</v>
      </c>
      <c r="CK110" s="97">
        <f t="shared" si="29"/>
        <v>-0.32495763192122895</v>
      </c>
      <c r="CL110" s="97">
        <f t="shared" si="29"/>
        <v>0.14878291324788756</v>
      </c>
      <c r="CM110" s="97">
        <f t="shared" si="29"/>
        <v>0.38755842345196934</v>
      </c>
      <c r="CN110" s="97">
        <f t="shared" si="29"/>
        <v>0.33293099108367302</v>
      </c>
      <c r="CO110" s="97">
        <f t="shared" si="29"/>
        <v>-8.7282263811078176E-2</v>
      </c>
      <c r="CP110" s="97">
        <f t="shared" si="29"/>
        <v>0.21346362424196275</v>
      </c>
      <c r="CQ110" s="97">
        <f t="shared" si="29"/>
        <v>0.79410878553228526</v>
      </c>
      <c r="CR110" s="97">
        <f t="shared" si="29"/>
        <v>0.26957216462095146</v>
      </c>
      <c r="CS110" s="97">
        <f t="shared" si="29"/>
        <v>0.48887237368959857</v>
      </c>
      <c r="CT110" s="97">
        <f t="shared" si="29"/>
        <v>2.7721688758091778E-2</v>
      </c>
      <c r="CU110" s="97">
        <f t="shared" si="29"/>
        <v>3.626222929863232E-2</v>
      </c>
      <c r="CV110" s="97">
        <f t="shared" si="29"/>
        <v>0.20322314252820256</v>
      </c>
      <c r="CW110" s="97">
        <f t="shared" si="29"/>
        <v>6.3202072367507522E-2</v>
      </c>
      <c r="CX110" s="97">
        <f t="shared" si="29"/>
        <v>0.23252520781967534</v>
      </c>
      <c r="CY110" s="97">
        <f t="shared" si="29"/>
        <v>-0.48146581124190824</v>
      </c>
      <c r="CZ110" s="97">
        <f t="shared" si="29"/>
        <v>-5.9415259969748502E-2</v>
      </c>
      <c r="DA110" s="97">
        <f t="shared" si="29"/>
        <v>0.30187333396553107</v>
      </c>
      <c r="DB110" s="97">
        <f t="shared" si="29"/>
        <v>0.29953738350251213</v>
      </c>
      <c r="DC110" s="97">
        <f t="shared" si="29"/>
        <v>5.2186810808511293E-2</v>
      </c>
      <c r="DD110" s="97">
        <f t="shared" si="29"/>
        <v>-0.11275957356932455</v>
      </c>
      <c r="DE110" s="97">
        <f t="shared" si="29"/>
        <v>-0.12302831124190836</v>
      </c>
      <c r="DF110" s="97">
        <f t="shared" si="29"/>
        <v>-0.10136568988268491</v>
      </c>
      <c r="DG110" s="97">
        <f t="shared" si="29"/>
        <v>0.67248936552576843</v>
      </c>
      <c r="DH110" s="97" t="str">
        <f t="shared" si="29"/>
        <v/>
      </c>
      <c r="DI110" s="97">
        <f t="shared" si="29"/>
        <v>0.67183504908197822</v>
      </c>
      <c r="DJ110" s="97">
        <f t="shared" si="29"/>
        <v>0.34036920834033735</v>
      </c>
      <c r="DK110" s="97">
        <f t="shared" si="29"/>
        <v>7.6374593222806375E-2</v>
      </c>
      <c r="DL110" s="97">
        <f t="shared" si="29"/>
        <v>0.62772168875809187</v>
      </c>
      <c r="DM110" s="97">
        <f t="shared" si="29"/>
        <v>0.14829521816985625</v>
      </c>
      <c r="DN110" s="97">
        <f t="shared" si="29"/>
        <v>0.32310264113904402</v>
      </c>
      <c r="DO110" s="97" t="str">
        <f t="shared" si="29"/>
        <v/>
      </c>
      <c r="DP110" s="97">
        <f t="shared" si="29"/>
        <v>2.7028439646366482E-2</v>
      </c>
      <c r="DQ110" s="97">
        <f t="shared" si="29"/>
        <v>0.31863835542475843</v>
      </c>
      <c r="DR110" s="97">
        <f t="shared" si="29"/>
        <v>1.8397425719542948E-2</v>
      </c>
      <c r="DS110" s="97">
        <f t="shared" si="29"/>
        <v>5.7740037381944997E-2</v>
      </c>
      <c r="DT110" s="97">
        <f t="shared" si="29"/>
        <v>0.64088297908067227</v>
      </c>
      <c r="DU110" s="97">
        <f t="shared" si="29"/>
        <v>0.22076706080890826</v>
      </c>
      <c r="DV110" s="97" t="str">
        <f t="shared" si="29"/>
        <v/>
      </c>
      <c r="DW110" s="97">
        <f t="shared" si="29"/>
        <v>0.45414865505022656</v>
      </c>
      <c r="DX110" s="97">
        <f t="shared" si="29"/>
        <v>0.28630992405220956</v>
      </c>
      <c r="DY110" s="97">
        <f t="shared" si="29"/>
        <v>-4.2783112419082503E-3</v>
      </c>
      <c r="DZ110" s="97">
        <f t="shared" si="24"/>
        <v>0.26643992080229056</v>
      </c>
      <c r="EA110" s="97">
        <f t="shared" si="24"/>
        <v>-8.0349739813336818E-2</v>
      </c>
      <c r="EB110" s="97">
        <f t="shared" si="24"/>
        <v>7.7869729396698339E-2</v>
      </c>
      <c r="EC110" s="97">
        <f t="shared" si="24"/>
        <v>0.18683279986920295</v>
      </c>
      <c r="ED110" s="97">
        <f t="shared" si="24"/>
        <v>0.20824373461347084</v>
      </c>
      <c r="EE110" s="97">
        <f t="shared" si="24"/>
        <v>-0.13218528798609436</v>
      </c>
      <c r="EF110" s="97">
        <f t="shared" si="24"/>
        <v>-0.25043054660993258</v>
      </c>
      <c r="EG110" s="97">
        <f t="shared" si="24"/>
        <v>0.9848521235407004</v>
      </c>
      <c r="EH110" s="97">
        <f t="shared" si="24"/>
        <v>-0.20362598507882676</v>
      </c>
      <c r="EI110" s="97">
        <f t="shared" si="24"/>
        <v>0.17546355312205364</v>
      </c>
      <c r="EJ110" s="97">
        <f t="shared" si="24"/>
        <v>0.13924020727661035</v>
      </c>
      <c r="EK110" s="97">
        <f t="shared" si="24"/>
        <v>-0.30035081879477837</v>
      </c>
      <c r="EL110" s="97">
        <f t="shared" si="24"/>
        <v>0.25916254897314556</v>
      </c>
      <c r="EM110" s="97">
        <f t="shared" si="24"/>
        <v>0.48164824969536862</v>
      </c>
      <c r="EN110" s="97">
        <f t="shared" si="24"/>
        <v>0.11288978387277675</v>
      </c>
      <c r="EO110" s="97">
        <f t="shared" si="24"/>
        <v>0.37177210892615897</v>
      </c>
    </row>
    <row r="111" spans="1:145" outlineLevel="1" x14ac:dyDescent="0.25">
      <c r="A111">
        <v>2024</v>
      </c>
      <c r="B111">
        <v>1</v>
      </c>
      <c r="C111" s="97">
        <f t="shared" si="30"/>
        <v>1.1658250913204601E-2</v>
      </c>
      <c r="D111" s="97">
        <f t="shared" si="30"/>
        <v>0</v>
      </c>
      <c r="E111" s="97">
        <f t="shared" si="30"/>
        <v>0.10049371166120412</v>
      </c>
      <c r="F111" s="97">
        <f t="shared" si="30"/>
        <v>-0.39131120385338869</v>
      </c>
      <c r="G111" s="97" t="str">
        <f t="shared" si="30"/>
        <v/>
      </c>
      <c r="H111" s="97">
        <f t="shared" si="30"/>
        <v>-4.3367292199799616E-2</v>
      </c>
      <c r="I111" s="97">
        <f t="shared" si="30"/>
        <v>8.2688328638429898E-2</v>
      </c>
      <c r="J111" s="97">
        <f t="shared" si="30"/>
        <v>-0.14153577596246278</v>
      </c>
      <c r="K111" s="97">
        <f t="shared" si="30"/>
        <v>-0.12288433807598888</v>
      </c>
      <c r="L111" s="97">
        <f t="shared" si="30"/>
        <v>5.9781393676159089E-2</v>
      </c>
      <c r="M111" s="97">
        <f t="shared" si="30"/>
        <v>8.0640520933510408E-3</v>
      </c>
      <c r="N111" s="97" t="str">
        <f t="shared" si="30"/>
        <v/>
      </c>
      <c r="O111" s="97">
        <f t="shared" si="30"/>
        <v>-6.2345303886449537E-2</v>
      </c>
      <c r="P111" s="97">
        <f t="shared" si="30"/>
        <v>0.17890012373098263</v>
      </c>
      <c r="Q111" s="97">
        <f t="shared" si="30"/>
        <v>-4.2681931007004792E-3</v>
      </c>
      <c r="R111" s="97">
        <f t="shared" si="30"/>
        <v>3.9922539352568176E-3</v>
      </c>
      <c r="S111" s="97">
        <f t="shared" si="30"/>
        <v>-2.431645809607863E-3</v>
      </c>
      <c r="T111" s="97">
        <f t="shared" si="30"/>
        <v>-0.17940838001658829</v>
      </c>
      <c r="U111" s="97">
        <f t="shared" si="30"/>
        <v>0.30025855587049294</v>
      </c>
      <c r="V111" s="97">
        <f t="shared" si="30"/>
        <v>1.4853619930461189E-2</v>
      </c>
      <c r="W111" s="97">
        <f t="shared" si="30"/>
        <v>0.3596662331288078</v>
      </c>
      <c r="X111" s="97">
        <f t="shared" si="30"/>
        <v>0.12690406472063381</v>
      </c>
      <c r="Y111" s="97">
        <f t="shared" si="30"/>
        <v>-4.3000587466897611E-2</v>
      </c>
      <c r="Z111" s="97">
        <f t="shared" si="30"/>
        <v>-0.52412378876857058</v>
      </c>
      <c r="AA111" s="97" t="str">
        <f t="shared" si="30"/>
        <v/>
      </c>
      <c r="AB111" s="97">
        <f t="shared" si="30"/>
        <v>-4.0841116471816652E-2</v>
      </c>
      <c r="AC111" s="97">
        <f t="shared" si="30"/>
        <v>-0.23706171536790699</v>
      </c>
      <c r="AD111" s="97">
        <f t="shared" si="30"/>
        <v>1.5971304082979014</v>
      </c>
      <c r="AE111" s="97">
        <f t="shared" si="30"/>
        <v>-0.24302996968212709</v>
      </c>
      <c r="AF111" s="97">
        <f t="shared" si="30"/>
        <v>0.22275883392632642</v>
      </c>
      <c r="AG111" s="97">
        <f t="shared" si="30"/>
        <v>-0.59903943493076572</v>
      </c>
      <c r="AH111" s="97">
        <f t="shared" si="30"/>
        <v>6.4107875275367876E-2</v>
      </c>
      <c r="AI111" s="97">
        <f t="shared" si="30"/>
        <v>-0.80899260254951932</v>
      </c>
      <c r="AJ111" s="97">
        <f t="shared" si="30"/>
        <v>-0.10161332584406324</v>
      </c>
      <c r="AK111" s="97">
        <f t="shared" si="30"/>
        <v>-8.1030473904323719E-2</v>
      </c>
      <c r="AL111" s="97">
        <f t="shared" si="30"/>
        <v>6.655701807538783E-2</v>
      </c>
      <c r="AM111" s="97">
        <f t="shared" si="30"/>
        <v>-0.35463765122877916</v>
      </c>
      <c r="AN111" s="97">
        <f t="shared" si="30"/>
        <v>-0.24393761458830379</v>
      </c>
      <c r="AO111" s="97">
        <f t="shared" si="30"/>
        <v>0.15664044115726683</v>
      </c>
      <c r="AP111" s="97">
        <f t="shared" si="30"/>
        <v>-0.21969372501559409</v>
      </c>
      <c r="AQ111" s="97" t="str">
        <f t="shared" si="30"/>
        <v/>
      </c>
      <c r="AR111" s="97">
        <f t="shared" si="30"/>
        <v>-0.18338253546686048</v>
      </c>
      <c r="AS111" s="97">
        <f t="shared" si="30"/>
        <v>1.4555236706646735</v>
      </c>
      <c r="AT111" s="97">
        <f t="shared" si="30"/>
        <v>4.7511742174380263E-2</v>
      </c>
      <c r="AU111" s="97">
        <f t="shared" si="30"/>
        <v>-0.16225430421181167</v>
      </c>
      <c r="AV111" s="97">
        <f t="shared" si="30"/>
        <v>0.37217248486540133</v>
      </c>
      <c r="AW111" s="97">
        <f t="shared" si="30"/>
        <v>-1.5006448134257559E-2</v>
      </c>
      <c r="AX111" s="97">
        <f t="shared" si="30"/>
        <v>0.13012487048311461</v>
      </c>
      <c r="AY111" s="97">
        <f t="shared" si="30"/>
        <v>-0.43349896233146967</v>
      </c>
      <c r="AZ111" s="97">
        <f t="shared" si="30"/>
        <v>0.20086001202750461</v>
      </c>
      <c r="BA111" s="97">
        <f t="shared" si="30"/>
        <v>-0.28854912955554995</v>
      </c>
      <c r="BB111" s="97">
        <f t="shared" si="30"/>
        <v>6.1941852561399946E-2</v>
      </c>
      <c r="BC111" s="97">
        <f t="shared" si="30"/>
        <v>-0.35683412664349778</v>
      </c>
      <c r="BD111" s="97">
        <f t="shared" si="30"/>
        <v>0.62553071000716054</v>
      </c>
      <c r="BE111" s="97">
        <f t="shared" si="30"/>
        <v>-0.12926819310070059</v>
      </c>
      <c r="BF111" s="97">
        <f t="shared" si="30"/>
        <v>0.16102821538047651</v>
      </c>
      <c r="BG111" s="97">
        <f t="shared" si="30"/>
        <v>6.5361436528929007E-2</v>
      </c>
      <c r="BH111" s="97">
        <f t="shared" si="30"/>
        <v>0.30435249655447194</v>
      </c>
      <c r="BI111" s="97" t="str">
        <f t="shared" si="30"/>
        <v/>
      </c>
      <c r="BJ111" s="97">
        <f t="shared" si="30"/>
        <v>-0.41784844001428068</v>
      </c>
      <c r="BK111" s="97">
        <f t="shared" si="30"/>
        <v>-5.9823748656255948E-2</v>
      </c>
      <c r="BL111" s="97">
        <f t="shared" si="30"/>
        <v>-2.7797604865406278E-2</v>
      </c>
      <c r="BM111" s="97">
        <f t="shared" si="30"/>
        <v>-0.15337533595784339</v>
      </c>
      <c r="BN111" s="97" t="str">
        <f t="shared" si="30"/>
        <v/>
      </c>
      <c r="BO111" s="97">
        <f t="shared" si="29"/>
        <v>3.1076326713651348E-2</v>
      </c>
      <c r="BP111" s="97">
        <f t="shared" si="29"/>
        <v>-0.32406514741542131</v>
      </c>
      <c r="BQ111" s="97">
        <f t="shared" si="29"/>
        <v>5.7068692434392165E-3</v>
      </c>
      <c r="BR111" s="97">
        <f t="shared" si="29"/>
        <v>-0.13383629941299269</v>
      </c>
      <c r="BS111" s="97">
        <f t="shared" si="29"/>
        <v>-6.4028036719801285E-2</v>
      </c>
      <c r="BT111" s="97">
        <f t="shared" si="29"/>
        <v>-0.22254230477582737</v>
      </c>
      <c r="BU111" s="97">
        <f t="shared" si="29"/>
        <v>-0.26288888275587285</v>
      </c>
      <c r="BV111" s="97">
        <f t="shared" si="29"/>
        <v>-0.32064864224204787</v>
      </c>
      <c r="BW111" s="97">
        <f t="shared" si="29"/>
        <v>-6.5446158649281605E-3</v>
      </c>
      <c r="BX111" s="97">
        <f t="shared" si="29"/>
        <v>9.5125727510287916E-3</v>
      </c>
      <c r="BY111" s="97" t="str">
        <f t="shared" si="29"/>
        <v/>
      </c>
      <c r="BZ111" s="97">
        <f t="shared" si="29"/>
        <v>5.3159065704812443E-2</v>
      </c>
      <c r="CA111" s="97">
        <f t="shared" si="29"/>
        <v>0.18773180689929941</v>
      </c>
      <c r="CB111" s="97">
        <f t="shared" si="29"/>
        <v>1.9254629638028042E-2</v>
      </c>
      <c r="CC111" s="97">
        <f t="shared" si="29"/>
        <v>0.10327652371900922</v>
      </c>
      <c r="CD111" s="97">
        <f t="shared" si="29"/>
        <v>0.39358126926489084</v>
      </c>
      <c r="CE111" s="97">
        <f t="shared" si="29"/>
        <v>5.8075946550172342E-2</v>
      </c>
      <c r="CF111" s="97">
        <f t="shared" si="29"/>
        <v>-0.13594758241367769</v>
      </c>
      <c r="CG111" s="97" t="str">
        <f t="shared" si="29"/>
        <v/>
      </c>
      <c r="CH111" s="97" t="str">
        <f t="shared" si="29"/>
        <v/>
      </c>
      <c r="CI111" s="97">
        <f t="shared" si="29"/>
        <v>-0.10903009786260529</v>
      </c>
      <c r="CJ111" s="97">
        <f t="shared" si="29"/>
        <v>0.10360190887514072</v>
      </c>
      <c r="CK111" s="97">
        <f t="shared" si="29"/>
        <v>-0.16309172251246509</v>
      </c>
      <c r="CL111" s="97">
        <f t="shared" si="29"/>
        <v>-4.4445184251142862E-2</v>
      </c>
      <c r="CM111" s="97">
        <f t="shared" si="29"/>
        <v>-0.13036789984556849</v>
      </c>
      <c r="CN111" s="97">
        <f t="shared" si="29"/>
        <v>-0.19992036701374377</v>
      </c>
      <c r="CO111" s="97">
        <f t="shared" si="29"/>
        <v>0.12073180689929952</v>
      </c>
      <c r="CP111" s="97">
        <f t="shared" si="29"/>
        <v>6.8579489018504969E-2</v>
      </c>
      <c r="CQ111" s="97">
        <f t="shared" si="29"/>
        <v>8.5417905554008078E-2</v>
      </c>
      <c r="CR111" s="97">
        <f t="shared" si="29"/>
        <v>0.15037771008808362</v>
      </c>
      <c r="CS111" s="97">
        <f t="shared" si="29"/>
        <v>-1.3442505027305929E-2</v>
      </c>
      <c r="CT111" s="97">
        <f t="shared" si="29"/>
        <v>-2.7524007054189E-2</v>
      </c>
      <c r="CU111" s="97">
        <f t="shared" si="29"/>
        <v>0.29226860343609623</v>
      </c>
      <c r="CV111" s="97">
        <f t="shared" si="29"/>
        <v>-7.0761847843813563E-2</v>
      </c>
      <c r="CW111" s="97">
        <f t="shared" si="29"/>
        <v>9.5885688296504321E-4</v>
      </c>
      <c r="CX111" s="97">
        <f t="shared" si="29"/>
        <v>-3.8352366189022942E-2</v>
      </c>
      <c r="CY111" s="97">
        <f t="shared" si="29"/>
        <v>-0.65160830069185405</v>
      </c>
      <c r="CZ111" s="97">
        <f t="shared" si="29"/>
        <v>-4.9280404119084409E-2</v>
      </c>
      <c r="DA111" s="97">
        <f t="shared" si="29"/>
        <v>-0.27042372431647266</v>
      </c>
      <c r="DB111" s="97">
        <f t="shared" si="29"/>
        <v>-1.4759634293411539E-2</v>
      </c>
      <c r="DC111" s="97">
        <f t="shared" si="29"/>
        <v>-7.3741479208031535E-3</v>
      </c>
      <c r="DD111" s="97">
        <f t="shared" si="29"/>
        <v>6.8740656456821592E-2</v>
      </c>
      <c r="DE111" s="97">
        <f t="shared" si="29"/>
        <v>-0.14611216473190619</v>
      </c>
      <c r="DF111" s="97">
        <f t="shared" si="29"/>
        <v>-7.4160666218980098E-2</v>
      </c>
      <c r="DG111" s="97">
        <f t="shared" si="29"/>
        <v>3.7900481598094782E-2</v>
      </c>
      <c r="DH111" s="97" t="str">
        <f t="shared" si="29"/>
        <v/>
      </c>
      <c r="DI111" s="97">
        <f t="shared" si="29"/>
        <v>-5.4992830781859792E-2</v>
      </c>
      <c r="DJ111" s="97">
        <f t="shared" si="29"/>
        <v>-0.25087013484827336</v>
      </c>
      <c r="DK111" s="97">
        <f t="shared" si="29"/>
        <v>5.970337509121415E-2</v>
      </c>
      <c r="DL111" s="97">
        <f t="shared" si="29"/>
        <v>-0.20034662447324958</v>
      </c>
      <c r="DM111" s="97">
        <f t="shared" si="29"/>
        <v>-0.22276899054886629</v>
      </c>
      <c r="DN111" s="97">
        <f t="shared" si="29"/>
        <v>-8.0501376957202719E-2</v>
      </c>
      <c r="DO111" s="97" t="str">
        <f t="shared" si="29"/>
        <v/>
      </c>
      <c r="DP111" s="97">
        <f t="shared" si="29"/>
        <v>-0.13285219953181468</v>
      </c>
      <c r="DQ111" s="97">
        <f t="shared" si="29"/>
        <v>-0.38615795688022797</v>
      </c>
      <c r="DR111" s="97">
        <f t="shared" si="29"/>
        <v>2.1785021976904909E-2</v>
      </c>
      <c r="DS111" s="97">
        <f t="shared" si="29"/>
        <v>-4.7806548318392261E-2</v>
      </c>
      <c r="DT111" s="97">
        <f t="shared" si="29"/>
        <v>-0.72936623231638675</v>
      </c>
      <c r="DU111" s="97">
        <f t="shared" si="29"/>
        <v>0.3409169920844845</v>
      </c>
      <c r="DV111" s="97" t="str">
        <f t="shared" si="29"/>
        <v/>
      </c>
      <c r="DW111" s="97">
        <f t="shared" si="29"/>
        <v>-0.20611719155986849</v>
      </c>
      <c r="DX111" s="97">
        <f t="shared" si="29"/>
        <v>-0.21393090960024477</v>
      </c>
      <c r="DY111" s="97">
        <f t="shared" si="29"/>
        <v>0.41069779329385731</v>
      </c>
      <c r="DZ111" s="97">
        <f t="shared" si="24"/>
        <v>-0.20861601918765699</v>
      </c>
      <c r="EA111" s="97">
        <f t="shared" si="24"/>
        <v>-0.42444600523831166</v>
      </c>
      <c r="EB111" s="97">
        <f t="shared" si="24"/>
        <v>-9.0909824001988104E-2</v>
      </c>
      <c r="EC111" s="97">
        <f t="shared" si="24"/>
        <v>5.5433299436612904E-2</v>
      </c>
      <c r="ED111" s="97">
        <f t="shared" si="24"/>
        <v>-0.30608637491888235</v>
      </c>
      <c r="EE111" s="97">
        <f t="shared" si="24"/>
        <v>1.7625134374377183E-4</v>
      </c>
      <c r="EF111" s="97">
        <f t="shared" si="24"/>
        <v>-0.32690708198958929</v>
      </c>
      <c r="EG111" s="97">
        <f t="shared" si="24"/>
        <v>-0.23241026960343267</v>
      </c>
      <c r="EH111" s="97">
        <f t="shared" si="24"/>
        <v>2.66570654428584E-2</v>
      </c>
      <c r="EI111" s="97">
        <f t="shared" si="24"/>
        <v>8.2524553568042558E-2</v>
      </c>
      <c r="EJ111" s="97">
        <f t="shared" si="24"/>
        <v>-0.15001718095495167</v>
      </c>
      <c r="EK111" s="97">
        <f t="shared" si="24"/>
        <v>-0.2703626137015589</v>
      </c>
      <c r="EL111" s="97">
        <f t="shared" si="24"/>
        <v>4.254031753759735E-2</v>
      </c>
      <c r="EM111" s="97">
        <f t="shared" si="24"/>
        <v>-0.24869127002377739</v>
      </c>
      <c r="EN111" s="97">
        <f t="shared" si="24"/>
        <v>-5.0547386401990968E-2</v>
      </c>
      <c r="EO111" s="97">
        <f t="shared" si="24"/>
        <v>-0.12029872745184549</v>
      </c>
    </row>
    <row r="112" spans="1:145" outlineLevel="1" x14ac:dyDescent="0.25">
      <c r="A112">
        <v>2024</v>
      </c>
      <c r="B112">
        <v>2</v>
      </c>
      <c r="C112" s="97">
        <f t="shared" si="30"/>
        <v>4.7742065872084183E-2</v>
      </c>
      <c r="D112" s="97">
        <f t="shared" si="30"/>
        <v>0</v>
      </c>
      <c r="E112" s="97">
        <f t="shared" si="30"/>
        <v>2.1417101674202632E-2</v>
      </c>
      <c r="F112" s="97">
        <f t="shared" si="30"/>
        <v>0.78487175931161501</v>
      </c>
      <c r="G112" s="97" t="str">
        <f t="shared" si="30"/>
        <v/>
      </c>
      <c r="H112" s="97">
        <f t="shared" si="30"/>
        <v>1.0394327750675834</v>
      </c>
      <c r="I112" s="97">
        <f t="shared" si="30"/>
        <v>0.17368003270868537</v>
      </c>
      <c r="J112" s="97">
        <f t="shared" si="30"/>
        <v>-0.13169384285353361</v>
      </c>
      <c r="K112" s="97">
        <f t="shared" si="30"/>
        <v>2.7330733643264667E-2</v>
      </c>
      <c r="L112" s="97">
        <f t="shared" si="30"/>
        <v>5.186571232033587E-2</v>
      </c>
      <c r="M112" s="97">
        <f t="shared" si="30"/>
        <v>0.20784453467930519</v>
      </c>
      <c r="N112" s="97" t="str">
        <f t="shared" si="30"/>
        <v/>
      </c>
      <c r="O112" s="97">
        <f t="shared" si="30"/>
        <v>-0.85004082221359445</v>
      </c>
      <c r="P112" s="97">
        <f t="shared" si="30"/>
        <v>0.53111988626517048</v>
      </c>
      <c r="Q112" s="97">
        <f t="shared" si="30"/>
        <v>9.5555032708685386E-2</v>
      </c>
      <c r="R112" s="97">
        <f t="shared" si="30"/>
        <v>0.10350683993760089</v>
      </c>
      <c r="S112" s="97">
        <f t="shared" si="30"/>
        <v>5.6375258342580238E-3</v>
      </c>
      <c r="T112" s="97">
        <f t="shared" si="30"/>
        <v>-2.9720463758378104E-3</v>
      </c>
      <c r="U112" s="97">
        <f t="shared" si="30"/>
        <v>0.21006607371814898</v>
      </c>
      <c r="V112" s="97">
        <f t="shared" si="30"/>
        <v>-0.11632821954982761</v>
      </c>
      <c r="W112" s="97">
        <f t="shared" si="30"/>
        <v>3.1612725016377352E-2</v>
      </c>
      <c r="X112" s="97">
        <f t="shared" si="30"/>
        <v>-0.10052405204084269</v>
      </c>
      <c r="Y112" s="97">
        <f t="shared" si="30"/>
        <v>5.4163091316743905E-2</v>
      </c>
      <c r="Z112" s="97">
        <f t="shared" si="30"/>
        <v>-0.37459534323116439</v>
      </c>
      <c r="AA112" s="97" t="str">
        <f t="shared" si="30"/>
        <v/>
      </c>
      <c r="AB112" s="97">
        <f t="shared" si="30"/>
        <v>3.4023263337628284E-2</v>
      </c>
      <c r="AC112" s="97">
        <f t="shared" si="30"/>
        <v>0.56547587703586211</v>
      </c>
      <c r="AD112" s="97">
        <f t="shared" si="30"/>
        <v>-0.4157352898719599</v>
      </c>
      <c r="AE112" s="97">
        <f t="shared" si="30"/>
        <v>0.49873749381193844</v>
      </c>
      <c r="AF112" s="97">
        <f t="shared" si="30"/>
        <v>-9.2550694163561542E-2</v>
      </c>
      <c r="AG112" s="97">
        <f t="shared" si="30"/>
        <v>-0.57057399954937926</v>
      </c>
      <c r="AH112" s="97">
        <f t="shared" si="30"/>
        <v>0.11555503270868518</v>
      </c>
      <c r="AI112" s="97">
        <f t="shared" si="30"/>
        <v>0.11652277464416909</v>
      </c>
      <c r="AJ112" s="97">
        <f t="shared" si="30"/>
        <v>0.11320209153221449</v>
      </c>
      <c r="AK112" s="97">
        <f t="shared" si="30"/>
        <v>-0.10507389810892491</v>
      </c>
      <c r="AL112" s="97">
        <f t="shared" si="30"/>
        <v>0.10932930455334548</v>
      </c>
      <c r="AM112" s="97">
        <f t="shared" si="30"/>
        <v>0.10929910853806898</v>
      </c>
      <c r="AN112" s="97">
        <f t="shared" si="30"/>
        <v>-0.21096670642174953</v>
      </c>
      <c r="AO112" s="97">
        <f t="shared" si="30"/>
        <v>1.9593494247146733E-2</v>
      </c>
      <c r="AP112" s="97">
        <f t="shared" si="30"/>
        <v>0.19555503270868529</v>
      </c>
      <c r="AQ112" s="97" t="str">
        <f t="shared" si="30"/>
        <v/>
      </c>
      <c r="AR112" s="97">
        <f t="shared" si="30"/>
        <v>0.23275310034153548</v>
      </c>
      <c r="AS112" s="97">
        <f t="shared" si="30"/>
        <v>-0.61763178047812795</v>
      </c>
      <c r="AT112" s="97">
        <f t="shared" si="30"/>
        <v>0.76170887886253147</v>
      </c>
      <c r="AU112" s="97">
        <f t="shared" si="30"/>
        <v>-0.19001197760059291</v>
      </c>
      <c r="AV112" s="97">
        <f t="shared" si="30"/>
        <v>0.22693047908228459</v>
      </c>
      <c r="AW112" s="97">
        <f t="shared" si="30"/>
        <v>7.3574028638129008E-2</v>
      </c>
      <c r="AX112" s="97">
        <f t="shared" si="30"/>
        <v>1.2752484937984754E-2</v>
      </c>
      <c r="AY112" s="97">
        <f t="shared" si="30"/>
        <v>0.94973293028280903</v>
      </c>
      <c r="AZ112" s="97">
        <f t="shared" si="30"/>
        <v>0.16419175453689649</v>
      </c>
      <c r="BA112" s="97">
        <f t="shared" si="30"/>
        <v>0.16845222897036738</v>
      </c>
      <c r="BB112" s="97">
        <f t="shared" si="30"/>
        <v>-5.1554175000094064E-2</v>
      </c>
      <c r="BC112" s="97">
        <f t="shared" si="30"/>
        <v>-3.1062614350138237E-2</v>
      </c>
      <c r="BD112" s="97">
        <f t="shared" si="30"/>
        <v>-8.8572841660355617E-2</v>
      </c>
      <c r="BE112" s="97">
        <f t="shared" si="30"/>
        <v>0.18511547226912489</v>
      </c>
      <c r="BF112" s="97">
        <f t="shared" si="30"/>
        <v>5.9523591104677651E-3</v>
      </c>
      <c r="BG112" s="97">
        <f t="shared" si="30"/>
        <v>0.40968245653140006</v>
      </c>
      <c r="BH112" s="97">
        <f t="shared" si="30"/>
        <v>0.16551550701698578</v>
      </c>
      <c r="BI112" s="97" t="str">
        <f t="shared" si="30"/>
        <v/>
      </c>
      <c r="BJ112" s="97">
        <f t="shared" si="30"/>
        <v>0.55871292744552736</v>
      </c>
      <c r="BK112" s="97">
        <f t="shared" si="30"/>
        <v>-0.10003320258543247</v>
      </c>
      <c r="BL112" s="97">
        <f t="shared" si="30"/>
        <v>1.3310264160809604E-2</v>
      </c>
      <c r="BM112" s="97">
        <f t="shared" si="30"/>
        <v>0.13144170637080488</v>
      </c>
      <c r="BN112" s="97" t="str">
        <f t="shared" si="30"/>
        <v/>
      </c>
      <c r="BO112" s="97">
        <f t="shared" si="29"/>
        <v>0.18383089477765099</v>
      </c>
      <c r="BP112" s="97">
        <f t="shared" si="29"/>
        <v>6.2719211813162756E-2</v>
      </c>
      <c r="BQ112" s="97">
        <f t="shared" si="29"/>
        <v>-6.1235090748104848E-2</v>
      </c>
      <c r="BR112" s="97">
        <f t="shared" si="29"/>
        <v>-3.6887715382917796E-2</v>
      </c>
      <c r="BS112" s="97">
        <f t="shared" si="29"/>
        <v>2.7928065081717524E-2</v>
      </c>
      <c r="BT112" s="97">
        <f t="shared" si="29"/>
        <v>-0.19925016209650961</v>
      </c>
      <c r="BU112" s="97">
        <f t="shared" si="29"/>
        <v>0.57404340480170846</v>
      </c>
      <c r="BV112" s="97">
        <f t="shared" si="29"/>
        <v>-0.43439665811257083</v>
      </c>
      <c r="BW112" s="97">
        <f t="shared" si="29"/>
        <v>-3.5572737825864897E-2</v>
      </c>
      <c r="BX112" s="97">
        <f t="shared" si="29"/>
        <v>1.8882099934938164E-2</v>
      </c>
      <c r="BY112" s="97" t="str">
        <f t="shared" si="29"/>
        <v/>
      </c>
      <c r="BZ112" s="97">
        <f t="shared" si="29"/>
        <v>0.21025452582961229</v>
      </c>
      <c r="CA112" s="97">
        <f t="shared" si="29"/>
        <v>1.3109912743194243</v>
      </c>
      <c r="CB112" s="97">
        <f t="shared" si="29"/>
        <v>8.1054348714157287E-2</v>
      </c>
      <c r="CC112" s="97">
        <f t="shared" si="29"/>
        <v>0.16495101336804679</v>
      </c>
      <c r="CD112" s="97">
        <f t="shared" si="29"/>
        <v>-2.7521890368237708E-2</v>
      </c>
      <c r="CE112" s="97">
        <f t="shared" si="29"/>
        <v>0.10353625336596228</v>
      </c>
      <c r="CF112" s="97">
        <f t="shared" si="29"/>
        <v>0.15159898875264119</v>
      </c>
      <c r="CG112" s="97" t="str">
        <f t="shared" si="29"/>
        <v/>
      </c>
      <c r="CH112" s="97" t="str">
        <f t="shared" si="29"/>
        <v/>
      </c>
      <c r="CI112" s="97">
        <f t="shared" si="29"/>
        <v>6.4703968878897955E-2</v>
      </c>
      <c r="CJ112" s="97">
        <f t="shared" si="29"/>
        <v>4.8296190044287986E-2</v>
      </c>
      <c r="CK112" s="97">
        <f t="shared" si="29"/>
        <v>-0.15304636589271331</v>
      </c>
      <c r="CL112" s="97">
        <f t="shared" si="29"/>
        <v>0.30479346162257048</v>
      </c>
      <c r="CM112" s="97">
        <f t="shared" si="29"/>
        <v>0.17877650921875229</v>
      </c>
      <c r="CN112" s="97">
        <f t="shared" si="29"/>
        <v>-3.4174697021044587E-2</v>
      </c>
      <c r="CO112" s="97">
        <f t="shared" si="29"/>
        <v>-3.5096308287483335E-2</v>
      </c>
      <c r="CP112" s="97">
        <f t="shared" si="29"/>
        <v>0.14987602036300629</v>
      </c>
      <c r="CQ112" s="97">
        <f t="shared" si="29"/>
        <v>1.0655138804453113</v>
      </c>
      <c r="CR112" s="97">
        <f t="shared" si="29"/>
        <v>5.7025729857333562E-2</v>
      </c>
      <c r="CS112" s="97">
        <f t="shared" si="29"/>
        <v>0.38444392159757407</v>
      </c>
      <c r="CT112" s="97">
        <f t="shared" si="29"/>
        <v>0.40825344540709807</v>
      </c>
      <c r="CU112" s="97">
        <f t="shared" si="29"/>
        <v>9.4052528535062629E-2</v>
      </c>
      <c r="CV112" s="97">
        <f t="shared" si="29"/>
        <v>0.19166680724892887</v>
      </c>
      <c r="CW112" s="97">
        <f t="shared" si="29"/>
        <v>0.12620176654033938</v>
      </c>
      <c r="CX112" s="97">
        <f t="shared" si="29"/>
        <v>-9.2508790549983178E-2</v>
      </c>
      <c r="CY112" s="97">
        <f t="shared" si="29"/>
        <v>3.7927914064617596E-2</v>
      </c>
      <c r="CZ112" s="97">
        <f t="shared" si="29"/>
        <v>-2.3648356124638226E-2</v>
      </c>
      <c r="DA112" s="97">
        <f t="shared" si="29"/>
        <v>0.59256995808181956</v>
      </c>
      <c r="DB112" s="97">
        <f t="shared" si="29"/>
        <v>-0.11884228871988621</v>
      </c>
      <c r="DC112" s="97">
        <f t="shared" si="29"/>
        <v>-0.18586506704389683</v>
      </c>
      <c r="DD112" s="97">
        <f t="shared" si="29"/>
        <v>-8.2795482755232186E-2</v>
      </c>
      <c r="DE112" s="97">
        <f t="shared" si="29"/>
        <v>0.41704263601447039</v>
      </c>
      <c r="DF112" s="97">
        <f t="shared" si="29"/>
        <v>0.14584405004972578</v>
      </c>
      <c r="DG112" s="97">
        <f t="shared" si="29"/>
        <v>7.6479888200014834E-2</v>
      </c>
      <c r="DH112" s="97" t="str">
        <f t="shared" si="29"/>
        <v/>
      </c>
      <c r="DI112" s="97">
        <f t="shared" si="29"/>
        <v>0.55407920573667502</v>
      </c>
      <c r="DJ112" s="97">
        <f t="shared" si="29"/>
        <v>-2.2486204404716718E-2</v>
      </c>
      <c r="DK112" s="97">
        <f t="shared" si="29"/>
        <v>-4.4946011132650739E-2</v>
      </c>
      <c r="DL112" s="97">
        <f t="shared" si="29"/>
        <v>0.37970137417210009</v>
      </c>
      <c r="DM112" s="97">
        <f t="shared" si="29"/>
        <v>0.22412646128011368</v>
      </c>
      <c r="DN112" s="97">
        <f t="shared" si="29"/>
        <v>-0.21803720030102353</v>
      </c>
      <c r="DO112" s="97" t="str">
        <f t="shared" si="29"/>
        <v/>
      </c>
      <c r="DP112" s="97">
        <f t="shared" si="29"/>
        <v>6.3183744710090917E-2</v>
      </c>
      <c r="DQ112" s="97">
        <f t="shared" si="29"/>
        <v>0.14141490532015008</v>
      </c>
      <c r="DR112" s="97">
        <f t="shared" si="29"/>
        <v>-0.21027965124593381</v>
      </c>
      <c r="DS112" s="97">
        <f t="shared" si="29"/>
        <v>6.8531911321402017E-2</v>
      </c>
      <c r="DT112" s="97">
        <f t="shared" si="29"/>
        <v>-4.0464938760644387E-2</v>
      </c>
      <c r="DU112" s="97">
        <f t="shared" si="29"/>
        <v>0.39863873314921411</v>
      </c>
      <c r="DV112" s="97" t="str">
        <f t="shared" si="29"/>
        <v/>
      </c>
      <c r="DW112" s="97">
        <f t="shared" si="29"/>
        <v>0.40868244583609847</v>
      </c>
      <c r="DX112" s="97">
        <f t="shared" si="29"/>
        <v>0.16510520571906609</v>
      </c>
      <c r="DY112" s="97">
        <f t="shared" si="29"/>
        <v>0.30324734040099299</v>
      </c>
      <c r="DZ112" s="97">
        <f t="shared" si="24"/>
        <v>-5.9089776034484176E-2</v>
      </c>
      <c r="EA112" s="97">
        <f t="shared" si="24"/>
        <v>-0.24222274506909253</v>
      </c>
      <c r="EB112" s="97">
        <f t="shared" si="24"/>
        <v>0.15414534107872949</v>
      </c>
      <c r="EC112" s="97">
        <f t="shared" si="24"/>
        <v>1.0518930608776993</v>
      </c>
      <c r="ED112" s="97">
        <f t="shared" si="24"/>
        <v>0.29763836604201876</v>
      </c>
      <c r="EE112" s="97">
        <f t="shared" si="24"/>
        <v>5.7501935363552636E-2</v>
      </c>
      <c r="EF112" s="97">
        <f t="shared" si="24"/>
        <v>0.23627678788604839</v>
      </c>
      <c r="EG112" s="97">
        <f t="shared" si="24"/>
        <v>-7.1701604459456392E-2</v>
      </c>
      <c r="EH112" s="97">
        <f t="shared" si="24"/>
        <v>-7.9596482442829908E-2</v>
      </c>
      <c r="EI112" s="97">
        <f t="shared" si="24"/>
        <v>4.6533036577711684E-2</v>
      </c>
      <c r="EJ112" s="97">
        <f t="shared" si="24"/>
        <v>2.3510052696755106</v>
      </c>
      <c r="EK112" s="97">
        <f t="shared" si="24"/>
        <v>0.29964859996014731</v>
      </c>
      <c r="EL112" s="97">
        <f t="shared" si="24"/>
        <v>0.24555503270868528</v>
      </c>
      <c r="EM112" s="97">
        <f t="shared" si="24"/>
        <v>-0.1505381207654812</v>
      </c>
      <c r="EN112" s="97">
        <f t="shared" si="24"/>
        <v>5.1569170642874251E-2</v>
      </c>
      <c r="EO112" s="97">
        <f t="shared" si="24"/>
        <v>0.15963102580022248</v>
      </c>
    </row>
    <row r="113" spans="1:145" outlineLevel="1" x14ac:dyDescent="0.25">
      <c r="A113">
        <v>2024</v>
      </c>
      <c r="B113">
        <v>3</v>
      </c>
      <c r="C113" s="97">
        <f t="shared" si="30"/>
        <v>2.8622290979659182E-2</v>
      </c>
      <c r="D113" s="97">
        <f t="shared" si="30"/>
        <v>0</v>
      </c>
      <c r="E113" s="97">
        <f t="shared" si="30"/>
        <v>3.791531195060216E-2</v>
      </c>
      <c r="F113" s="97">
        <f t="shared" si="30"/>
        <v>-0.35214071045836148</v>
      </c>
      <c r="G113" s="97" t="str">
        <f t="shared" si="30"/>
        <v/>
      </c>
      <c r="H113" s="97">
        <f t="shared" si="30"/>
        <v>1.40874254192516</v>
      </c>
      <c r="I113" s="97">
        <f t="shared" si="30"/>
        <v>-0.85343836479861224</v>
      </c>
      <c r="J113" s="97">
        <f t="shared" si="30"/>
        <v>-6.1219811284863541E-2</v>
      </c>
      <c r="K113" s="97">
        <f t="shared" si="30"/>
        <v>9.3724592184434741E-2</v>
      </c>
      <c r="L113" s="97">
        <f t="shared" si="30"/>
        <v>5.1045564051442449E-2</v>
      </c>
      <c r="M113" s="97">
        <f t="shared" si="30"/>
        <v>1.7473797085456821E-2</v>
      </c>
      <c r="N113" s="97" t="str">
        <f t="shared" si="30"/>
        <v/>
      </c>
      <c r="O113" s="97">
        <f t="shared" si="30"/>
        <v>8.6502532073550631E-2</v>
      </c>
      <c r="P113" s="97">
        <f t="shared" si="30"/>
        <v>0.15666144800720461</v>
      </c>
      <c r="Q113" s="97">
        <f t="shared" si="30"/>
        <v>-4.3062533733125956E-2</v>
      </c>
      <c r="R113" s="97">
        <f t="shared" si="30"/>
        <v>-0.10631985057895939</v>
      </c>
      <c r="S113" s="97">
        <f t="shared" si="30"/>
        <v>-4.5552152802538215E-3</v>
      </c>
      <c r="T113" s="97">
        <f t="shared" si="30"/>
        <v>8.120227262241464E-2</v>
      </c>
      <c r="U113" s="97">
        <f t="shared" si="30"/>
        <v>-0.29241318308377529</v>
      </c>
      <c r="V113" s="97">
        <f t="shared" si="30"/>
        <v>0.3174947493593685</v>
      </c>
      <c r="W113" s="97">
        <f t="shared" si="30"/>
        <v>-6.6746506373014935E-2</v>
      </c>
      <c r="X113" s="97">
        <f t="shared" si="30"/>
        <v>-2.351658447471661E-2</v>
      </c>
      <c r="Y113" s="97">
        <f t="shared" si="30"/>
        <v>4.7801619414764129E-2</v>
      </c>
      <c r="Z113" s="97">
        <f t="shared" si="30"/>
        <v>0.83426546237247545</v>
      </c>
      <c r="AA113" s="97" t="str">
        <f t="shared" si="30"/>
        <v/>
      </c>
      <c r="AB113" s="97">
        <f t="shared" si="30"/>
        <v>6.4470288404555154E-2</v>
      </c>
      <c r="AC113" s="97">
        <f t="shared" si="30"/>
        <v>-2.9311578805700459E-2</v>
      </c>
      <c r="AD113" s="97">
        <f t="shared" si="30"/>
        <v>-5.4329805274370035E-2</v>
      </c>
      <c r="AE113" s="97">
        <f t="shared" si="30"/>
        <v>6.6234896665221754E-2</v>
      </c>
      <c r="AF113" s="97">
        <f t="shared" si="30"/>
        <v>-0.12487444163199028</v>
      </c>
      <c r="AG113" s="97">
        <f t="shared" si="30"/>
        <v>-0.18625762860108327</v>
      </c>
      <c r="AH113" s="97">
        <f t="shared" si="30"/>
        <v>8.8755648085055983E-2</v>
      </c>
      <c r="AI113" s="97">
        <f t="shared" si="30"/>
        <v>0.29805677860920793</v>
      </c>
      <c r="AJ113" s="97">
        <f t="shared" si="30"/>
        <v>0.20642482101738671</v>
      </c>
      <c r="AK113" s="97">
        <f t="shared" si="30"/>
        <v>-2.5080515751108038E-2</v>
      </c>
      <c r="AL113" s="97">
        <f t="shared" si="30"/>
        <v>5.3376031787433664E-2</v>
      </c>
      <c r="AM113" s="97">
        <f t="shared" si="30"/>
        <v>6.7813398844934314E-2</v>
      </c>
      <c r="AN113" s="97">
        <f t="shared" si="30"/>
        <v>1.2610833995036371E-2</v>
      </c>
      <c r="AO113" s="97">
        <f t="shared" si="30"/>
        <v>-0.2153691004058898</v>
      </c>
      <c r="AP113" s="97">
        <f t="shared" si="30"/>
        <v>0.1936386182222633</v>
      </c>
      <c r="AQ113" s="97" t="str">
        <f t="shared" si="30"/>
        <v/>
      </c>
      <c r="AR113" s="97">
        <f t="shared" si="30"/>
        <v>0.16380166805493371</v>
      </c>
      <c r="AS113" s="97">
        <f t="shared" si="30"/>
        <v>-0.13762422204481428</v>
      </c>
      <c r="AT113" s="97">
        <f t="shared" si="30"/>
        <v>-0.1500945261309721</v>
      </c>
      <c r="AU113" s="97">
        <f t="shared" si="30"/>
        <v>-7.2455925151833855E-2</v>
      </c>
      <c r="AV113" s="97">
        <f t="shared" si="30"/>
        <v>0.205898505227913</v>
      </c>
      <c r="AW113" s="97">
        <f t="shared" si="30"/>
        <v>2.0442243428038912E-2</v>
      </c>
      <c r="AX113" s="97">
        <f t="shared" si="30"/>
        <v>9.7338705603617418E-2</v>
      </c>
      <c r="AY113" s="97">
        <f t="shared" si="30"/>
        <v>-0.31444632235829389</v>
      </c>
      <c r="AZ113" s="97">
        <f t="shared" si="30"/>
        <v>-6.0069127948081606E-2</v>
      </c>
      <c r="BA113" s="97">
        <f t="shared" si="30"/>
        <v>6.3627588893251819E-2</v>
      </c>
      <c r="BB113" s="97">
        <f t="shared" si="30"/>
        <v>-0.16140486555860389</v>
      </c>
      <c r="BC113" s="97">
        <f t="shared" si="30"/>
        <v>-8.2512130819828333E-2</v>
      </c>
      <c r="BD113" s="97">
        <f t="shared" si="30"/>
        <v>0.11286115066575751</v>
      </c>
      <c r="BE113" s="97">
        <f t="shared" si="30"/>
        <v>-0.54867424303998535</v>
      </c>
      <c r="BF113" s="97">
        <f t="shared" si="30"/>
        <v>-0.24445430623845968</v>
      </c>
      <c r="BG113" s="97">
        <f t="shared" si="30"/>
        <v>-7.9517753342116526E-2</v>
      </c>
      <c r="BH113" s="97">
        <f t="shared" si="30"/>
        <v>0.1963489556783633</v>
      </c>
      <c r="BI113" s="97" t="str">
        <f t="shared" si="30"/>
        <v/>
      </c>
      <c r="BJ113" s="97">
        <f t="shared" si="30"/>
        <v>-0.1657176563882487</v>
      </c>
      <c r="BK113" s="97">
        <f t="shared" si="30"/>
        <v>0.23167086295149031</v>
      </c>
      <c r="BL113" s="97">
        <f t="shared" si="30"/>
        <v>4.2004424231028244E-2</v>
      </c>
      <c r="BM113" s="97">
        <f t="shared" si="30"/>
        <v>0.21806940592075372</v>
      </c>
      <c r="BN113" s="97" t="str">
        <f t="shared" ref="BN113:DY117" si="31">IF(ISBLANK(BN50),"",BN50-$D50)</f>
        <v/>
      </c>
      <c r="BO113" s="97">
        <f t="shared" si="31"/>
        <v>0.15666461085762862</v>
      </c>
      <c r="BP113" s="97">
        <f t="shared" si="29"/>
        <v>-1.1094501765093967E-2</v>
      </c>
      <c r="BQ113" s="97">
        <f t="shared" si="29"/>
        <v>-6.7192958192073826E-3</v>
      </c>
      <c r="BR113" s="97">
        <f t="shared" si="29"/>
        <v>-0.21120208648806349</v>
      </c>
      <c r="BS113" s="97">
        <f t="shared" si="29"/>
        <v>-8.7044867168509787E-3</v>
      </c>
      <c r="BT113" s="97">
        <f t="shared" si="29"/>
        <v>0.2378339890988807</v>
      </c>
      <c r="BU113" s="97">
        <f t="shared" si="29"/>
        <v>-0.34295968998387338</v>
      </c>
      <c r="BV113" s="97">
        <f t="shared" si="29"/>
        <v>0.51962731878723489</v>
      </c>
      <c r="BW113" s="97">
        <f t="shared" si="29"/>
        <v>8.682357204363722E-3</v>
      </c>
      <c r="BX113" s="97">
        <f t="shared" si="29"/>
        <v>-2.3868226359904928E-2</v>
      </c>
      <c r="BY113" s="97" t="str">
        <f t="shared" si="29"/>
        <v/>
      </c>
      <c r="BZ113" s="97">
        <f t="shared" si="29"/>
        <v>4.8059459028211071E-2</v>
      </c>
      <c r="CA113" s="97">
        <f t="shared" si="29"/>
        <v>4.8072418271391193E-2</v>
      </c>
      <c r="CB113" s="97">
        <f t="shared" si="29"/>
        <v>-8.286646011550225E-2</v>
      </c>
      <c r="CC113" s="97">
        <f t="shared" si="29"/>
        <v>2.811373284348373E-2</v>
      </c>
      <c r="CD113" s="97">
        <f t="shared" si="29"/>
        <v>0.36072790155337242</v>
      </c>
      <c r="CE113" s="97">
        <f t="shared" si="29"/>
        <v>3.7565171894579752E-2</v>
      </c>
      <c r="CF113" s="97">
        <f t="shared" si="29"/>
        <v>0.1784080109313351</v>
      </c>
      <c r="CG113" s="97" t="str">
        <f t="shared" si="29"/>
        <v/>
      </c>
      <c r="CH113" s="97" t="str">
        <f t="shared" si="29"/>
        <v/>
      </c>
      <c r="CI113" s="97">
        <f t="shared" si="29"/>
        <v>9.0425868411992738E-2</v>
      </c>
      <c r="CJ113" s="97">
        <f t="shared" si="29"/>
        <v>4.0279462420465213E-2</v>
      </c>
      <c r="CK113" s="97">
        <f t="shared" si="29"/>
        <v>-0.28748860731731041</v>
      </c>
      <c r="CL113" s="97">
        <f t="shared" si="29"/>
        <v>0.31167315311523702</v>
      </c>
      <c r="CM113" s="97">
        <f t="shared" si="29"/>
        <v>-0.2241809048685135</v>
      </c>
      <c r="CN113" s="97">
        <f t="shared" si="29"/>
        <v>0.3103831848936513</v>
      </c>
      <c r="CO113" s="97">
        <f t="shared" si="29"/>
        <v>0.7824597700500473</v>
      </c>
      <c r="CP113" s="97">
        <f t="shared" si="29"/>
        <v>0.94242256939903601</v>
      </c>
      <c r="CQ113" s="97">
        <f t="shared" si="29"/>
        <v>-9.9528930159761053E-2</v>
      </c>
      <c r="CR113" s="97">
        <f t="shared" si="29"/>
        <v>7.5738641344787583E-2</v>
      </c>
      <c r="CS113" s="97">
        <f t="shared" si="29"/>
        <v>-0.2374348281054203</v>
      </c>
      <c r="CT113" s="97">
        <f t="shared" si="29"/>
        <v>-0.18387677567096339</v>
      </c>
      <c r="CU113" s="97">
        <f t="shared" si="29"/>
        <v>-0.11656350085111429</v>
      </c>
      <c r="CV113" s="97">
        <f t="shared" si="29"/>
        <v>4.9717702455243096E-3</v>
      </c>
      <c r="CW113" s="97">
        <f t="shared" si="29"/>
        <v>3.8726904193132849E-2</v>
      </c>
      <c r="CX113" s="97">
        <f t="shared" si="29"/>
        <v>-2.092518252444231E-2</v>
      </c>
      <c r="CY113" s="97">
        <f t="shared" si="29"/>
        <v>-4.2719380950948627E-2</v>
      </c>
      <c r="CZ113" s="97">
        <f t="shared" si="29"/>
        <v>4.0703931147396011E-2</v>
      </c>
      <c r="DA113" s="97">
        <f t="shared" si="29"/>
        <v>-1.1578130286105659E-2</v>
      </c>
      <c r="DB113" s="97">
        <f t="shared" si="29"/>
        <v>-6.5223107878577102E-2</v>
      </c>
      <c r="DC113" s="97">
        <f t="shared" si="29"/>
        <v>0.2331107456545847</v>
      </c>
      <c r="DD113" s="97">
        <f t="shared" si="29"/>
        <v>0.44332579829279012</v>
      </c>
      <c r="DE113" s="97">
        <f t="shared" si="29"/>
        <v>-0.14363637849301727</v>
      </c>
      <c r="DF113" s="97">
        <f t="shared" si="29"/>
        <v>-0.12470450984746388</v>
      </c>
      <c r="DG113" s="97">
        <f t="shared" si="29"/>
        <v>-0.1725506926330497</v>
      </c>
      <c r="DH113" s="97" t="str">
        <f t="shared" si="29"/>
        <v/>
      </c>
      <c r="DI113" s="97">
        <f t="shared" si="29"/>
        <v>-0.2449178213026991</v>
      </c>
      <c r="DJ113" s="97">
        <f t="shared" si="29"/>
        <v>-1.1975510520118582E-2</v>
      </c>
      <c r="DK113" s="97">
        <f t="shared" si="29"/>
        <v>-0.12115980634736989</v>
      </c>
      <c r="DL113" s="97">
        <f t="shared" si="29"/>
        <v>-0.30366096613772581</v>
      </c>
      <c r="DM113" s="97">
        <f t="shared" si="29"/>
        <v>-0.1702144515827182</v>
      </c>
      <c r="DN113" s="97">
        <f t="shared" si="29"/>
        <v>-9.6694087364679659E-2</v>
      </c>
      <c r="DO113" s="97" t="str">
        <f t="shared" si="29"/>
        <v/>
      </c>
      <c r="DP113" s="97">
        <f t="shared" si="29"/>
        <v>0.7569617265746329</v>
      </c>
      <c r="DQ113" s="97">
        <f t="shared" si="29"/>
        <v>-0.24534663095885728</v>
      </c>
      <c r="DR113" s="97">
        <f t="shared" si="29"/>
        <v>0.12719102223471571</v>
      </c>
      <c r="DS113" s="97">
        <f t="shared" si="29"/>
        <v>0.1443833537127614</v>
      </c>
      <c r="DT113" s="97">
        <f t="shared" si="29"/>
        <v>-3.8507710088402147E-2</v>
      </c>
      <c r="DU113" s="97">
        <f t="shared" si="29"/>
        <v>-5.3028757985064456E-2</v>
      </c>
      <c r="DV113" s="97" t="str">
        <f t="shared" si="29"/>
        <v/>
      </c>
      <c r="DW113" s="97">
        <f t="shared" si="29"/>
        <v>-0.10792663138410899</v>
      </c>
      <c r="DX113" s="97">
        <f t="shared" si="29"/>
        <v>-7.313502534407923E-2</v>
      </c>
      <c r="DY113" s="97">
        <f t="shared" si="29"/>
        <v>-0.2467485535956164</v>
      </c>
      <c r="DZ113" s="97">
        <f t="shared" si="24"/>
        <v>0.42364416996779752</v>
      </c>
      <c r="EA113" s="97">
        <f t="shared" si="24"/>
        <v>-0.30730849185663511</v>
      </c>
      <c r="EB113" s="97">
        <f t="shared" si="24"/>
        <v>0.27599989939774811</v>
      </c>
      <c r="EC113" s="97">
        <f t="shared" si="24"/>
        <v>0.1774053545429817</v>
      </c>
      <c r="ED113" s="97">
        <f t="shared" si="24"/>
        <v>-4.9434828105420325E-2</v>
      </c>
      <c r="EE113" s="97">
        <f t="shared" si="24"/>
        <v>-4.993482810542027E-2</v>
      </c>
      <c r="EF113" s="97">
        <f t="shared" si="24"/>
        <v>0.15289734839433172</v>
      </c>
      <c r="EG113" s="97">
        <f t="shared" si="24"/>
        <v>0.11923816367193592</v>
      </c>
      <c r="EH113" s="97">
        <f t="shared" si="24"/>
        <v>0.3920977188583194</v>
      </c>
      <c r="EI113" s="97">
        <f t="shared" si="24"/>
        <v>-2.9410831105045387E-2</v>
      </c>
      <c r="EJ113" s="97">
        <f t="shared" si="24"/>
        <v>-0.22726533657999659</v>
      </c>
      <c r="EK113" s="97">
        <f t="shared" si="24"/>
        <v>0.37258011957768883</v>
      </c>
      <c r="EL113" s="97">
        <f t="shared" si="24"/>
        <v>-0.28540230778021708</v>
      </c>
      <c r="EM113" s="97">
        <f t="shared" si="24"/>
        <v>0.3818895633501187</v>
      </c>
      <c r="EN113" s="97">
        <f t="shared" si="24"/>
        <v>-0.1509278541612282</v>
      </c>
      <c r="EO113" s="97">
        <f t="shared" si="24"/>
        <v>-0.14356737014300688</v>
      </c>
    </row>
    <row r="114" spans="1:145" outlineLevel="1" x14ac:dyDescent="0.25">
      <c r="A114">
        <v>2024</v>
      </c>
      <c r="B114">
        <v>4</v>
      </c>
      <c r="C114" s="97">
        <f t="shared" ref="C114:BN117" si="32">IF(ISBLANK(C51),"",C51-$D51)</f>
        <v>-4.4637582218316707E-2</v>
      </c>
      <c r="D114" s="97">
        <f t="shared" si="32"/>
        <v>0</v>
      </c>
      <c r="E114" s="97">
        <f t="shared" si="32"/>
        <v>-2.8511572708002749E-2</v>
      </c>
      <c r="F114" s="97">
        <f t="shared" si="32"/>
        <v>0.27387746440089827</v>
      </c>
      <c r="G114" s="97" t="str">
        <f t="shared" si="32"/>
        <v/>
      </c>
      <c r="H114" s="97">
        <f t="shared" si="32"/>
        <v>0.3759101125612232</v>
      </c>
      <c r="I114" s="97">
        <f t="shared" si="32"/>
        <v>-0.36699408065893407</v>
      </c>
      <c r="J114" s="97">
        <f t="shared" si="32"/>
        <v>-6.4896480253495259E-2</v>
      </c>
      <c r="K114" s="97">
        <f t="shared" si="32"/>
        <v>-5.9681893374076145E-3</v>
      </c>
      <c r="L114" s="97">
        <f t="shared" si="32"/>
        <v>6.1349373515677801E-3</v>
      </c>
      <c r="M114" s="97">
        <f t="shared" si="32"/>
        <v>-4.9595038641750737E-2</v>
      </c>
      <c r="N114" s="97">
        <f t="shared" si="32"/>
        <v>6.1054284478236909E-3</v>
      </c>
      <c r="O114" s="97">
        <f t="shared" si="32"/>
        <v>-0.26585648585936761</v>
      </c>
      <c r="P114" s="97">
        <f t="shared" si="32"/>
        <v>-0.21558562995470881</v>
      </c>
      <c r="Q114" s="97">
        <f t="shared" si="32"/>
        <v>-7.4926132429014136E-2</v>
      </c>
      <c r="R114" s="97">
        <f t="shared" si="32"/>
        <v>-0.23469593129765021</v>
      </c>
      <c r="S114" s="97">
        <f t="shared" si="32"/>
        <v>7.9379902047407302E-3</v>
      </c>
      <c r="T114" s="97">
        <f t="shared" si="32"/>
        <v>-8.1666090619248566E-2</v>
      </c>
      <c r="U114" s="97">
        <f t="shared" si="32"/>
        <v>-0.28533992213112502</v>
      </c>
      <c r="V114" s="97">
        <f t="shared" si="32"/>
        <v>7.087439723030764E-2</v>
      </c>
      <c r="W114" s="97">
        <f t="shared" si="32"/>
        <v>-8.8476440162490122E-2</v>
      </c>
      <c r="X114" s="97">
        <f t="shared" si="32"/>
        <v>-8.0007247378550028E-2</v>
      </c>
      <c r="Y114" s="97">
        <f t="shared" si="32"/>
        <v>-7.9975919057748146E-2</v>
      </c>
      <c r="Z114" s="97">
        <f t="shared" si="32"/>
        <v>0.19048717048428879</v>
      </c>
      <c r="AA114" s="97" t="str">
        <f t="shared" si="32"/>
        <v/>
      </c>
      <c r="AB114" s="97">
        <f t="shared" si="32"/>
        <v>-0.18460587627169811</v>
      </c>
      <c r="AC114" s="97">
        <f t="shared" si="32"/>
        <v>-5.4318024320906037E-2</v>
      </c>
      <c r="AD114" s="97">
        <f t="shared" si="32"/>
        <v>0.37308582183294031</v>
      </c>
      <c r="AE114" s="97">
        <f t="shared" si="32"/>
        <v>-0.17805428805716969</v>
      </c>
      <c r="AF114" s="97">
        <f t="shared" si="32"/>
        <v>4.5132525129643268E-2</v>
      </c>
      <c r="AG114" s="97">
        <f t="shared" si="32"/>
        <v>-0.1705452970481787</v>
      </c>
      <c r="AH114" s="97">
        <f t="shared" si="32"/>
        <v>-0.18078861255620021</v>
      </c>
      <c r="AI114" s="97">
        <f t="shared" si="32"/>
        <v>-0.42047824531538108</v>
      </c>
      <c r="AJ114" s="97">
        <f t="shared" si="32"/>
        <v>-3.0115125770181269E-2</v>
      </c>
      <c r="AK114" s="97">
        <f t="shared" si="32"/>
        <v>0.10282483282195121</v>
      </c>
      <c r="AL114" s="97">
        <f t="shared" si="32"/>
        <v>-5.3004268524924569E-2</v>
      </c>
      <c r="AM114" s="97">
        <f t="shared" si="32"/>
        <v>-7.8553832181168071E-2</v>
      </c>
      <c r="AN114" s="97">
        <f t="shared" si="32"/>
        <v>-0.17704774676768589</v>
      </c>
      <c r="AO114" s="97">
        <f t="shared" si="32"/>
        <v>-5.1937071939953561E-2</v>
      </c>
      <c r="AP114" s="97">
        <f t="shared" si="32"/>
        <v>0.23506876813192409</v>
      </c>
      <c r="AQ114" s="97" t="str">
        <f t="shared" si="32"/>
        <v/>
      </c>
      <c r="AR114" s="97">
        <f t="shared" si="32"/>
        <v>-0.17260064997564811</v>
      </c>
      <c r="AS114" s="97">
        <f t="shared" si="32"/>
        <v>-0.28300654891107002</v>
      </c>
      <c r="AT114" s="97">
        <f t="shared" si="32"/>
        <v>-0.37702304268075898</v>
      </c>
      <c r="AU114" s="97">
        <f t="shared" si="32"/>
        <v>-1.6006330165583278E-3</v>
      </c>
      <c r="AV114" s="97">
        <f t="shared" si="32"/>
        <v>-0.2112601730812366</v>
      </c>
      <c r="AW114" s="97">
        <f t="shared" si="32"/>
        <v>-0.1959642159670977</v>
      </c>
      <c r="AX114" s="97">
        <f t="shared" si="32"/>
        <v>-1.5688120966727448E-2</v>
      </c>
      <c r="AY114" s="97">
        <f t="shared" si="32"/>
        <v>-6.4318024320906053E-2</v>
      </c>
      <c r="AZ114" s="97">
        <f t="shared" si="32"/>
        <v>-0.16360373860662039</v>
      </c>
      <c r="BA114" s="97">
        <f t="shared" si="32"/>
        <v>-0.2692433974552344</v>
      </c>
      <c r="BB114" s="97">
        <f t="shared" si="32"/>
        <v>-7.0984690987572652E-2</v>
      </c>
      <c r="BC114" s="97">
        <f t="shared" si="32"/>
        <v>-0.26661310628811907</v>
      </c>
      <c r="BD114" s="97">
        <f t="shared" si="32"/>
        <v>-2.0765392741958429E-2</v>
      </c>
      <c r="BE114" s="97">
        <f t="shared" si="32"/>
        <v>-0.24265473831684911</v>
      </c>
      <c r="BF114" s="97">
        <f t="shared" si="32"/>
        <v>-0.15284245586420539</v>
      </c>
      <c r="BG114" s="97">
        <f t="shared" si="32"/>
        <v>-0.24902141415141441</v>
      </c>
      <c r="BH114" s="97">
        <f t="shared" si="32"/>
        <v>2.3824564797292998E-2</v>
      </c>
      <c r="BI114" s="97" t="str">
        <f t="shared" si="32"/>
        <v/>
      </c>
      <c r="BJ114" s="97">
        <f t="shared" si="32"/>
        <v>-0.45612525323656861</v>
      </c>
      <c r="BK114" s="97">
        <f t="shared" si="32"/>
        <v>-0.20497591905774801</v>
      </c>
      <c r="BL114" s="97">
        <f t="shared" si="32"/>
        <v>-8.3829638376891613E-2</v>
      </c>
      <c r="BM114" s="97">
        <f t="shared" si="32"/>
        <v>-0.23409882553027869</v>
      </c>
      <c r="BN114" s="97" t="str">
        <f t="shared" si="32"/>
        <v/>
      </c>
      <c r="BO114" s="97">
        <f t="shared" si="31"/>
        <v>0.35068197567909398</v>
      </c>
      <c r="BP114" s="97">
        <f t="shared" si="31"/>
        <v>-7.4740559532173512E-2</v>
      </c>
      <c r="BQ114" s="97">
        <f t="shared" si="31"/>
        <v>-1.2848208047940179E-2</v>
      </c>
      <c r="BR114" s="97">
        <f t="shared" si="31"/>
        <v>-0.21576081039055769</v>
      </c>
      <c r="BS114" s="97">
        <f t="shared" si="31"/>
        <v>3.3398738684874418E-2</v>
      </c>
      <c r="BT114" s="97">
        <f t="shared" si="31"/>
        <v>-1.0811530814412551E-2</v>
      </c>
      <c r="BU114" s="97">
        <f t="shared" si="31"/>
        <v>-0.1993040967443043</v>
      </c>
      <c r="BV114" s="97">
        <f t="shared" si="31"/>
        <v>1.383891096924923</v>
      </c>
      <c r="BW114" s="97">
        <f t="shared" si="31"/>
        <v>-8.4620299690445933E-2</v>
      </c>
      <c r="BX114" s="97">
        <f t="shared" si="31"/>
        <v>-9.0290836616383263E-2</v>
      </c>
      <c r="BY114" s="97" t="str">
        <f t="shared" si="31"/>
        <v/>
      </c>
      <c r="BZ114" s="97">
        <f t="shared" si="31"/>
        <v>-0.29242000732373902</v>
      </c>
      <c r="CA114" s="97">
        <f t="shared" si="31"/>
        <v>-0.15307835489941851</v>
      </c>
      <c r="CB114" s="97">
        <f t="shared" si="31"/>
        <v>-4.8230473021316327E-2</v>
      </c>
      <c r="CC114" s="97">
        <f t="shared" si="31"/>
        <v>-2.8178394134537044E-4</v>
      </c>
      <c r="CD114" s="97">
        <f t="shared" si="31"/>
        <v>-0.1158564858593676</v>
      </c>
      <c r="CE114" s="97">
        <f t="shared" si="31"/>
        <v>-0.13313158364294</v>
      </c>
      <c r="CF114" s="97">
        <f t="shared" si="31"/>
        <v>-0.1747360307517741</v>
      </c>
      <c r="CG114" s="97" t="str">
        <f t="shared" si="31"/>
        <v/>
      </c>
      <c r="CH114" s="97" t="str">
        <f t="shared" si="31"/>
        <v/>
      </c>
      <c r="CI114" s="97">
        <f t="shared" si="31"/>
        <v>-0.23168166068454241</v>
      </c>
      <c r="CJ114" s="97">
        <f t="shared" si="31"/>
        <v>-2.5007647207528461E-2</v>
      </c>
      <c r="CK114" s="97">
        <f t="shared" si="31"/>
        <v>-0.2325682153480865</v>
      </c>
      <c r="CL114" s="97">
        <f t="shared" si="31"/>
        <v>0.55851648649048324</v>
      </c>
      <c r="CM114" s="97">
        <f t="shared" si="31"/>
        <v>-0.34322711522999688</v>
      </c>
      <c r="CN114" s="97">
        <f t="shared" si="31"/>
        <v>-0.45759202304945018</v>
      </c>
      <c r="CO114" s="97">
        <f t="shared" si="31"/>
        <v>-0.23883129865718911</v>
      </c>
      <c r="CP114" s="97">
        <f t="shared" si="31"/>
        <v>-0.18288945289233449</v>
      </c>
      <c r="CQ114" s="97">
        <f t="shared" si="31"/>
        <v>-0.48343890344178508</v>
      </c>
      <c r="CR114" s="97">
        <f t="shared" si="31"/>
        <v>-1.442378624887908E-2</v>
      </c>
      <c r="CS114" s="97">
        <f t="shared" si="31"/>
        <v>-9.1274546060036488E-2</v>
      </c>
      <c r="CT114" s="97">
        <f t="shared" si="31"/>
        <v>-0.44198925719761828</v>
      </c>
      <c r="CU114" s="97">
        <f t="shared" si="31"/>
        <v>-0.20979747637570059</v>
      </c>
      <c r="CV114" s="97">
        <f t="shared" si="31"/>
        <v>0.28725464920033428</v>
      </c>
      <c r="CW114" s="97">
        <f t="shared" si="31"/>
        <v>-1.534338264505153E-2</v>
      </c>
      <c r="CX114" s="97">
        <f t="shared" si="31"/>
        <v>-0.1059607347931852</v>
      </c>
      <c r="CY114" s="97">
        <f t="shared" si="31"/>
        <v>-8.2542125800821431E-2</v>
      </c>
      <c r="CZ114" s="97">
        <f t="shared" si="31"/>
        <v>-8.1075927276931248E-2</v>
      </c>
      <c r="DA114" s="97">
        <f t="shared" si="31"/>
        <v>-0.15403553844519979</v>
      </c>
      <c r="DB114" s="97">
        <f t="shared" si="31"/>
        <v>-0.2110294337168791</v>
      </c>
      <c r="DC114" s="97">
        <f t="shared" si="31"/>
        <v>1.0281883904549319E-2</v>
      </c>
      <c r="DD114" s="97">
        <f t="shared" si="31"/>
        <v>-0.2917987043827297</v>
      </c>
      <c r="DE114" s="97">
        <f t="shared" si="31"/>
        <v>-0.54756126756414925</v>
      </c>
      <c r="DF114" s="97">
        <f t="shared" si="31"/>
        <v>8.145340425052261E-2</v>
      </c>
      <c r="DG114" s="97">
        <f t="shared" si="31"/>
        <v>1.047128921016715</v>
      </c>
      <c r="DH114" s="97" t="str">
        <f t="shared" si="31"/>
        <v/>
      </c>
      <c r="DI114" s="97">
        <f t="shared" si="31"/>
        <v>-0.22152232539617489</v>
      </c>
      <c r="DJ114" s="97">
        <f t="shared" si="31"/>
        <v>-0.19479421479709649</v>
      </c>
      <c r="DK114" s="97">
        <f t="shared" si="31"/>
        <v>8.7352749459281176E-2</v>
      </c>
      <c r="DL114" s="97">
        <f t="shared" si="31"/>
        <v>-0.46771425073600043</v>
      </c>
      <c r="DM114" s="97">
        <f t="shared" si="31"/>
        <v>-0.11387977730895379</v>
      </c>
      <c r="DN114" s="97">
        <f t="shared" si="31"/>
        <v>0.1453418396246722</v>
      </c>
      <c r="DO114" s="97" t="str">
        <f t="shared" si="31"/>
        <v/>
      </c>
      <c r="DP114" s="97">
        <f t="shared" si="31"/>
        <v>2.1382910258533231E-2</v>
      </c>
      <c r="DQ114" s="97">
        <f t="shared" si="31"/>
        <v>0.1089420489391673</v>
      </c>
      <c r="DR114" s="97">
        <f t="shared" si="31"/>
        <v>-4.8815919690719627E-2</v>
      </c>
      <c r="DS114" s="97">
        <f t="shared" si="31"/>
        <v>-0.12187885692131641</v>
      </c>
      <c r="DT114" s="97">
        <f t="shared" si="31"/>
        <v>-0.1238582542059634</v>
      </c>
      <c r="DU114" s="97">
        <f t="shared" si="31"/>
        <v>-0.13966878085460621</v>
      </c>
      <c r="DV114" s="97">
        <f t="shared" si="31"/>
        <v>0.28111886888297732</v>
      </c>
      <c r="DW114" s="97">
        <f t="shared" si="31"/>
        <v>-0.23450095115017419</v>
      </c>
      <c r="DX114" s="97">
        <f t="shared" si="31"/>
        <v>0.17576672144180591</v>
      </c>
      <c r="DY114" s="97">
        <f t="shared" si="31"/>
        <v>-4.3180243209059999E-3</v>
      </c>
      <c r="DZ114" s="97">
        <f t="shared" si="24"/>
        <v>-4.3180243209059999E-3</v>
      </c>
      <c r="EA114" s="97">
        <f t="shared" si="24"/>
        <v>0.28438490454938692</v>
      </c>
      <c r="EB114" s="97">
        <f t="shared" si="24"/>
        <v>-0.35085267778625251</v>
      </c>
      <c r="EC114" s="97">
        <f t="shared" si="24"/>
        <v>-0.1550426620020654</v>
      </c>
      <c r="ED114" s="97">
        <f t="shared" si="24"/>
        <v>-6.7865510354425562E-2</v>
      </c>
      <c r="EE114" s="97">
        <f t="shared" si="24"/>
        <v>-0.18335732563094981</v>
      </c>
      <c r="EF114" s="97">
        <f t="shared" si="24"/>
        <v>0.92397793339942003</v>
      </c>
      <c r="EG114" s="97">
        <f t="shared" si="24"/>
        <v>0.1722022459493642</v>
      </c>
      <c r="EH114" s="97">
        <f t="shared" si="24"/>
        <v>-0.38242747705722452</v>
      </c>
      <c r="EI114" s="97">
        <f t="shared" si="24"/>
        <v>-3.531174688993155E-2</v>
      </c>
      <c r="EJ114" s="97">
        <f t="shared" si="24"/>
        <v>-0.32431802432090601</v>
      </c>
      <c r="EK114" s="97">
        <f t="shared" si="24"/>
        <v>-0.18347111878344671</v>
      </c>
      <c r="EL114" s="97">
        <f t="shared" si="24"/>
        <v>-0.21246282070099651</v>
      </c>
      <c r="EM114" s="97">
        <f t="shared" si="24"/>
        <v>0.17847767460382519</v>
      </c>
      <c r="EN114" s="97">
        <f t="shared" si="24"/>
        <v>-6.0583393353898507E-2</v>
      </c>
      <c r="EO114" s="97">
        <f t="shared" si="24"/>
        <v>-0.2146628519071129</v>
      </c>
    </row>
    <row r="115" spans="1:145" outlineLevel="1" x14ac:dyDescent="0.25">
      <c r="A115">
        <v>2024</v>
      </c>
      <c r="B115">
        <v>5</v>
      </c>
      <c r="C115" s="97">
        <f t="shared" si="32"/>
        <v>4.6012561736342272E-2</v>
      </c>
      <c r="D115" s="97">
        <f t="shared" si="32"/>
        <v>0</v>
      </c>
      <c r="E115" s="97">
        <f t="shared" si="32"/>
        <v>-0.15332736729926383</v>
      </c>
      <c r="F115" s="97">
        <f t="shared" si="32"/>
        <v>-0.15162586025016334</v>
      </c>
      <c r="G115" s="97" t="str">
        <f t="shared" si="32"/>
        <v/>
      </c>
      <c r="H115" s="97">
        <f t="shared" si="32"/>
        <v>-0.15608218823590303</v>
      </c>
      <c r="I115" s="97">
        <f t="shared" si="32"/>
        <v>-5.4290793626828981E-2</v>
      </c>
      <c r="J115" s="97">
        <f t="shared" si="32"/>
        <v>2.1614781461066542E-2</v>
      </c>
      <c r="K115" s="97">
        <f t="shared" si="32"/>
        <v>9.9565194684207062E-2</v>
      </c>
      <c r="L115" s="97">
        <f t="shared" si="32"/>
        <v>-0.29767048499661364</v>
      </c>
      <c r="M115" s="97">
        <f t="shared" si="32"/>
        <v>-2.1233703387418149E-2</v>
      </c>
      <c r="N115" s="97">
        <f t="shared" si="32"/>
        <v>-0.23345162730746974</v>
      </c>
      <c r="O115" s="97">
        <f t="shared" si="32"/>
        <v>-0.17540037005408485</v>
      </c>
      <c r="P115" s="97">
        <f t="shared" si="32"/>
        <v>-0.14742417957789444</v>
      </c>
      <c r="Q115" s="97">
        <f t="shared" si="32"/>
        <v>-8.5655827040301835E-3</v>
      </c>
      <c r="R115" s="97">
        <f t="shared" si="32"/>
        <v>3.8555405835118739E-2</v>
      </c>
      <c r="S115" s="97">
        <f t="shared" si="32"/>
        <v>4.4015731447193396E-3</v>
      </c>
      <c r="T115" s="97">
        <f t="shared" si="32"/>
        <v>0.11937376092923156</v>
      </c>
      <c r="U115" s="97">
        <f t="shared" si="32"/>
        <v>0.32538220185792865</v>
      </c>
      <c r="V115" s="97">
        <f t="shared" si="32"/>
        <v>-0.12626307196304234</v>
      </c>
      <c r="W115" s="97">
        <f t="shared" si="32"/>
        <v>-1.2675144828859675E-2</v>
      </c>
      <c r="X115" s="97">
        <f t="shared" si="32"/>
        <v>-9.0410063519880124E-3</v>
      </c>
      <c r="Y115" s="97">
        <f t="shared" si="32"/>
        <v>0.11642940456038726</v>
      </c>
      <c r="Z115" s="97">
        <f t="shared" si="32"/>
        <v>-0.44478442802509932</v>
      </c>
      <c r="AA115" s="97" t="str">
        <f t="shared" si="32"/>
        <v/>
      </c>
      <c r="AB115" s="97">
        <f t="shared" si="32"/>
        <v>-6.9429323030147483E-2</v>
      </c>
      <c r="AC115" s="97">
        <f t="shared" si="32"/>
        <v>0.20414439703605436</v>
      </c>
      <c r="AD115" s="97">
        <f t="shared" si="32"/>
        <v>-1.3293040211153073E-2</v>
      </c>
      <c r="AE115" s="97">
        <f t="shared" si="32"/>
        <v>-0.14088835604512984</v>
      </c>
      <c r="AF115" s="97">
        <f t="shared" si="32"/>
        <v>1.6375371656211831E-2</v>
      </c>
      <c r="AG115" s="97">
        <f t="shared" si="32"/>
        <v>-0.24024277133341035</v>
      </c>
      <c r="AH115" s="97">
        <f t="shared" si="32"/>
        <v>0.10654407439035936</v>
      </c>
      <c r="AI115" s="97">
        <f t="shared" si="32"/>
        <v>1.8380680336262941E-2</v>
      </c>
      <c r="AJ115" s="97">
        <f t="shared" si="32"/>
        <v>0.46820892281510074</v>
      </c>
      <c r="AK115" s="97">
        <f t="shared" si="32"/>
        <v>0.44704586650505496</v>
      </c>
      <c r="AL115" s="97">
        <f t="shared" si="32"/>
        <v>-0.10719362756830093</v>
      </c>
      <c r="AM115" s="97">
        <f t="shared" si="32"/>
        <v>0.28917224286758464</v>
      </c>
      <c r="AN115" s="97">
        <f t="shared" si="32"/>
        <v>-4.0723388512282521E-2</v>
      </c>
      <c r="AO115" s="97">
        <f t="shared" si="32"/>
        <v>-7.9567036720751605E-2</v>
      </c>
      <c r="AP115" s="97">
        <f t="shared" si="32"/>
        <v>-1.7126123629971342E-3</v>
      </c>
      <c r="AQ115" s="97" t="str">
        <f t="shared" si="32"/>
        <v/>
      </c>
      <c r="AR115" s="97">
        <f t="shared" si="32"/>
        <v>-6.9956290372098162E-2</v>
      </c>
      <c r="AS115" s="97">
        <f t="shared" si="32"/>
        <v>6.6569326915612015E-2</v>
      </c>
      <c r="AT115" s="97">
        <f t="shared" si="32"/>
        <v>0.32876629661258178</v>
      </c>
      <c r="AU115" s="97">
        <f t="shared" si="32"/>
        <v>5.2343532384939495E-2</v>
      </c>
      <c r="AV115" s="97">
        <f t="shared" si="32"/>
        <v>0.77742546015294578</v>
      </c>
      <c r="AW115" s="97">
        <f t="shared" si="32"/>
        <v>0.33889800887195354</v>
      </c>
      <c r="AX115" s="97">
        <f t="shared" si="32"/>
        <v>0.29330530370478036</v>
      </c>
      <c r="AY115" s="97">
        <f t="shared" si="32"/>
        <v>-0.17477980267819834</v>
      </c>
      <c r="AZ115" s="97">
        <f t="shared" si="32"/>
        <v>9.3988613236767549E-2</v>
      </c>
      <c r="BA115" s="97">
        <f t="shared" si="32"/>
        <v>9.1879663786862853E-2</v>
      </c>
      <c r="BB115" s="97">
        <f t="shared" si="32"/>
        <v>9.7186775649626914E-3</v>
      </c>
      <c r="BC115" s="97">
        <f t="shared" si="32"/>
        <v>5.0988518834804042E-2</v>
      </c>
      <c r="BD115" s="97">
        <f t="shared" si="32"/>
        <v>-4.9717538392992415E-2</v>
      </c>
      <c r="BE115" s="97">
        <f t="shared" si="32"/>
        <v>7.1331764877117898E-2</v>
      </c>
      <c r="BF115" s="97">
        <f t="shared" si="32"/>
        <v>-0.39604430944802421</v>
      </c>
      <c r="BG115" s="97">
        <f t="shared" si="32"/>
        <v>9.6414730460174167E-2</v>
      </c>
      <c r="BH115" s="97">
        <f t="shared" si="32"/>
        <v>0.28101690488508768</v>
      </c>
      <c r="BI115" s="97" t="str">
        <f t="shared" si="32"/>
        <v/>
      </c>
      <c r="BJ115" s="97">
        <f t="shared" si="32"/>
        <v>-8.149011364382841E-2</v>
      </c>
      <c r="BK115" s="97">
        <f t="shared" si="32"/>
        <v>-4.160407375778874E-2</v>
      </c>
      <c r="BL115" s="97">
        <f t="shared" si="32"/>
        <v>-5.3418541088270155E-2</v>
      </c>
      <c r="BM115" s="97">
        <f t="shared" si="32"/>
        <v>0.7569638759387185</v>
      </c>
      <c r="BN115" s="97" t="str">
        <f t="shared" si="32"/>
        <v/>
      </c>
      <c r="BO115" s="97">
        <f t="shared" si="31"/>
        <v>-0.10604305148089924</v>
      </c>
      <c r="BP115" s="97">
        <f t="shared" si="31"/>
        <v>0.33634205418833923</v>
      </c>
      <c r="BQ115" s="97">
        <f t="shared" si="31"/>
        <v>4.0436272346091588E-2</v>
      </c>
      <c r="BR115" s="97">
        <f t="shared" si="31"/>
        <v>5.5369871796598691E-2</v>
      </c>
      <c r="BS115" s="97">
        <f t="shared" si="31"/>
        <v>-6.8207198258141921E-2</v>
      </c>
      <c r="BT115" s="97">
        <f t="shared" si="31"/>
        <v>-2.4174879858006478E-2</v>
      </c>
      <c r="BU115" s="97">
        <f t="shared" si="31"/>
        <v>-2.5328282395492008E-2</v>
      </c>
      <c r="BV115" s="97">
        <f t="shared" si="31"/>
        <v>-0.67697815300704245</v>
      </c>
      <c r="BW115" s="97">
        <f t="shared" si="31"/>
        <v>-5.4228436269284308E-2</v>
      </c>
      <c r="BX115" s="97">
        <f t="shared" si="31"/>
        <v>1.8133968080162211E-2</v>
      </c>
      <c r="BY115" s="97" t="str">
        <f t="shared" si="31"/>
        <v/>
      </c>
      <c r="BZ115" s="97">
        <f t="shared" si="31"/>
        <v>-2.3667713203043509E-2</v>
      </c>
      <c r="CA115" s="97">
        <f t="shared" si="31"/>
        <v>0.25433263965465308</v>
      </c>
      <c r="CB115" s="97">
        <f t="shared" si="31"/>
        <v>0.21234525402184395</v>
      </c>
      <c r="CC115" s="97">
        <f t="shared" si="31"/>
        <v>4.7404619695382559E-2</v>
      </c>
      <c r="CD115" s="97">
        <f t="shared" si="31"/>
        <v>0.49326846111474615</v>
      </c>
      <c r="CE115" s="97">
        <f t="shared" si="31"/>
        <v>-3.0106164872885093E-3</v>
      </c>
      <c r="CF115" s="97">
        <f t="shared" si="31"/>
        <v>-0.94100114524788336</v>
      </c>
      <c r="CG115" s="97" t="str">
        <f t="shared" si="31"/>
        <v/>
      </c>
      <c r="CH115" s="97" t="str">
        <f t="shared" si="31"/>
        <v/>
      </c>
      <c r="CI115" s="97">
        <f t="shared" si="31"/>
        <v>-4.1865542427305232E-2</v>
      </c>
      <c r="CJ115" s="97">
        <f t="shared" si="31"/>
        <v>-3.3045134781525598E-2</v>
      </c>
      <c r="CK115" s="97">
        <f t="shared" si="31"/>
        <v>0.21184031830046487</v>
      </c>
      <c r="CL115" s="97">
        <f t="shared" si="31"/>
        <v>-0.13470402302212134</v>
      </c>
      <c r="CM115" s="97">
        <f t="shared" si="31"/>
        <v>8.454187417033765E-2</v>
      </c>
      <c r="CN115" s="97">
        <f t="shared" si="31"/>
        <v>0.47217714932576005</v>
      </c>
      <c r="CO115" s="97">
        <f t="shared" si="31"/>
        <v>0.57057747194976871</v>
      </c>
      <c r="CP115" s="97">
        <f t="shared" si="31"/>
        <v>3.2222260938111313E-2</v>
      </c>
      <c r="CQ115" s="97">
        <f t="shared" si="31"/>
        <v>0.19796460884886866</v>
      </c>
      <c r="CR115" s="97">
        <f t="shared" si="31"/>
        <v>0.15731007821131307</v>
      </c>
      <c r="CS115" s="97">
        <f t="shared" si="31"/>
        <v>6.2099629945915114E-2</v>
      </c>
      <c r="CT115" s="97">
        <f t="shared" si="31"/>
        <v>0.31090190359593545</v>
      </c>
      <c r="CU115" s="97">
        <f t="shared" si="31"/>
        <v>-6.4911864306958278E-2</v>
      </c>
      <c r="CV115" s="97">
        <f t="shared" si="31"/>
        <v>5.1121299799324893E-2</v>
      </c>
      <c r="CW115" s="97">
        <f t="shared" si="31"/>
        <v>-0.10838531988686084</v>
      </c>
      <c r="CX115" s="97">
        <f t="shared" si="31"/>
        <v>0.15086153470781996</v>
      </c>
      <c r="CY115" s="97">
        <f t="shared" si="31"/>
        <v>-0.32566795415194422</v>
      </c>
      <c r="CZ115" s="97">
        <f t="shared" si="31"/>
        <v>0.13076373451912765</v>
      </c>
      <c r="DA115" s="97">
        <f t="shared" si="31"/>
        <v>3.8622332050012753E-2</v>
      </c>
      <c r="DB115" s="97">
        <f t="shared" si="31"/>
        <v>2.1659697627810282E-2</v>
      </c>
      <c r="DC115" s="97">
        <f t="shared" si="31"/>
        <v>-0.15318856985109444</v>
      </c>
      <c r="DD115" s="97">
        <f t="shared" si="31"/>
        <v>0.11256962271525706</v>
      </c>
      <c r="DE115" s="97">
        <f t="shared" si="31"/>
        <v>-9.598715506394695E-2</v>
      </c>
      <c r="DF115" s="97">
        <f t="shared" si="31"/>
        <v>-2.0408308232777058E-2</v>
      </c>
      <c r="DG115" s="97">
        <f t="shared" si="31"/>
        <v>-0.14249807120351013</v>
      </c>
      <c r="DH115" s="97" t="str">
        <f t="shared" si="31"/>
        <v/>
      </c>
      <c r="DI115" s="97">
        <f t="shared" si="31"/>
        <v>-0.18039121254492743</v>
      </c>
      <c r="DJ115" s="97">
        <f t="shared" si="31"/>
        <v>-0.55685461842009798</v>
      </c>
      <c r="DK115" s="97">
        <f t="shared" si="31"/>
        <v>-9.9846439442277113E-3</v>
      </c>
      <c r="DL115" s="97">
        <f t="shared" si="31"/>
        <v>0.26125574808937518</v>
      </c>
      <c r="DM115" s="97">
        <f t="shared" si="31"/>
        <v>-0.12984667877891695</v>
      </c>
      <c r="DN115" s="97">
        <f t="shared" si="31"/>
        <v>0.42442704611948529</v>
      </c>
      <c r="DO115" s="97" t="str">
        <f t="shared" si="31"/>
        <v/>
      </c>
      <c r="DP115" s="97">
        <f t="shared" si="31"/>
        <v>-0.15263081804193593</v>
      </c>
      <c r="DQ115" s="97">
        <f t="shared" si="31"/>
        <v>-1.825484930301003E-2</v>
      </c>
      <c r="DR115" s="97">
        <f t="shared" si="31"/>
        <v>0.28366455547559855</v>
      </c>
      <c r="DS115" s="97">
        <f t="shared" si="31"/>
        <v>-0.10357035897988776</v>
      </c>
      <c r="DT115" s="97">
        <f t="shared" si="31"/>
        <v>0.26610311123399155</v>
      </c>
      <c r="DU115" s="97">
        <f t="shared" si="31"/>
        <v>4.4112568751726984E-2</v>
      </c>
      <c r="DV115" s="97">
        <f t="shared" si="31"/>
        <v>-9.0669755753984171E-2</v>
      </c>
      <c r="DW115" s="97">
        <f t="shared" si="31"/>
        <v>0.18553197318023845</v>
      </c>
      <c r="DX115" s="97">
        <f t="shared" si="31"/>
        <v>0.19022650008355727</v>
      </c>
      <c r="DY115" s="97">
        <f t="shared" si="31"/>
        <v>-4.5670367207515383E-3</v>
      </c>
      <c r="DZ115" s="97">
        <f t="shared" si="24"/>
        <v>-0.27582209744949643</v>
      </c>
      <c r="EA115" s="97">
        <f t="shared" si="24"/>
        <v>-0.40067093282464766</v>
      </c>
      <c r="EB115" s="97">
        <f t="shared" si="24"/>
        <v>-0.13487006702378193</v>
      </c>
      <c r="EC115" s="97">
        <f t="shared" si="24"/>
        <v>-0.12743393091870384</v>
      </c>
      <c r="ED115" s="97">
        <f t="shared" si="24"/>
        <v>-3.3619982283764172E-2</v>
      </c>
      <c r="EE115" s="97">
        <f t="shared" si="24"/>
        <v>0.17628402710903576</v>
      </c>
      <c r="EF115" s="97">
        <f t="shared" si="24"/>
        <v>-0.25641888857260342</v>
      </c>
      <c r="EG115" s="97">
        <f t="shared" si="24"/>
        <v>0.21725636600717377</v>
      </c>
      <c r="EH115" s="97">
        <f t="shared" si="24"/>
        <v>-0.74041609332452518</v>
      </c>
      <c r="EI115" s="97">
        <f t="shared" si="24"/>
        <v>-7.7956731125847445E-2</v>
      </c>
      <c r="EJ115" s="97">
        <f t="shared" si="24"/>
        <v>0.27350782958940884</v>
      </c>
      <c r="EK115" s="97">
        <f t="shared" si="24"/>
        <v>3.36947121575637E-3</v>
      </c>
      <c r="EL115" s="97">
        <f t="shared" si="24"/>
        <v>0.28400439185067694</v>
      </c>
      <c r="EM115" s="97">
        <f t="shared" si="24"/>
        <v>-0.40093067308438796</v>
      </c>
      <c r="EN115" s="97">
        <f t="shared" si="24"/>
        <v>6.0240757581367488E-2</v>
      </c>
      <c r="EO115" s="97">
        <f t="shared" ref="EA115:EO124" si="33">IF(ISBLANK(EO52),"",EO52-$D52)</f>
        <v>1.0716806074008382E-2</v>
      </c>
    </row>
    <row r="116" spans="1:145" outlineLevel="1" x14ac:dyDescent="0.25">
      <c r="A116">
        <v>2024</v>
      </c>
      <c r="B116">
        <v>6</v>
      </c>
      <c r="C116" s="97">
        <f t="shared" si="32"/>
        <v>3.1291647003876211E-2</v>
      </c>
      <c r="D116" s="97">
        <f t="shared" si="32"/>
        <v>0</v>
      </c>
      <c r="E116" s="97">
        <f t="shared" si="32"/>
        <v>6.3968015629040753E-2</v>
      </c>
      <c r="F116" s="97">
        <f t="shared" si="32"/>
        <v>-0.21088970114364092</v>
      </c>
      <c r="G116" s="97" t="str">
        <f t="shared" si="32"/>
        <v/>
      </c>
      <c r="H116" s="97">
        <f t="shared" si="32"/>
        <v>-0.27672042214677561</v>
      </c>
      <c r="I116" s="97">
        <f t="shared" si="32"/>
        <v>0.10065801337119469</v>
      </c>
      <c r="J116" s="97">
        <f t="shared" si="32"/>
        <v>-5.9036853648182348E-2</v>
      </c>
      <c r="K116" s="97">
        <f t="shared" si="32"/>
        <v>-5.3394347024293354E-2</v>
      </c>
      <c r="L116" s="97">
        <f t="shared" si="32"/>
        <v>0.3277141676536679</v>
      </c>
      <c r="M116" s="97">
        <f t="shared" si="32"/>
        <v>-2.2791300421043825E-2</v>
      </c>
      <c r="N116" s="97">
        <f t="shared" si="32"/>
        <v>-0.11018044038940271</v>
      </c>
      <c r="O116" s="97">
        <f t="shared" si="32"/>
        <v>7.6408860630748254E-2</v>
      </c>
      <c r="P116" s="97">
        <f t="shared" si="32"/>
        <v>-0.10121537164172512</v>
      </c>
      <c r="Q116" s="97">
        <f t="shared" si="32"/>
        <v>-2.5890959638480985E-2</v>
      </c>
      <c r="R116" s="97">
        <f t="shared" si="32"/>
        <v>-0.20073424779005211</v>
      </c>
      <c r="S116" s="97">
        <f t="shared" si="32"/>
        <v>-2.21537164172525E-3</v>
      </c>
      <c r="T116" s="97">
        <f t="shared" si="32"/>
        <v>0.2424885554457967</v>
      </c>
      <c r="U116" s="97">
        <f t="shared" si="32"/>
        <v>7.4572322598862647E-3</v>
      </c>
      <c r="V116" s="97">
        <f t="shared" si="32"/>
        <v>-0.1224884472251455</v>
      </c>
      <c r="W116" s="97">
        <f t="shared" si="32"/>
        <v>-0.10208579247127403</v>
      </c>
      <c r="X116" s="97">
        <f t="shared" si="32"/>
        <v>9.2289024079067028E-2</v>
      </c>
      <c r="Y116" s="97">
        <f t="shared" si="32"/>
        <v>-7.7009022435375885E-2</v>
      </c>
      <c r="Z116" s="97">
        <f t="shared" si="32"/>
        <v>-0.13214848922532821</v>
      </c>
      <c r="AA116" s="97" t="str">
        <f t="shared" si="32"/>
        <v/>
      </c>
      <c r="AB116" s="97">
        <f t="shared" si="32"/>
        <v>6.7143268737910339E-3</v>
      </c>
      <c r="AC116" s="97">
        <f t="shared" si="32"/>
        <v>0.1176284722021186</v>
      </c>
      <c r="AD116" s="97">
        <f t="shared" si="32"/>
        <v>-0.30681005082795348</v>
      </c>
      <c r="AE116" s="97">
        <f t="shared" si="32"/>
        <v>-0.60670334344475696</v>
      </c>
      <c r="AF116" s="97">
        <f t="shared" si="32"/>
        <v>-0.1527110981374516</v>
      </c>
      <c r="AG116" s="97">
        <f t="shared" si="32"/>
        <v>-0.54750242188740594</v>
      </c>
      <c r="AH116" s="97">
        <f t="shared" si="32"/>
        <v>-7.5421720848074192E-2</v>
      </c>
      <c r="AI116" s="97">
        <f t="shared" si="32"/>
        <v>-0.85783218734734756</v>
      </c>
      <c r="AJ116" s="97">
        <f t="shared" si="32"/>
        <v>8.6331132067596333E-3</v>
      </c>
      <c r="AK116" s="97">
        <f t="shared" si="32"/>
        <v>3.1562406136052656E-2</v>
      </c>
      <c r="AL116" s="97">
        <f t="shared" si="32"/>
        <v>-3.2357663601759956E-2</v>
      </c>
      <c r="AM116" s="97">
        <f t="shared" si="32"/>
        <v>7.290443095835597E-2</v>
      </c>
      <c r="AN116" s="97">
        <f t="shared" si="32"/>
        <v>-0.16418240254555902</v>
      </c>
      <c r="AO116" s="97">
        <f t="shared" si="32"/>
        <v>2.9790634364280866E-2</v>
      </c>
      <c r="AP116" s="97">
        <f t="shared" si="32"/>
        <v>-0.18236127086162801</v>
      </c>
      <c r="AQ116" s="97">
        <f t="shared" si="32"/>
        <v>0.1454846573690087</v>
      </c>
      <c r="AR116" s="97">
        <f t="shared" si="32"/>
        <v>-0.1671472712833022</v>
      </c>
      <c r="AS116" s="97">
        <f t="shared" si="32"/>
        <v>-6.7514774483592443E-3</v>
      </c>
      <c r="AT116" s="97">
        <f t="shared" si="32"/>
        <v>-0.18423705185852732</v>
      </c>
      <c r="AU116" s="97">
        <f t="shared" si="32"/>
        <v>0.44216069673434322</v>
      </c>
      <c r="AV116" s="97">
        <f t="shared" si="32"/>
        <v>-0.24960718450722222</v>
      </c>
      <c r="AW116" s="97">
        <f t="shared" si="32"/>
        <v>-0.1878166788312676</v>
      </c>
      <c r="AX116" s="97">
        <f t="shared" si="32"/>
        <v>3.1452131927417915E-2</v>
      </c>
      <c r="AY116" s="97">
        <f t="shared" si="32"/>
        <v>-0.20117263659899001</v>
      </c>
      <c r="AZ116" s="97">
        <f t="shared" si="32"/>
        <v>-0.16485935204904661</v>
      </c>
      <c r="BA116" s="97">
        <f t="shared" si="32"/>
        <v>2.3784628358274995E-2</v>
      </c>
      <c r="BB116" s="97">
        <f t="shared" si="32"/>
        <v>-7.7232586039221118E-2</v>
      </c>
      <c r="BC116" s="97">
        <f t="shared" si="32"/>
        <v>0.1096910611068129</v>
      </c>
      <c r="BD116" s="97">
        <f t="shared" si="32"/>
        <v>4.7378712810502981E-2</v>
      </c>
      <c r="BE116" s="97">
        <f t="shared" si="32"/>
        <v>-0.2687208721917802</v>
      </c>
      <c r="BF116" s="97">
        <f t="shared" si="32"/>
        <v>-0.19166821944751419</v>
      </c>
      <c r="BG116" s="97">
        <f t="shared" si="32"/>
        <v>-0.2141842322220506</v>
      </c>
      <c r="BH116" s="97">
        <f t="shared" si="32"/>
        <v>-0.17645588895108549</v>
      </c>
      <c r="BI116" s="97" t="str">
        <f t="shared" si="32"/>
        <v/>
      </c>
      <c r="BJ116" s="97">
        <f t="shared" si="32"/>
        <v>-0.19438997481632819</v>
      </c>
      <c r="BK116" s="97">
        <f t="shared" si="32"/>
        <v>-0.22681366224001562</v>
      </c>
      <c r="BL116" s="97">
        <f t="shared" si="32"/>
        <v>2.2197326770973413E-2</v>
      </c>
      <c r="BM116" s="97">
        <f t="shared" si="32"/>
        <v>0.1597951514161518</v>
      </c>
      <c r="BN116" s="97" t="str">
        <f t="shared" si="32"/>
        <v/>
      </c>
      <c r="BO116" s="97">
        <f t="shared" si="31"/>
        <v>-0.11323339582607371</v>
      </c>
      <c r="BP116" s="97">
        <f t="shared" si="31"/>
        <v>-7.1789759588994473E-2</v>
      </c>
      <c r="BQ116" s="97">
        <f t="shared" si="31"/>
        <v>3.4638896178977197E-2</v>
      </c>
      <c r="BR116" s="97">
        <f t="shared" si="31"/>
        <v>-9.3278863705217097E-2</v>
      </c>
      <c r="BS116" s="97">
        <f t="shared" si="31"/>
        <v>1.4596975506136593E-2</v>
      </c>
      <c r="BT116" s="97">
        <f t="shared" si="31"/>
        <v>-0.2406598160861696</v>
      </c>
      <c r="BU116" s="97">
        <f t="shared" si="31"/>
        <v>3.4876108531027183E-2</v>
      </c>
      <c r="BV116" s="97">
        <f t="shared" si="31"/>
        <v>-0.15565191719201479</v>
      </c>
      <c r="BW116" s="97">
        <f t="shared" si="31"/>
        <v>1.0068608300212164E-2</v>
      </c>
      <c r="BX116" s="97">
        <f t="shared" si="31"/>
        <v>-7.4708057220743695E-3</v>
      </c>
      <c r="BY116" s="97" t="str">
        <f t="shared" si="31"/>
        <v/>
      </c>
      <c r="BZ116" s="97">
        <f t="shared" si="31"/>
        <v>-5.7407618655473169E-2</v>
      </c>
      <c r="CA116" s="97">
        <f t="shared" si="31"/>
        <v>-0.28934019312130238</v>
      </c>
      <c r="CB116" s="97">
        <f t="shared" si="31"/>
        <v>-1.3281803152600968E-2</v>
      </c>
      <c r="CC116" s="97">
        <f t="shared" si="31"/>
        <v>9.9671116314916888E-2</v>
      </c>
      <c r="CD116" s="97">
        <f t="shared" si="31"/>
        <v>0.18675829566720228</v>
      </c>
      <c r="CE116" s="97">
        <f t="shared" si="31"/>
        <v>-7.1592217018570437E-2</v>
      </c>
      <c r="CF116" s="97">
        <f t="shared" si="31"/>
        <v>-0.16039558844389321</v>
      </c>
      <c r="CG116" s="97" t="str">
        <f t="shared" si="31"/>
        <v/>
      </c>
      <c r="CH116" s="97" t="str">
        <f t="shared" si="31"/>
        <v/>
      </c>
      <c r="CI116" s="97">
        <f t="shared" si="31"/>
        <v>-0.22545489471405192</v>
      </c>
      <c r="CJ116" s="97">
        <f t="shared" si="31"/>
        <v>-1.1897882582478592E-2</v>
      </c>
      <c r="CK116" s="97">
        <f t="shared" si="31"/>
        <v>-0.3615512889543866</v>
      </c>
      <c r="CL116" s="97">
        <f t="shared" si="31"/>
        <v>-2.7615196663597467E-2</v>
      </c>
      <c r="CM116" s="97">
        <f t="shared" si="31"/>
        <v>-1.1063856490210022E-2</v>
      </c>
      <c r="CN116" s="97">
        <f t="shared" si="31"/>
        <v>-0.36357320191294129</v>
      </c>
      <c r="CO116" s="97">
        <f t="shared" si="31"/>
        <v>-1.3167461346108356E-2</v>
      </c>
      <c r="CP116" s="97">
        <f t="shared" si="31"/>
        <v>-6.2057665548535208E-2</v>
      </c>
      <c r="CQ116" s="97">
        <f t="shared" si="31"/>
        <v>0.19600685058049711</v>
      </c>
      <c r="CR116" s="97">
        <f t="shared" si="31"/>
        <v>-3.3531447197477804E-2</v>
      </c>
      <c r="CS116" s="97">
        <f t="shared" si="31"/>
        <v>0.20434018391383038</v>
      </c>
      <c r="CT116" s="97">
        <f t="shared" si="31"/>
        <v>-4.1030186456539885E-2</v>
      </c>
      <c r="CU116" s="97">
        <f t="shared" si="31"/>
        <v>0.17490593314930439</v>
      </c>
      <c r="CV116" s="97">
        <f t="shared" si="31"/>
        <v>-4.6178644853809625E-2</v>
      </c>
      <c r="CW116" s="97">
        <f t="shared" si="31"/>
        <v>6.6602403371664787E-2</v>
      </c>
      <c r="CX116" s="97">
        <f t="shared" si="31"/>
        <v>-6.0702677939120424E-2</v>
      </c>
      <c r="CY116" s="97">
        <f t="shared" si="31"/>
        <v>0.50952036409401069</v>
      </c>
      <c r="CZ116" s="97">
        <f t="shared" si="31"/>
        <v>-2.7721294548988976E-2</v>
      </c>
      <c r="DA116" s="97">
        <f t="shared" si="31"/>
        <v>8.9425109603851638E-2</v>
      </c>
      <c r="DB116" s="97">
        <f t="shared" si="31"/>
        <v>-0.1177606679685549</v>
      </c>
      <c r="DC116" s="97">
        <f t="shared" si="31"/>
        <v>-7.1192532904533312E-2</v>
      </c>
      <c r="DD116" s="97">
        <f t="shared" si="31"/>
        <v>-0.1923426639826098</v>
      </c>
      <c r="DE116" s="97">
        <f t="shared" si="31"/>
        <v>-0.2591217720180049</v>
      </c>
      <c r="DF116" s="97">
        <f t="shared" si="31"/>
        <v>2.8092412077823203E-2</v>
      </c>
      <c r="DG116" s="97">
        <f t="shared" si="31"/>
        <v>-0.31308405851041199</v>
      </c>
      <c r="DH116" s="97" t="str">
        <f t="shared" si="31"/>
        <v/>
      </c>
      <c r="DI116" s="97">
        <f t="shared" si="31"/>
        <v>-3.993149419502906E-3</v>
      </c>
      <c r="DJ116" s="97">
        <f t="shared" si="31"/>
        <v>-6.9686580076437243E-2</v>
      </c>
      <c r="DK116" s="97">
        <f t="shared" si="31"/>
        <v>-0.44339396648713802</v>
      </c>
      <c r="DL116" s="97">
        <f t="shared" si="31"/>
        <v>0.78304388761753385</v>
      </c>
      <c r="DM116" s="97">
        <f t="shared" si="31"/>
        <v>0.10853881988995999</v>
      </c>
      <c r="DN116" s="97">
        <f t="shared" si="31"/>
        <v>-0.17583579952302261</v>
      </c>
      <c r="DO116" s="97" t="str">
        <f t="shared" si="31"/>
        <v/>
      </c>
      <c r="DP116" s="97">
        <f t="shared" si="31"/>
        <v>1.0712732933438215E-2</v>
      </c>
      <c r="DQ116" s="97">
        <f t="shared" si="31"/>
        <v>-0.2353782575059721</v>
      </c>
      <c r="DR116" s="97">
        <f t="shared" si="31"/>
        <v>3.2645834459344103E-2</v>
      </c>
      <c r="DS116" s="97">
        <f t="shared" si="31"/>
        <v>-1.7636217266110647E-2</v>
      </c>
      <c r="DT116" s="97">
        <f t="shared" si="31"/>
        <v>-0.13789725900854399</v>
      </c>
      <c r="DU116" s="97">
        <f t="shared" si="31"/>
        <v>-0.1793572270894058</v>
      </c>
      <c r="DV116" s="97">
        <f t="shared" si="31"/>
        <v>-0.20895182710545332</v>
      </c>
      <c r="DW116" s="97">
        <f t="shared" si="31"/>
        <v>0.1291183314457216</v>
      </c>
      <c r="DX116" s="97">
        <f t="shared" si="31"/>
        <v>-2.7283908247451857E-2</v>
      </c>
      <c r="DY116" s="97">
        <f t="shared" si="31"/>
        <v>-0.13991547951659031</v>
      </c>
      <c r="DZ116" s="97">
        <f t="shared" ref="DZ116:DZ124" si="34">IF(ISBLANK(DZ53),"",DZ53-$D53)</f>
        <v>-8.1770927197280741E-2</v>
      </c>
      <c r="EA116" s="97">
        <f t="shared" si="33"/>
        <v>-1.4745837591545905E-2</v>
      </c>
      <c r="EB116" s="97">
        <f t="shared" si="33"/>
        <v>-0.22577015290382341</v>
      </c>
      <c r="EC116" s="97">
        <f t="shared" si="33"/>
        <v>0.15553992451045828</v>
      </c>
      <c r="ED116" s="97">
        <f t="shared" si="33"/>
        <v>-0.14841267570133751</v>
      </c>
      <c r="EE116" s="97">
        <f t="shared" si="33"/>
        <v>-0.27876792419427759</v>
      </c>
      <c r="EF116" s="97">
        <f t="shared" si="33"/>
        <v>-0.17102285238979992</v>
      </c>
      <c r="EG116" s="97">
        <f t="shared" si="33"/>
        <v>-0.1473539014759071</v>
      </c>
      <c r="EH116" s="97">
        <f t="shared" si="33"/>
        <v>-0.26499314941950292</v>
      </c>
      <c r="EI116" s="97">
        <f t="shared" si="33"/>
        <v>-1.169363404059709E-3</v>
      </c>
      <c r="EJ116" s="97">
        <f t="shared" si="33"/>
        <v>-0.52072955109314312</v>
      </c>
      <c r="EK116" s="97">
        <f t="shared" si="33"/>
        <v>-0.22840259823840062</v>
      </c>
      <c r="EL116" s="97">
        <f t="shared" si="33"/>
        <v>-6.2104443197246173E-3</v>
      </c>
      <c r="EM116" s="97">
        <f t="shared" si="33"/>
        <v>-0.11543893255203311</v>
      </c>
      <c r="EN116" s="97">
        <f t="shared" si="33"/>
        <v>1.8417966922156474E-2</v>
      </c>
      <c r="EO116" s="97">
        <f t="shared" si="33"/>
        <v>4.9770291440712107E-2</v>
      </c>
    </row>
    <row r="117" spans="1:145" outlineLevel="1" x14ac:dyDescent="0.25">
      <c r="A117">
        <v>2024</v>
      </c>
      <c r="B117">
        <v>7</v>
      </c>
      <c r="C117" s="97">
        <f t="shared" si="32"/>
        <v>7.6000355434144885E-3</v>
      </c>
      <c r="D117" s="97">
        <f t="shared" si="32"/>
        <v>0</v>
      </c>
      <c r="E117" s="97">
        <f t="shared" si="32"/>
        <v>0.2136728182450392</v>
      </c>
      <c r="F117" s="97">
        <f t="shared" si="32"/>
        <v>-0.10016117384982248</v>
      </c>
      <c r="G117" s="97" t="str">
        <f t="shared" si="32"/>
        <v/>
      </c>
      <c r="H117" s="97">
        <f t="shared" si="32"/>
        <v>-0.26790185707963632</v>
      </c>
      <c r="I117" s="97">
        <f t="shared" si="32"/>
        <v>7.9701526379010401E-2</v>
      </c>
      <c r="J117" s="97">
        <f t="shared" si="32"/>
        <v>8.3491000063220966E-2</v>
      </c>
      <c r="K117" s="97">
        <f t="shared" si="32"/>
        <v>0.14982170872463829</v>
      </c>
      <c r="L117" s="97">
        <f t="shared" si="32"/>
        <v>-0.12538812081590001</v>
      </c>
      <c r="M117" s="97">
        <f t="shared" si="32"/>
        <v>2.752617594261797E-2</v>
      </c>
      <c r="N117" s="97">
        <f t="shared" si="32"/>
        <v>3.9100833185996553E-3</v>
      </c>
      <c r="O117" s="97">
        <f t="shared" si="32"/>
        <v>0.18153751169112778</v>
      </c>
      <c r="P117" s="97">
        <f t="shared" si="32"/>
        <v>0.47241407698629767</v>
      </c>
      <c r="Q117" s="97">
        <f t="shared" si="32"/>
        <v>2.8790597647134764E-3</v>
      </c>
      <c r="R117" s="97">
        <f t="shared" si="32"/>
        <v>2.8924508703341179E-2</v>
      </c>
      <c r="S117" s="97">
        <f t="shared" si="32"/>
        <v>-6.2747497149512332E-3</v>
      </c>
      <c r="T117" s="97">
        <f t="shared" si="32"/>
        <v>0.11645874199870469</v>
      </c>
      <c r="U117" s="97">
        <f t="shared" si="32"/>
        <v>0.19926458496888119</v>
      </c>
      <c r="V117" s="97">
        <f t="shared" si="32"/>
        <v>0.15765316222538298</v>
      </c>
      <c r="W117" s="97">
        <f t="shared" si="32"/>
        <v>0.1495695499121634</v>
      </c>
      <c r="X117" s="97">
        <f t="shared" si="32"/>
        <v>8.0087273355146316E-2</v>
      </c>
      <c r="Y117" s="97">
        <f t="shared" si="32"/>
        <v>-9.6974753361436683E-2</v>
      </c>
      <c r="Z117" s="97">
        <f t="shared" si="32"/>
        <v>0.33168253681155041</v>
      </c>
      <c r="AA117" s="97" t="str">
        <f t="shared" si="32"/>
        <v/>
      </c>
      <c r="AB117" s="97">
        <f t="shared" si="32"/>
        <v>0.15801208195465688</v>
      </c>
      <c r="AC117" s="97">
        <f t="shared" si="32"/>
        <v>5.7070652004318705E-2</v>
      </c>
      <c r="AD117" s="97">
        <f t="shared" si="32"/>
        <v>0.1747839293561502</v>
      </c>
      <c r="AE117" s="97">
        <f t="shared" si="32"/>
        <v>0.34471580626477127</v>
      </c>
      <c r="AF117" s="97">
        <f t="shared" si="32"/>
        <v>-0.40209936138256219</v>
      </c>
      <c r="AG117" s="97">
        <f t="shared" si="32"/>
        <v>9.8928500063220681E-2</v>
      </c>
      <c r="AH117" s="97">
        <f t="shared" si="32"/>
        <v>-0.12758592301370231</v>
      </c>
      <c r="AI117" s="97">
        <f t="shared" si="32"/>
        <v>-0.80400267082285504</v>
      </c>
      <c r="AJ117" s="97">
        <f t="shared" si="32"/>
        <v>7.2797733230303363E-2</v>
      </c>
      <c r="AK117" s="97">
        <f t="shared" si="32"/>
        <v>-0.18476651066639291</v>
      </c>
      <c r="AL117" s="97">
        <f t="shared" si="32"/>
        <v>0.19331708701974248</v>
      </c>
      <c r="AM117" s="97">
        <f t="shared" si="32"/>
        <v>0.18570337310107868</v>
      </c>
      <c r="AN117" s="97">
        <f t="shared" si="32"/>
        <v>-0.21577660557058193</v>
      </c>
      <c r="AO117" s="97">
        <f t="shared" si="32"/>
        <v>-6.986847706096222E-2</v>
      </c>
      <c r="AP117" s="97">
        <f t="shared" si="32"/>
        <v>5.3227720617493368E-2</v>
      </c>
      <c r="AQ117" s="97">
        <f t="shared" si="32"/>
        <v>0.1346164969399955</v>
      </c>
      <c r="AR117" s="97">
        <f t="shared" si="32"/>
        <v>0.5459450004058628</v>
      </c>
      <c r="AS117" s="97">
        <f t="shared" si="32"/>
        <v>-8.0891978660183383E-2</v>
      </c>
      <c r="AT117" s="97">
        <f t="shared" si="32"/>
        <v>-0.15530737343672951</v>
      </c>
      <c r="AU117" s="97">
        <f t="shared" si="32"/>
        <v>-2.0466446745289742E-2</v>
      </c>
      <c r="AV117" s="97">
        <f t="shared" si="32"/>
        <v>0.25905689153608891</v>
      </c>
      <c r="AW117" s="97">
        <f t="shared" si="32"/>
        <v>-0.10083609626387546</v>
      </c>
      <c r="AX117" s="97">
        <f t="shared" si="32"/>
        <v>0.12428860382873208</v>
      </c>
      <c r="AY117" s="97">
        <f t="shared" si="32"/>
        <v>-0.25410976646504491</v>
      </c>
      <c r="AZ117" s="97">
        <f t="shared" si="32"/>
        <v>0.14019146089271398</v>
      </c>
      <c r="BA117" s="97">
        <f t="shared" si="32"/>
        <v>3.6031540603761458E-2</v>
      </c>
      <c r="BB117" s="97">
        <f t="shared" si="32"/>
        <v>8.9715924075378872E-2</v>
      </c>
      <c r="BC117" s="97">
        <f t="shared" si="32"/>
        <v>-0.24817629672316852</v>
      </c>
      <c r="BD117" s="97">
        <f t="shared" si="32"/>
        <v>-5.892321426215396E-2</v>
      </c>
      <c r="BE117" s="97">
        <f t="shared" si="32"/>
        <v>1.099513891832284</v>
      </c>
      <c r="BF117" s="97">
        <f t="shared" si="32"/>
        <v>0.13112318397126699</v>
      </c>
      <c r="BG117" s="97">
        <f t="shared" si="32"/>
        <v>0.49226519361160781</v>
      </c>
      <c r="BH117" s="97">
        <f t="shared" si="32"/>
        <v>5.8955837112963705E-2</v>
      </c>
      <c r="BI117" s="97" t="str">
        <f t="shared" si="32"/>
        <v/>
      </c>
      <c r="BJ117" s="97">
        <f t="shared" si="32"/>
        <v>-0.23713325246104142</v>
      </c>
      <c r="BK117" s="97">
        <f t="shared" si="32"/>
        <v>-0.24876282155780632</v>
      </c>
      <c r="BL117" s="97">
        <f t="shared" si="32"/>
        <v>0.11779792747455668</v>
      </c>
      <c r="BM117" s="97">
        <f t="shared" si="32"/>
        <v>0.22957429350505909</v>
      </c>
      <c r="BN117" s="97" t="str">
        <f t="shared" ref="BN117:DY121" si="35">IF(ISBLANK(BN54),"",BN54-$D54)</f>
        <v/>
      </c>
      <c r="BO117" s="97">
        <f t="shared" si="35"/>
        <v>4.712769900282443E-2</v>
      </c>
      <c r="BP117" s="97">
        <f t="shared" si="31"/>
        <v>1.3672818245039187E-2</v>
      </c>
      <c r="BQ117" s="97">
        <f t="shared" si="31"/>
        <v>0.1442714878680991</v>
      </c>
      <c r="BR117" s="97">
        <f t="shared" si="31"/>
        <v>0.29614459483446282</v>
      </c>
      <c r="BS117" s="97">
        <f t="shared" si="31"/>
        <v>0.14485587084727689</v>
      </c>
      <c r="BT117" s="97">
        <f t="shared" si="31"/>
        <v>3.9159122333963348E-2</v>
      </c>
      <c r="BU117" s="97">
        <f t="shared" si="31"/>
        <v>-0.35484913599120094</v>
      </c>
      <c r="BV117" s="97">
        <f t="shared" si="31"/>
        <v>-0.66093358094236576</v>
      </c>
      <c r="BW117" s="97">
        <f t="shared" si="31"/>
        <v>2.8471417940106436E-2</v>
      </c>
      <c r="BX117" s="97">
        <f t="shared" si="31"/>
        <v>7.5471834923601211E-2</v>
      </c>
      <c r="BY117" s="97" t="str">
        <f t="shared" si="31"/>
        <v/>
      </c>
      <c r="BZ117" s="97">
        <f t="shared" si="31"/>
        <v>9.7871952444173085E-2</v>
      </c>
      <c r="CA117" s="97">
        <f t="shared" si="31"/>
        <v>0.46671402164595471</v>
      </c>
      <c r="CB117" s="97">
        <f t="shared" si="31"/>
        <v>0.28898732097468521</v>
      </c>
      <c r="CC117" s="97">
        <f t="shared" si="31"/>
        <v>-0.11618582556390931</v>
      </c>
      <c r="CD117" s="97">
        <f t="shared" si="31"/>
        <v>-0.37222744653872092</v>
      </c>
      <c r="CE117" s="97">
        <f t="shared" si="31"/>
        <v>-1.0342333270112469E-2</v>
      </c>
      <c r="CF117" s="97">
        <f t="shared" si="31"/>
        <v>0.17149389128114659</v>
      </c>
      <c r="CG117" s="97" t="str">
        <f t="shared" si="31"/>
        <v/>
      </c>
      <c r="CH117" s="97" t="str">
        <f t="shared" si="31"/>
        <v/>
      </c>
      <c r="CI117" s="97">
        <f t="shared" si="31"/>
        <v>2.2921942967665179</v>
      </c>
      <c r="CJ117" s="97">
        <f t="shared" si="31"/>
        <v>-9.0696556611384094E-2</v>
      </c>
      <c r="CK117" s="97">
        <f t="shared" si="31"/>
        <v>-0.73224655649786508</v>
      </c>
      <c r="CL117" s="97">
        <f t="shared" si="31"/>
        <v>7.6136161353543619E-2</v>
      </c>
      <c r="CM117" s="97">
        <f t="shared" si="31"/>
        <v>0.30373108144674071</v>
      </c>
      <c r="CN117" s="97">
        <f t="shared" si="31"/>
        <v>-6.5984409772844699E-2</v>
      </c>
      <c r="CO117" s="97">
        <f t="shared" si="31"/>
        <v>0.10845396302618379</v>
      </c>
      <c r="CP117" s="97">
        <f t="shared" si="31"/>
        <v>0.30713483567965927</v>
      </c>
      <c r="CQ117" s="97">
        <f t="shared" si="31"/>
        <v>0.23233310532637888</v>
      </c>
      <c r="CR117" s="97">
        <f t="shared" si="31"/>
        <v>5.153150196999956E-2</v>
      </c>
      <c r="CS117" s="97">
        <f t="shared" si="31"/>
        <v>0.32307720695977271</v>
      </c>
      <c r="CT117" s="97">
        <f t="shared" si="31"/>
        <v>5.106384678605469E-3</v>
      </c>
      <c r="CU117" s="97">
        <f t="shared" si="31"/>
        <v>-1.229110110409426E-2</v>
      </c>
      <c r="CV117" s="97">
        <f t="shared" si="31"/>
        <v>0.12131223209308839</v>
      </c>
      <c r="CW117" s="97">
        <f t="shared" si="31"/>
        <v>2.3958683432865117E-2</v>
      </c>
      <c r="CX117" s="97">
        <f t="shared" si="31"/>
        <v>-0.28273339700074279</v>
      </c>
      <c r="CY117" s="97">
        <f t="shared" si="31"/>
        <v>-6.7008999936779112E-2</v>
      </c>
      <c r="CZ117" s="97">
        <f t="shared" si="31"/>
        <v>0.10188551819274209</v>
      </c>
      <c r="DA117" s="97">
        <f t="shared" si="31"/>
        <v>0.14306381559720149</v>
      </c>
      <c r="DB117" s="97">
        <f t="shared" si="31"/>
        <v>0.32665379076089529</v>
      </c>
      <c r="DC117" s="97">
        <f t="shared" si="31"/>
        <v>9.6346838937716686E-2</v>
      </c>
      <c r="DD117" s="97">
        <f t="shared" si="31"/>
        <v>-0.27245158366883654</v>
      </c>
      <c r="DE117" s="97">
        <f t="shared" si="31"/>
        <v>-0.11707730594770802</v>
      </c>
      <c r="DF117" s="97">
        <f t="shared" si="31"/>
        <v>0.11984333166943849</v>
      </c>
      <c r="DG117" s="97">
        <f t="shared" si="31"/>
        <v>-0.2597721578315158</v>
      </c>
      <c r="DH117" s="97" t="str">
        <f t="shared" si="31"/>
        <v/>
      </c>
      <c r="DI117" s="97">
        <f t="shared" si="31"/>
        <v>0.21549100006322089</v>
      </c>
      <c r="DJ117" s="97">
        <f t="shared" si="31"/>
        <v>-9.0446499936779223E-2</v>
      </c>
      <c r="DK117" s="97">
        <f t="shared" si="31"/>
        <v>0.79468128346403066</v>
      </c>
      <c r="DL117" s="97">
        <f t="shared" si="31"/>
        <v>-0.18067480304558731</v>
      </c>
      <c r="DM117" s="97">
        <f t="shared" si="31"/>
        <v>0.15181283914368079</v>
      </c>
      <c r="DN117" s="97">
        <f t="shared" si="31"/>
        <v>6.0491000063220834E-2</v>
      </c>
      <c r="DO117" s="97" t="str">
        <f t="shared" si="31"/>
        <v/>
      </c>
      <c r="DP117" s="97">
        <f t="shared" si="31"/>
        <v>0.3103790106034055</v>
      </c>
      <c r="DQ117" s="97">
        <f t="shared" si="31"/>
        <v>-0.2050298332701124</v>
      </c>
      <c r="DR117" s="97">
        <f t="shared" si="31"/>
        <v>0.71556640062872523</v>
      </c>
      <c r="DS117" s="97">
        <f t="shared" si="31"/>
        <v>0.11025735520340789</v>
      </c>
      <c r="DT117" s="97">
        <f t="shared" si="31"/>
        <v>-0.42127451990514614</v>
      </c>
      <c r="DU117" s="97">
        <f t="shared" si="31"/>
        <v>-0.11083718242390202</v>
      </c>
      <c r="DV117" s="97">
        <f t="shared" si="31"/>
        <v>-0.25398924941702861</v>
      </c>
      <c r="DW117" s="97">
        <f t="shared" si="31"/>
        <v>0.1335233054964074</v>
      </c>
      <c r="DX117" s="97">
        <f t="shared" si="31"/>
        <v>-7.0662846090625231E-2</v>
      </c>
      <c r="DY117" s="97">
        <f t="shared" si="31"/>
        <v>0.10796291017558039</v>
      </c>
      <c r="DZ117" s="97">
        <f t="shared" si="34"/>
        <v>0.21838256632828099</v>
      </c>
      <c r="EA117" s="97">
        <f t="shared" si="33"/>
        <v>9.8751869628438183E-2</v>
      </c>
      <c r="EB117" s="97">
        <f t="shared" si="33"/>
        <v>-0.11778412865851641</v>
      </c>
      <c r="EC117" s="97">
        <f t="shared" si="33"/>
        <v>6.2605094022952557E-2</v>
      </c>
      <c r="ED117" s="97">
        <f t="shared" si="33"/>
        <v>4.2169635610797229E-2</v>
      </c>
      <c r="EE117" s="97">
        <f t="shared" si="33"/>
        <v>8.2447521802351265E-2</v>
      </c>
      <c r="EF117" s="97">
        <f t="shared" si="33"/>
        <v>0.10829261660904278</v>
      </c>
      <c r="EG117" s="97">
        <f t="shared" si="33"/>
        <v>-0.10053094781057881</v>
      </c>
      <c r="EH117" s="97">
        <f t="shared" si="33"/>
        <v>1.3538903814666619</v>
      </c>
      <c r="EI117" s="97">
        <f t="shared" si="33"/>
        <v>0.13001993033732798</v>
      </c>
      <c r="EJ117" s="97">
        <f t="shared" si="33"/>
        <v>-1.7999560777481969E-4</v>
      </c>
      <c r="EK117" s="97">
        <f t="shared" si="33"/>
        <v>-4.0041994860636969E-2</v>
      </c>
      <c r="EL117" s="97">
        <f t="shared" si="33"/>
        <v>9.7713222285443088E-2</v>
      </c>
      <c r="EM117" s="97">
        <f t="shared" si="33"/>
        <v>-2.1627644004575734E-2</v>
      </c>
      <c r="EN117" s="97">
        <f t="shared" si="33"/>
        <v>3.6526875860908074E-2</v>
      </c>
      <c r="EO117" s="97">
        <f t="shared" si="33"/>
        <v>0.31998079598158807</v>
      </c>
    </row>
    <row r="118" spans="1:145" outlineLevel="1" x14ac:dyDescent="0.25">
      <c r="A118">
        <v>2024</v>
      </c>
      <c r="B118">
        <v>8</v>
      </c>
      <c r="C118" s="97">
        <f t="shared" ref="C118:BN121" si="36">IF(ISBLANK(C55),"",C55-$D55)</f>
        <v>1.8746390761422264E-2</v>
      </c>
      <c r="D118" s="97">
        <f t="shared" si="36"/>
        <v>0</v>
      </c>
      <c r="E118" s="97">
        <f t="shared" si="36"/>
        <v>-0.12402211479012905</v>
      </c>
      <c r="F118" s="97">
        <f t="shared" si="36"/>
        <v>-6.1349898946271297E-2</v>
      </c>
      <c r="G118" s="97">
        <f t="shared" si="36"/>
        <v>2.7901195487749941E-2</v>
      </c>
      <c r="H118" s="97">
        <f t="shared" si="36"/>
        <v>0.45598693089055864</v>
      </c>
      <c r="I118" s="97">
        <f t="shared" si="36"/>
        <v>7.3050773197119279E-2</v>
      </c>
      <c r="J118" s="97">
        <f t="shared" si="36"/>
        <v>0.11532572322567436</v>
      </c>
      <c r="K118" s="97">
        <f t="shared" si="36"/>
        <v>0.17682698215352935</v>
      </c>
      <c r="L118" s="97">
        <f t="shared" si="36"/>
        <v>-0.20461912971550206</v>
      </c>
      <c r="M118" s="97">
        <f t="shared" si="36"/>
        <v>-3.4594784006433232E-2</v>
      </c>
      <c r="N118" s="97">
        <f t="shared" si="36"/>
        <v>0.18369255859618636</v>
      </c>
      <c r="O118" s="97">
        <f t="shared" si="36"/>
        <v>-0.56148187481354128</v>
      </c>
      <c r="P118" s="97">
        <f t="shared" si="36"/>
        <v>0.17506837028449795</v>
      </c>
      <c r="Q118" s="97">
        <f t="shared" si="36"/>
        <v>-4.1584830878551249E-2</v>
      </c>
      <c r="R118" s="97">
        <f t="shared" si="36"/>
        <v>-5.3692194055741993E-2</v>
      </c>
      <c r="S118" s="97">
        <f t="shared" si="36"/>
        <v>-6.4057805008282953E-3</v>
      </c>
      <c r="T118" s="97">
        <f t="shared" si="36"/>
        <v>-0.15569826640614945</v>
      </c>
      <c r="U118" s="97">
        <f t="shared" si="36"/>
        <v>-3.5967092097947233E-2</v>
      </c>
      <c r="V118" s="97">
        <f t="shared" si="36"/>
        <v>-7.6222556888084658E-2</v>
      </c>
      <c r="W118" s="97">
        <f t="shared" si="36"/>
        <v>3.2342734258592465E-3</v>
      </c>
      <c r="X118" s="97">
        <f t="shared" si="36"/>
        <v>1.3133705011333374E-2</v>
      </c>
      <c r="Y118" s="97">
        <f t="shared" si="36"/>
        <v>-6.1222903300407694E-2</v>
      </c>
      <c r="Z118" s="97">
        <f t="shared" si="36"/>
        <v>-9.6210095629328141E-2</v>
      </c>
      <c r="AA118" s="97" t="str">
        <f t="shared" si="36"/>
        <v/>
      </c>
      <c r="AB118" s="97">
        <f t="shared" si="36"/>
        <v>4.5633411819520527E-2</v>
      </c>
      <c r="AC118" s="97">
        <f t="shared" si="36"/>
        <v>-0.21268974762218554</v>
      </c>
      <c r="AD118" s="97">
        <f t="shared" si="36"/>
        <v>-0.11168551087181895</v>
      </c>
      <c r="AE118" s="97">
        <f t="shared" si="36"/>
        <v>2.9566449141148476E-2</v>
      </c>
      <c r="AF118" s="97">
        <f t="shared" si="36"/>
        <v>-0.29321912971550207</v>
      </c>
      <c r="AG118" s="97">
        <f t="shared" si="36"/>
        <v>0.85745960152210787</v>
      </c>
      <c r="AH118" s="97">
        <f t="shared" si="36"/>
        <v>-0.11865421743480024</v>
      </c>
      <c r="AI118" s="97">
        <f t="shared" si="36"/>
        <v>-0.50840700850338083</v>
      </c>
      <c r="AJ118" s="97">
        <f t="shared" si="36"/>
        <v>0.13426975917338677</v>
      </c>
      <c r="AK118" s="97">
        <f t="shared" si="36"/>
        <v>-6.2210752752151155E-2</v>
      </c>
      <c r="AL118" s="97">
        <f t="shared" si="36"/>
        <v>-7.4710871954086766E-3</v>
      </c>
      <c r="AM118" s="97">
        <f t="shared" si="36"/>
        <v>-9.176678940001215E-2</v>
      </c>
      <c r="AN118" s="97">
        <f t="shared" si="36"/>
        <v>2.5482911100824342E-2</v>
      </c>
      <c r="AO118" s="97">
        <f t="shared" si="36"/>
        <v>-6.0563185659557879E-2</v>
      </c>
      <c r="AP118" s="97">
        <f t="shared" si="36"/>
        <v>0.35782628513165954</v>
      </c>
      <c r="AQ118" s="97">
        <f t="shared" si="36"/>
        <v>-3.3033885448303657E-2</v>
      </c>
      <c r="AR118" s="97">
        <f t="shared" si="36"/>
        <v>-0.37478487557185564</v>
      </c>
      <c r="AS118" s="97">
        <f t="shared" si="36"/>
        <v>0.16485027057628956</v>
      </c>
      <c r="AT118" s="97">
        <f t="shared" si="36"/>
        <v>4.0636344737052792E-2</v>
      </c>
      <c r="AU118" s="97">
        <f t="shared" si="36"/>
        <v>-0.10732183241820455</v>
      </c>
      <c r="AV118" s="97">
        <f t="shared" si="36"/>
        <v>-9.6643669592802572E-2</v>
      </c>
      <c r="AW118" s="97">
        <f t="shared" si="36"/>
        <v>0.18173056353603176</v>
      </c>
      <c r="AX118" s="97">
        <f t="shared" si="36"/>
        <v>-0.17520290530306834</v>
      </c>
      <c r="AY118" s="97">
        <f t="shared" si="36"/>
        <v>7.5185083946979425E-2</v>
      </c>
      <c r="AZ118" s="97">
        <f t="shared" si="36"/>
        <v>0.27476895402040796</v>
      </c>
      <c r="BA118" s="97">
        <f t="shared" si="36"/>
        <v>-0.21241133750770985</v>
      </c>
      <c r="BB118" s="97">
        <f t="shared" si="36"/>
        <v>0.27315864806227563</v>
      </c>
      <c r="BC118" s="97">
        <f t="shared" si="36"/>
        <v>-0.11109251137008834</v>
      </c>
      <c r="BD118" s="97">
        <f t="shared" si="36"/>
        <v>9.6379108687316459E-2</v>
      </c>
      <c r="BE118" s="97">
        <f t="shared" si="36"/>
        <v>-0.56453912971550202</v>
      </c>
      <c r="BF118" s="97">
        <f t="shared" si="36"/>
        <v>-9.874868437137263E-2</v>
      </c>
      <c r="BG118" s="97">
        <f t="shared" si="36"/>
        <v>-8.3282922818950222E-2</v>
      </c>
      <c r="BH118" s="97">
        <f t="shared" si="36"/>
        <v>-0.15784493616711495</v>
      </c>
      <c r="BI118" s="97" t="str">
        <f t="shared" si="36"/>
        <v/>
      </c>
      <c r="BJ118" s="97">
        <f t="shared" si="36"/>
        <v>6.5896966349904051E-2</v>
      </c>
      <c r="BK118" s="97">
        <f t="shared" si="36"/>
        <v>5.1305792484093171E-3</v>
      </c>
      <c r="BL118" s="97">
        <f t="shared" si="36"/>
        <v>5.7991620432164659E-2</v>
      </c>
      <c r="BM118" s="97">
        <f t="shared" si="36"/>
        <v>0.56481453979574692</v>
      </c>
      <c r="BN118" s="97" t="str">
        <f t="shared" si="36"/>
        <v/>
      </c>
      <c r="BO118" s="97">
        <f t="shared" si="35"/>
        <v>-0.21636836250813685</v>
      </c>
      <c r="BP118" s="97">
        <f t="shared" si="35"/>
        <v>1.3238013141640744E-2</v>
      </c>
      <c r="BQ118" s="97">
        <f t="shared" si="35"/>
        <v>2.4043290666663445E-2</v>
      </c>
      <c r="BR118" s="97">
        <f t="shared" si="35"/>
        <v>-0.38150355182605472</v>
      </c>
      <c r="BS118" s="97">
        <f t="shared" si="35"/>
        <v>-7.3724820772412603E-2</v>
      </c>
      <c r="BT118" s="97">
        <f t="shared" si="35"/>
        <v>-1.7171430970732256E-2</v>
      </c>
      <c r="BU118" s="97">
        <f t="shared" si="35"/>
        <v>-8.3153161129114528E-2</v>
      </c>
      <c r="BV118" s="97">
        <f t="shared" si="35"/>
        <v>-7.7789861422819073E-2</v>
      </c>
      <c r="BW118" s="97">
        <f t="shared" si="35"/>
        <v>4.7353659400144243E-2</v>
      </c>
      <c r="BX118" s="97">
        <f t="shared" si="35"/>
        <v>5.4121073116045082E-2</v>
      </c>
      <c r="BY118" s="97" t="str">
        <f t="shared" si="35"/>
        <v/>
      </c>
      <c r="BZ118" s="97">
        <f t="shared" si="35"/>
        <v>-0.20548306060103114</v>
      </c>
      <c r="CA118" s="97">
        <f t="shared" si="35"/>
        <v>-4.8628909666602278E-2</v>
      </c>
      <c r="CB118" s="97">
        <f t="shared" si="35"/>
        <v>-3.3887869966901185E-2</v>
      </c>
      <c r="CC118" s="97">
        <f t="shared" si="35"/>
        <v>0.19070042889184835</v>
      </c>
      <c r="CD118" s="97">
        <f t="shared" si="35"/>
        <v>-0.30020454238344824</v>
      </c>
      <c r="CE118" s="97">
        <f t="shared" si="35"/>
        <v>-0.20746908780435364</v>
      </c>
      <c r="CF118" s="97">
        <f t="shared" si="35"/>
        <v>-1.5989750489933674E-2</v>
      </c>
      <c r="CG118" s="97" t="str">
        <f t="shared" si="35"/>
        <v/>
      </c>
      <c r="CH118" s="97" t="str">
        <f t="shared" si="35"/>
        <v/>
      </c>
      <c r="CI118" s="97">
        <f t="shared" si="35"/>
        <v>-8.5571510667883044E-2</v>
      </c>
      <c r="CJ118" s="97">
        <f t="shared" si="35"/>
        <v>4.2406128744313591E-2</v>
      </c>
      <c r="CK118" s="97">
        <f t="shared" si="35"/>
        <v>-0.19574427513680834</v>
      </c>
      <c r="CL118" s="97">
        <f t="shared" si="35"/>
        <v>-4.9395249118487139E-2</v>
      </c>
      <c r="CM118" s="97">
        <f t="shared" si="35"/>
        <v>-0.11037340654287374</v>
      </c>
      <c r="CN118" s="97">
        <f t="shared" si="35"/>
        <v>-0.18802524325261993</v>
      </c>
      <c r="CO118" s="97">
        <f t="shared" si="35"/>
        <v>-0.32575057730285634</v>
      </c>
      <c r="CP118" s="97">
        <f t="shared" si="35"/>
        <v>-0.16388805921941854</v>
      </c>
      <c r="CQ118" s="97">
        <f t="shared" si="35"/>
        <v>3.7934061773859495E-2</v>
      </c>
      <c r="CR118" s="97">
        <f t="shared" si="35"/>
        <v>3.1862970637922761E-2</v>
      </c>
      <c r="CS118" s="97">
        <f t="shared" si="35"/>
        <v>-0.22354306292514944</v>
      </c>
      <c r="CT118" s="97">
        <f t="shared" si="35"/>
        <v>-1.4142939239311647E-2</v>
      </c>
      <c r="CU118" s="97">
        <f t="shared" si="35"/>
        <v>-6.736422775471762E-2</v>
      </c>
      <c r="CV118" s="97">
        <f t="shared" si="35"/>
        <v>0.10766795656973226</v>
      </c>
      <c r="CW118" s="97">
        <f t="shared" si="35"/>
        <v>4.9469275876928391E-2</v>
      </c>
      <c r="CX118" s="97">
        <f t="shared" si="35"/>
        <v>-0.25110823383172476</v>
      </c>
      <c r="CY118" s="97">
        <f t="shared" si="35"/>
        <v>-0.34747627257264507</v>
      </c>
      <c r="CZ118" s="97">
        <f t="shared" si="35"/>
        <v>-5.4717338296328855E-2</v>
      </c>
      <c r="DA118" s="97">
        <f t="shared" si="35"/>
        <v>0.39301200395624053</v>
      </c>
      <c r="DB118" s="97">
        <f t="shared" si="35"/>
        <v>-7.5897955711309306E-2</v>
      </c>
      <c r="DC118" s="97">
        <f t="shared" si="35"/>
        <v>3.4503765502608363E-2</v>
      </c>
      <c r="DD118" s="97">
        <f t="shared" si="35"/>
        <v>-0.12553416239524065</v>
      </c>
      <c r="DE118" s="97">
        <f t="shared" si="35"/>
        <v>-0.18516100163668434</v>
      </c>
      <c r="DF118" s="97">
        <f t="shared" si="35"/>
        <v>-5.0702079024257829E-2</v>
      </c>
      <c r="DG118" s="97">
        <f t="shared" si="35"/>
        <v>0.12612291975446266</v>
      </c>
      <c r="DH118" s="97">
        <f t="shared" si="35"/>
        <v>-4.7312791687332933E-2</v>
      </c>
      <c r="DI118" s="97">
        <f t="shared" si="35"/>
        <v>-0.23959180731113056</v>
      </c>
      <c r="DJ118" s="97">
        <f t="shared" si="35"/>
        <v>-4.7354172450544629E-2</v>
      </c>
      <c r="DK118" s="97">
        <f t="shared" si="35"/>
        <v>0.28746007820529007</v>
      </c>
      <c r="DL118" s="97">
        <f t="shared" si="35"/>
        <v>-0.28134868946392977</v>
      </c>
      <c r="DM118" s="97">
        <f t="shared" si="35"/>
        <v>7.3092997079571235E-3</v>
      </c>
      <c r="DN118" s="97">
        <f t="shared" si="35"/>
        <v>-0.31917312032583067</v>
      </c>
      <c r="DO118" s="97" t="str">
        <f t="shared" si="35"/>
        <v/>
      </c>
      <c r="DP118" s="97">
        <f t="shared" si="35"/>
        <v>-9.9809510477025243E-2</v>
      </c>
      <c r="DQ118" s="97">
        <f t="shared" si="35"/>
        <v>-0.32058004176761934</v>
      </c>
      <c r="DR118" s="97">
        <f t="shared" si="35"/>
        <v>-0.55256433519495407</v>
      </c>
      <c r="DS118" s="97">
        <f t="shared" si="35"/>
        <v>0.17445531696457836</v>
      </c>
      <c r="DT118" s="97">
        <f t="shared" si="35"/>
        <v>-0.24755698282284663</v>
      </c>
      <c r="DU118" s="97">
        <f t="shared" si="35"/>
        <v>0.11147802960932296</v>
      </c>
      <c r="DV118" s="97">
        <f t="shared" si="35"/>
        <v>0.44690441599086927</v>
      </c>
      <c r="DW118" s="97">
        <f t="shared" si="35"/>
        <v>-2.1393323263889097E-2</v>
      </c>
      <c r="DX118" s="97">
        <f t="shared" si="35"/>
        <v>-5.3218800226210394E-2</v>
      </c>
      <c r="DY118" s="97">
        <f t="shared" si="35"/>
        <v>4.5779819885548356E-2</v>
      </c>
      <c r="DZ118" s="97">
        <f t="shared" si="34"/>
        <v>-0.16225459769579756</v>
      </c>
      <c r="EA118" s="97">
        <f t="shared" si="33"/>
        <v>-0.17210681444456594</v>
      </c>
      <c r="EB118" s="97">
        <f t="shared" si="33"/>
        <v>-6.9249273618556928E-2</v>
      </c>
      <c r="EC118" s="97">
        <f t="shared" si="33"/>
        <v>-1.0908437891602674E-2</v>
      </c>
      <c r="ED118" s="97">
        <f t="shared" si="33"/>
        <v>4.6838846270775836E-2</v>
      </c>
      <c r="EE118" s="97">
        <f t="shared" si="33"/>
        <v>7.2523727427355134E-2</v>
      </c>
      <c r="EF118" s="97">
        <f t="shared" si="33"/>
        <v>-0.13044694428503845</v>
      </c>
      <c r="EG118" s="97">
        <f t="shared" si="33"/>
        <v>-0.64801821924509229</v>
      </c>
      <c r="EH118" s="97">
        <f t="shared" si="33"/>
        <v>-0.33642240840402676</v>
      </c>
      <c r="EI118" s="97">
        <f t="shared" si="33"/>
        <v>7.2599569299396337E-3</v>
      </c>
      <c r="EJ118" s="97">
        <f t="shared" si="33"/>
        <v>-4.3412233163777847E-2</v>
      </c>
      <c r="EK118" s="97">
        <f t="shared" si="33"/>
        <v>-4.6724392873396699E-2</v>
      </c>
      <c r="EL118" s="97">
        <f t="shared" si="33"/>
        <v>0.12844538641353026</v>
      </c>
      <c r="EM118" s="97">
        <f t="shared" si="33"/>
        <v>-6.6526355099188805E-2</v>
      </c>
      <c r="EN118" s="97">
        <f t="shared" si="33"/>
        <v>1.4543037819718444E-2</v>
      </c>
      <c r="EO118" s="97">
        <f t="shared" si="33"/>
        <v>0.17411738800406656</v>
      </c>
    </row>
    <row r="119" spans="1:145" outlineLevel="1" x14ac:dyDescent="0.25">
      <c r="A119">
        <v>2024</v>
      </c>
      <c r="B119">
        <v>9</v>
      </c>
      <c r="C119" s="97">
        <f t="shared" si="36"/>
        <v>1.6788305930405697E-2</v>
      </c>
      <c r="D119" s="97">
        <f t="shared" si="36"/>
        <v>0</v>
      </c>
      <c r="E119" s="97">
        <f t="shared" si="36"/>
        <v>-2.964461554657272E-2</v>
      </c>
      <c r="F119" s="97">
        <f t="shared" si="36"/>
        <v>1.412773712019777E-2</v>
      </c>
      <c r="G119" s="97">
        <f t="shared" si="36"/>
        <v>-0.16327600484324956</v>
      </c>
      <c r="H119" s="97">
        <f t="shared" si="36"/>
        <v>-0.26978105270811714</v>
      </c>
      <c r="I119" s="97">
        <f t="shared" si="36"/>
        <v>0.45523857272644602</v>
      </c>
      <c r="J119" s="97">
        <f t="shared" si="36"/>
        <v>-8.5294628511914938E-3</v>
      </c>
      <c r="K119" s="97">
        <f t="shared" si="36"/>
        <v>-4.3481856709918665E-2</v>
      </c>
      <c r="L119" s="97">
        <f t="shared" si="36"/>
        <v>9.874466003199087E-4</v>
      </c>
      <c r="M119" s="97">
        <f t="shared" si="36"/>
        <v>-6.8377749478111483E-2</v>
      </c>
      <c r="N119" s="97">
        <f t="shared" si="36"/>
        <v>-0.11116858384464505</v>
      </c>
      <c r="O119" s="97">
        <f t="shared" si="36"/>
        <v>-5.7318231865756575E-2</v>
      </c>
      <c r="P119" s="97">
        <f t="shared" si="36"/>
        <v>9.5116861611357573E-2</v>
      </c>
      <c r="Q119" s="97">
        <f t="shared" si="36"/>
        <v>-0.14252857904070554</v>
      </c>
      <c r="R119" s="97">
        <f t="shared" si="36"/>
        <v>-6.2707125265123453E-2</v>
      </c>
      <c r="S119" s="97">
        <f t="shared" si="36"/>
        <v>8.3045364380076592E-2</v>
      </c>
      <c r="T119" s="97">
        <f t="shared" si="36"/>
        <v>-4.2208867330133506E-3</v>
      </c>
      <c r="U119" s="97">
        <f t="shared" si="36"/>
        <v>-0.85988431715372537</v>
      </c>
      <c r="V119" s="97">
        <f t="shared" si="36"/>
        <v>-0.13968561975872196</v>
      </c>
      <c r="W119" s="97">
        <f t="shared" si="36"/>
        <v>-0.13409101660314326</v>
      </c>
      <c r="X119" s="97">
        <f t="shared" si="36"/>
        <v>7.1453072800409289E-3</v>
      </c>
      <c r="Y119" s="97">
        <f t="shared" si="36"/>
        <v>-6.4220886733013294E-2</v>
      </c>
      <c r="Z119" s="97">
        <f t="shared" si="36"/>
        <v>0.21596259950551874</v>
      </c>
      <c r="AA119" s="97" t="str">
        <f t="shared" si="36"/>
        <v/>
      </c>
      <c r="AB119" s="97">
        <f t="shared" si="36"/>
        <v>3.16165514386062E-2</v>
      </c>
      <c r="AC119" s="97">
        <f t="shared" si="36"/>
        <v>-0.11568585488587955</v>
      </c>
      <c r="AD119" s="97">
        <f t="shared" si="36"/>
        <v>5.8129233171063451E-2</v>
      </c>
      <c r="AE119" s="97">
        <f t="shared" si="36"/>
        <v>-0.14866533117745784</v>
      </c>
      <c r="AF119" s="97">
        <f t="shared" si="36"/>
        <v>-0.34551973407628017</v>
      </c>
      <c r="AG119" s="97">
        <f t="shared" si="36"/>
        <v>-0.36543761677103614</v>
      </c>
      <c r="AH119" s="97">
        <f t="shared" si="36"/>
        <v>0.25320485584124403</v>
      </c>
      <c r="AI119" s="97">
        <f t="shared" si="36"/>
        <v>-0.17406821497728814</v>
      </c>
      <c r="AJ119" s="97">
        <f t="shared" si="36"/>
        <v>-0.20747291925333855</v>
      </c>
      <c r="AK119" s="97">
        <f t="shared" si="36"/>
        <v>-2.6443108955235602E-2</v>
      </c>
      <c r="AL119" s="97">
        <f t="shared" si="36"/>
        <v>4.5930047447484499E-4</v>
      </c>
      <c r="AM119" s="97">
        <f t="shared" si="36"/>
        <v>0.30682727190721337</v>
      </c>
      <c r="AN119" s="97">
        <f t="shared" si="36"/>
        <v>0.16616049018625365</v>
      </c>
      <c r="AO119" s="97">
        <f t="shared" si="36"/>
        <v>-5.6072738584865278E-2</v>
      </c>
      <c r="AP119" s="97">
        <f t="shared" si="36"/>
        <v>0.29065090813878153</v>
      </c>
      <c r="AQ119" s="97">
        <f t="shared" si="36"/>
        <v>-2.2178813875137423E-2</v>
      </c>
      <c r="AR119" s="97">
        <f t="shared" si="36"/>
        <v>-0.12597527269792563</v>
      </c>
      <c r="AS119" s="97">
        <f t="shared" si="36"/>
        <v>0.78829388674039436</v>
      </c>
      <c r="AT119" s="97">
        <f t="shared" si="36"/>
        <v>-9.9192953772119452E-2</v>
      </c>
      <c r="AU119" s="97">
        <f t="shared" si="36"/>
        <v>0.13031726587742834</v>
      </c>
      <c r="AV119" s="97">
        <f t="shared" si="36"/>
        <v>-9.8815481327607868E-2</v>
      </c>
      <c r="AW119" s="97">
        <f t="shared" si="36"/>
        <v>-5.4641054800240278E-2</v>
      </c>
      <c r="AX119" s="97">
        <f t="shared" si="36"/>
        <v>0.16305516445528645</v>
      </c>
      <c r="AY119" s="97">
        <f t="shared" si="36"/>
        <v>-7.0046665211531245E-2</v>
      </c>
      <c r="AZ119" s="97">
        <f t="shared" si="36"/>
        <v>1.5288238502983997E-2</v>
      </c>
      <c r="BA119" s="97">
        <f t="shared" si="36"/>
        <v>-0.10258154247071838</v>
      </c>
      <c r="BB119" s="97">
        <f t="shared" si="36"/>
        <v>0.30012693935394313</v>
      </c>
      <c r="BC119" s="97">
        <f t="shared" si="36"/>
        <v>0.10533622282409615</v>
      </c>
      <c r="BD119" s="97">
        <f t="shared" si="36"/>
        <v>0.41924577993365336</v>
      </c>
      <c r="BE119" s="97">
        <f t="shared" si="36"/>
        <v>-6.5118905275096561E-2</v>
      </c>
      <c r="BF119" s="97">
        <f t="shared" si="36"/>
        <v>-0.11148345656541545</v>
      </c>
      <c r="BG119" s="97">
        <f t="shared" si="36"/>
        <v>-0.58667702708389058</v>
      </c>
      <c r="BH119" s="97">
        <f t="shared" si="36"/>
        <v>-0.36707802959015617</v>
      </c>
      <c r="BI119" s="97" t="str">
        <f t="shared" si="36"/>
        <v/>
      </c>
      <c r="BJ119" s="97">
        <f t="shared" si="36"/>
        <v>-0.20469821370198704</v>
      </c>
      <c r="BK119" s="97">
        <f t="shared" si="36"/>
        <v>0.26397337757020045</v>
      </c>
      <c r="BL119" s="97">
        <f t="shared" si="36"/>
        <v>0.10750785145486885</v>
      </c>
      <c r="BM119" s="97">
        <f t="shared" si="36"/>
        <v>0.10700007223881065</v>
      </c>
      <c r="BN119" s="97" t="str">
        <f t="shared" si="36"/>
        <v/>
      </c>
      <c r="BO119" s="97">
        <f t="shared" si="35"/>
        <v>0.18293150481314924</v>
      </c>
      <c r="BP119" s="97">
        <f t="shared" si="35"/>
        <v>7.4750196997352995E-3</v>
      </c>
      <c r="BQ119" s="97">
        <f t="shared" si="35"/>
        <v>-7.8328578372445223E-3</v>
      </c>
      <c r="BR119" s="97">
        <f t="shared" si="35"/>
        <v>5.2230726170212412E-2</v>
      </c>
      <c r="BS119" s="97">
        <f t="shared" si="35"/>
        <v>-5.7219784360701392E-3</v>
      </c>
      <c r="BT119" s="97">
        <f t="shared" si="35"/>
        <v>-8.0492073173691225E-2</v>
      </c>
      <c r="BU119" s="97">
        <f t="shared" si="35"/>
        <v>0.12646093144880474</v>
      </c>
      <c r="BV119" s="97">
        <f t="shared" si="35"/>
        <v>0.17998963958277606</v>
      </c>
      <c r="BW119" s="97">
        <f t="shared" si="35"/>
        <v>-4.3624232137393519E-2</v>
      </c>
      <c r="BX119" s="97">
        <f t="shared" si="35"/>
        <v>-2.7131610995665193E-2</v>
      </c>
      <c r="BY119" s="97" t="str">
        <f t="shared" si="35"/>
        <v/>
      </c>
      <c r="BZ119" s="97">
        <f t="shared" si="35"/>
        <v>-1.5031697543824159E-2</v>
      </c>
      <c r="CA119" s="97">
        <f t="shared" si="35"/>
        <v>-0.22416973583787286</v>
      </c>
      <c r="CB119" s="97">
        <f t="shared" si="35"/>
        <v>-5.8190640986321429E-2</v>
      </c>
      <c r="CC119" s="97">
        <f t="shared" si="35"/>
        <v>-8.1385937675849673E-2</v>
      </c>
      <c r="CD119" s="97">
        <f t="shared" si="35"/>
        <v>0.21921235577379886</v>
      </c>
      <c r="CE119" s="97">
        <f t="shared" si="35"/>
        <v>4.7303824097691301E-2</v>
      </c>
      <c r="CF119" s="97">
        <f t="shared" si="35"/>
        <v>-0.20533994175321846</v>
      </c>
      <c r="CG119" s="97" t="str">
        <f t="shared" si="35"/>
        <v/>
      </c>
      <c r="CH119" s="97" t="str">
        <f t="shared" si="35"/>
        <v/>
      </c>
      <c r="CI119" s="97">
        <f t="shared" si="35"/>
        <v>-0.33064575719933453</v>
      </c>
      <c r="CJ119" s="97">
        <f t="shared" si="35"/>
        <v>-3.9245340782640192E-2</v>
      </c>
      <c r="CK119" s="97">
        <f t="shared" si="35"/>
        <v>0.41164104053224237</v>
      </c>
      <c r="CL119" s="97">
        <f t="shared" si="35"/>
        <v>1.1404113266986649E-2</v>
      </c>
      <c r="CM119" s="97">
        <f t="shared" si="35"/>
        <v>0.14447476544089974</v>
      </c>
      <c r="CN119" s="97">
        <f t="shared" si="35"/>
        <v>-0.10047757122499201</v>
      </c>
      <c r="CO119" s="97">
        <f t="shared" si="35"/>
        <v>0.47862225052188845</v>
      </c>
      <c r="CP119" s="97">
        <f t="shared" si="35"/>
        <v>-0.29304076250941097</v>
      </c>
      <c r="CQ119" s="97">
        <f t="shared" si="35"/>
        <v>-1.7826328909884219E-2</v>
      </c>
      <c r="CR119" s="97">
        <f t="shared" si="35"/>
        <v>-0.14829285080664756</v>
      </c>
      <c r="CS119" s="97">
        <f t="shared" si="35"/>
        <v>-6.1228012623749661E-2</v>
      </c>
      <c r="CT119" s="97">
        <f t="shared" si="35"/>
        <v>-0.35999011750224408</v>
      </c>
      <c r="CU119" s="97">
        <f t="shared" si="35"/>
        <v>1.6699615359036857E-2</v>
      </c>
      <c r="CV119" s="97">
        <f t="shared" si="35"/>
        <v>7.4708905052635277E-2</v>
      </c>
      <c r="CW119" s="97">
        <f t="shared" si="35"/>
        <v>-3.8250897451127079E-2</v>
      </c>
      <c r="CX119" s="97">
        <f t="shared" si="35"/>
        <v>-3.6997236347409264E-2</v>
      </c>
      <c r="CY119" s="97">
        <f t="shared" si="35"/>
        <v>-1.1467263544607365E-2</v>
      </c>
      <c r="CZ119" s="97">
        <f t="shared" si="35"/>
        <v>-6.6338698634852422E-3</v>
      </c>
      <c r="DA119" s="97">
        <f t="shared" si="35"/>
        <v>9.0210106003064006E-2</v>
      </c>
      <c r="DB119" s="97">
        <f t="shared" si="35"/>
        <v>-0.16072953985566185</v>
      </c>
      <c r="DC119" s="97">
        <f t="shared" si="35"/>
        <v>-0.10284551992762969</v>
      </c>
      <c r="DD119" s="97">
        <f t="shared" si="35"/>
        <v>-0.10459263394490925</v>
      </c>
      <c r="DE119" s="97">
        <f t="shared" si="35"/>
        <v>6.881788693695956E-2</v>
      </c>
      <c r="DF119" s="97">
        <f t="shared" si="35"/>
        <v>2.9595538387759746E-2</v>
      </c>
      <c r="DG119" s="97">
        <f t="shared" si="35"/>
        <v>-0.32922088673301336</v>
      </c>
      <c r="DH119" s="97">
        <f t="shared" si="35"/>
        <v>-6.2611691330714522E-2</v>
      </c>
      <c r="DI119" s="97">
        <f t="shared" si="35"/>
        <v>0.15292197040984395</v>
      </c>
      <c r="DJ119" s="97">
        <f t="shared" si="35"/>
        <v>0.28149339898127224</v>
      </c>
      <c r="DK119" s="97">
        <f t="shared" si="35"/>
        <v>2.085748317294267E-2</v>
      </c>
      <c r="DL119" s="97">
        <f t="shared" si="35"/>
        <v>-0.20022088673301336</v>
      </c>
      <c r="DM119" s="97">
        <f t="shared" si="35"/>
        <v>-0.10834662347171675</v>
      </c>
      <c r="DN119" s="97">
        <f t="shared" si="35"/>
        <v>1.6327058472466179E-2</v>
      </c>
      <c r="DO119" s="97" t="str">
        <f t="shared" si="35"/>
        <v/>
      </c>
      <c r="DP119" s="97">
        <f t="shared" si="35"/>
        <v>-0.25671258108517286</v>
      </c>
      <c r="DQ119" s="97">
        <f t="shared" si="35"/>
        <v>-0.18517326768539424</v>
      </c>
      <c r="DR119" s="97">
        <f t="shared" si="35"/>
        <v>-7.3917856429983053E-2</v>
      </c>
      <c r="DS119" s="97">
        <f t="shared" si="35"/>
        <v>-0.11741770129501546</v>
      </c>
      <c r="DT119" s="97">
        <f t="shared" si="35"/>
        <v>-7.1385065837490935E-2</v>
      </c>
      <c r="DU119" s="97">
        <f t="shared" si="35"/>
        <v>0.20898457250711955</v>
      </c>
      <c r="DV119" s="97">
        <f t="shared" si="35"/>
        <v>0.22096995296164315</v>
      </c>
      <c r="DW119" s="97">
        <f t="shared" si="35"/>
        <v>9.0267302243364655E-2</v>
      </c>
      <c r="DX119" s="97">
        <f t="shared" si="35"/>
        <v>0.16893928642715975</v>
      </c>
      <c r="DY119" s="97">
        <f t="shared" si="35"/>
        <v>-0.18056704057916714</v>
      </c>
      <c r="DZ119" s="97">
        <f t="shared" si="34"/>
        <v>2.501887934885794E-2</v>
      </c>
      <c r="EA119" s="97">
        <f t="shared" si="33"/>
        <v>-4.5641005076208489E-2</v>
      </c>
      <c r="EB119" s="97">
        <f t="shared" si="33"/>
        <v>-0.36940307296783115</v>
      </c>
      <c r="EC119" s="97">
        <f t="shared" si="33"/>
        <v>5.2741138583442211E-2</v>
      </c>
      <c r="ED119" s="97">
        <f t="shared" si="33"/>
        <v>-0.14451452457966915</v>
      </c>
      <c r="EE119" s="97">
        <f t="shared" si="33"/>
        <v>-0.12358428195847755</v>
      </c>
      <c r="EF119" s="97">
        <f t="shared" si="33"/>
        <v>-6.4582568062436563E-2</v>
      </c>
      <c r="EG119" s="97">
        <f t="shared" si="33"/>
        <v>-0.38719961013726867</v>
      </c>
      <c r="EH119" s="97">
        <f t="shared" si="33"/>
        <v>-0.15240538133556486</v>
      </c>
      <c r="EI119" s="97">
        <f t="shared" si="33"/>
        <v>-4.3127443333595195E-2</v>
      </c>
      <c r="EJ119" s="97">
        <f t="shared" si="33"/>
        <v>-2.6642411396690432E-2</v>
      </c>
      <c r="EK119" s="97">
        <f t="shared" si="33"/>
        <v>2.8746146234019498E-2</v>
      </c>
      <c r="EL119" s="97">
        <f t="shared" si="33"/>
        <v>1.001398871182646E-2</v>
      </c>
      <c r="EM119" s="97">
        <f t="shared" si="33"/>
        <v>-0.14025029849771936</v>
      </c>
      <c r="EN119" s="97">
        <f t="shared" si="33"/>
        <v>6.0578048079017233E-2</v>
      </c>
      <c r="EO119" s="97">
        <f t="shared" si="33"/>
        <v>-9.7031344249353224E-2</v>
      </c>
    </row>
    <row r="120" spans="1:145" outlineLevel="1" x14ac:dyDescent="0.25">
      <c r="A120">
        <v>2024</v>
      </c>
      <c r="B120">
        <v>10</v>
      </c>
      <c r="C120" s="97">
        <f t="shared" si="36"/>
        <v>-1.2873793584445514E-2</v>
      </c>
      <c r="D120" s="97">
        <f t="shared" si="36"/>
        <v>0</v>
      </c>
      <c r="E120" s="97">
        <f t="shared" si="36"/>
        <v>0.5699627771750575</v>
      </c>
      <c r="F120" s="97">
        <f t="shared" si="36"/>
        <v>-2.9492653022025199E-3</v>
      </c>
      <c r="G120" s="97">
        <f t="shared" si="36"/>
        <v>5.5974827329755339E-2</v>
      </c>
      <c r="H120" s="97">
        <f t="shared" si="36"/>
        <v>0.39717967719962122</v>
      </c>
      <c r="I120" s="97">
        <f t="shared" si="36"/>
        <v>0.66271640036346313</v>
      </c>
      <c r="J120" s="97">
        <f t="shared" si="36"/>
        <v>3.7261355374109462E-2</v>
      </c>
      <c r="K120" s="97">
        <f t="shared" si="36"/>
        <v>1.4078579850642651E-2</v>
      </c>
      <c r="L120" s="97">
        <f t="shared" si="36"/>
        <v>-2.985700205449893E-2</v>
      </c>
      <c r="M120" s="97">
        <f t="shared" si="36"/>
        <v>-4.4429649474507671E-2</v>
      </c>
      <c r="N120" s="97">
        <f t="shared" si="36"/>
        <v>-0.66391530126823861</v>
      </c>
      <c r="O120" s="97">
        <f t="shared" si="36"/>
        <v>5.3955280893198676E-3</v>
      </c>
      <c r="P120" s="97">
        <f t="shared" si="36"/>
        <v>9.8459372251013186E-2</v>
      </c>
      <c r="Q120" s="97">
        <f t="shared" si="36"/>
        <v>2.6133647283655751E-2</v>
      </c>
      <c r="R120" s="97">
        <f t="shared" si="36"/>
        <v>6.913134149216793E-2</v>
      </c>
      <c r="S120" s="97">
        <f t="shared" si="36"/>
        <v>-6.7013329366266805E-2</v>
      </c>
      <c r="T120" s="97">
        <f t="shared" si="36"/>
        <v>-0.1310689103710001</v>
      </c>
      <c r="U120" s="97">
        <f t="shared" si="36"/>
        <v>-4.408479545118571E-2</v>
      </c>
      <c r="V120" s="97">
        <f t="shared" si="36"/>
        <v>0.1756151168458624</v>
      </c>
      <c r="W120" s="97">
        <f t="shared" si="36"/>
        <v>-3.6786087198725996E-2</v>
      </c>
      <c r="X120" s="97">
        <f t="shared" si="36"/>
        <v>-1.3297100619438229E-2</v>
      </c>
      <c r="Y120" s="97">
        <f t="shared" si="36"/>
        <v>-0.186928989707459</v>
      </c>
      <c r="Z120" s="97">
        <f t="shared" si="36"/>
        <v>-7.9138236228015746E-2</v>
      </c>
      <c r="AA120" s="97" t="str">
        <f t="shared" si="36"/>
        <v/>
      </c>
      <c r="AB120" s="97">
        <f t="shared" si="36"/>
        <v>8.5923944178400102E-2</v>
      </c>
      <c r="AC120" s="97">
        <f t="shared" si="36"/>
        <v>-8.997177167954773E-2</v>
      </c>
      <c r="AD120" s="97">
        <f t="shared" si="36"/>
        <v>-0.1687358193506075</v>
      </c>
      <c r="AE120" s="97">
        <f t="shared" si="36"/>
        <v>3.8419414890040748E-3</v>
      </c>
      <c r="AF120" s="97">
        <f t="shared" si="36"/>
        <v>3.5187904616278409E-3</v>
      </c>
      <c r="AG120" s="97">
        <f t="shared" si="36"/>
        <v>-0.20236296471590201</v>
      </c>
      <c r="AH120" s="97">
        <f t="shared" si="36"/>
        <v>-0.20080066000399102</v>
      </c>
      <c r="AI120" s="97">
        <f t="shared" si="36"/>
        <v>-0.1487778525101002</v>
      </c>
      <c r="AJ120" s="97">
        <f t="shared" si="36"/>
        <v>0.10829463165598009</v>
      </c>
      <c r="AK120" s="97">
        <f t="shared" si="36"/>
        <v>1.7315518786145123E-3</v>
      </c>
      <c r="AL120" s="97">
        <f t="shared" si="36"/>
        <v>-0.12040989363239621</v>
      </c>
      <c r="AM120" s="97">
        <f t="shared" si="36"/>
        <v>5.4174193506649308E-2</v>
      </c>
      <c r="AN120" s="97">
        <f t="shared" si="36"/>
        <v>8.9998104411988855E-2</v>
      </c>
      <c r="AO120" s="97">
        <f t="shared" si="36"/>
        <v>-0.1289502663032035</v>
      </c>
      <c r="AP120" s="97">
        <f t="shared" si="36"/>
        <v>0.2404804267661034</v>
      </c>
      <c r="AQ120" s="97">
        <f t="shared" si="36"/>
        <v>-0.12829718375356919</v>
      </c>
      <c r="AR120" s="97">
        <f t="shared" si="36"/>
        <v>-0.2594436742137109</v>
      </c>
      <c r="AS120" s="97">
        <f t="shared" si="36"/>
        <v>0.23854057618763888</v>
      </c>
      <c r="AT120" s="97">
        <f t="shared" si="36"/>
        <v>0.30160528925235197</v>
      </c>
      <c r="AU120" s="97">
        <f t="shared" si="36"/>
        <v>1.374884874104421E-2</v>
      </c>
      <c r="AV120" s="97">
        <f t="shared" si="36"/>
        <v>-1.887563943753201E-2</v>
      </c>
      <c r="AW120" s="97">
        <f t="shared" si="36"/>
        <v>-0.1435009810751573</v>
      </c>
      <c r="AX120" s="97">
        <f t="shared" si="36"/>
        <v>8.6496092349889642E-2</v>
      </c>
      <c r="AY120" s="97">
        <f t="shared" si="36"/>
        <v>4.9214290658821769E-2</v>
      </c>
      <c r="AZ120" s="97">
        <f t="shared" si="36"/>
        <v>3.4571411042039202E-3</v>
      </c>
      <c r="BA120" s="97">
        <f t="shared" si="36"/>
        <v>0.232413370060433</v>
      </c>
      <c r="BB120" s="97">
        <f t="shared" si="36"/>
        <v>0.40771640036346318</v>
      </c>
      <c r="BC120" s="97">
        <f t="shared" si="36"/>
        <v>0.2250413303354519</v>
      </c>
      <c r="BD120" s="97">
        <f t="shared" si="36"/>
        <v>0.2538241810553577</v>
      </c>
      <c r="BE120" s="97">
        <f t="shared" si="36"/>
        <v>-5.4666487751132482E-2</v>
      </c>
      <c r="BF120" s="97">
        <f t="shared" si="36"/>
        <v>0.46788953344648337</v>
      </c>
      <c r="BG120" s="97">
        <f t="shared" si="36"/>
        <v>-0.11879620467855372</v>
      </c>
      <c r="BH120" s="97">
        <f t="shared" si="36"/>
        <v>0.20681206553536138</v>
      </c>
      <c r="BI120" s="97" t="str">
        <f t="shared" si="36"/>
        <v/>
      </c>
      <c r="BJ120" s="97">
        <f t="shared" si="36"/>
        <v>-2.029354988529319E-2</v>
      </c>
      <c r="BK120" s="97">
        <f t="shared" si="36"/>
        <v>-3.8041175394112781E-2</v>
      </c>
      <c r="BL120" s="97">
        <f t="shared" si="36"/>
        <v>-0.20070026630320362</v>
      </c>
      <c r="BM120" s="97">
        <f t="shared" si="36"/>
        <v>-1.7260670149472639E-3</v>
      </c>
      <c r="BN120" s="97" t="str">
        <f t="shared" si="36"/>
        <v/>
      </c>
      <c r="BO120" s="97">
        <f t="shared" si="35"/>
        <v>-9.0621617907794771E-2</v>
      </c>
      <c r="BP120" s="97">
        <f t="shared" si="35"/>
        <v>-1.5510959944822099E-2</v>
      </c>
      <c r="BQ120" s="97">
        <f t="shared" si="35"/>
        <v>8.9963934585779413E-3</v>
      </c>
      <c r="BR120" s="97">
        <f t="shared" si="35"/>
        <v>-8.79197319520586E-2</v>
      </c>
      <c r="BS120" s="97">
        <f t="shared" si="35"/>
        <v>0.1543113163126226</v>
      </c>
      <c r="BT120" s="97">
        <f t="shared" si="35"/>
        <v>0.17953597222890649</v>
      </c>
      <c r="BU120" s="97">
        <f t="shared" si="35"/>
        <v>0.136753251284736</v>
      </c>
      <c r="BV120" s="97">
        <f t="shared" si="35"/>
        <v>-0.22617248852542582</v>
      </c>
      <c r="BW120" s="97">
        <f t="shared" si="35"/>
        <v>-1.6336946134457471E-2</v>
      </c>
      <c r="BX120" s="97">
        <f t="shared" si="35"/>
        <v>-1.752571563101446E-2</v>
      </c>
      <c r="BY120" s="97" t="str">
        <f t="shared" si="35"/>
        <v/>
      </c>
      <c r="BZ120" s="97">
        <f t="shared" si="35"/>
        <v>-1.4879228051837499E-2</v>
      </c>
      <c r="CA120" s="97">
        <f t="shared" si="35"/>
        <v>-0.2990322335163183</v>
      </c>
      <c r="CB120" s="97">
        <f t="shared" si="35"/>
        <v>5.2099289096936278E-2</v>
      </c>
      <c r="CC120" s="97">
        <f t="shared" si="35"/>
        <v>-6.7385645249586013E-2</v>
      </c>
      <c r="CD120" s="97">
        <f t="shared" si="35"/>
        <v>0.22990274037831068</v>
      </c>
      <c r="CE120" s="97">
        <f t="shared" si="35"/>
        <v>8.1049733696796356E-2</v>
      </c>
      <c r="CF120" s="97">
        <f t="shared" si="35"/>
        <v>6.5699539144267183E-2</v>
      </c>
      <c r="CG120" s="97" t="str">
        <f t="shared" si="35"/>
        <v/>
      </c>
      <c r="CH120" s="97" t="str">
        <f t="shared" si="35"/>
        <v/>
      </c>
      <c r="CI120" s="97">
        <f t="shared" si="35"/>
        <v>0.68066511831218102</v>
      </c>
      <c r="CJ120" s="97">
        <f t="shared" si="35"/>
        <v>-0.10292899115518717</v>
      </c>
      <c r="CK120" s="97">
        <f t="shared" si="35"/>
        <v>3.5086158018375224E-2</v>
      </c>
      <c r="CL120" s="97">
        <f t="shared" si="35"/>
        <v>-8.8565650918588257E-2</v>
      </c>
      <c r="CM120" s="97">
        <f t="shared" si="35"/>
        <v>-0.1371826660004028</v>
      </c>
      <c r="CN120" s="97">
        <f t="shared" si="35"/>
        <v>-0.193299378729239</v>
      </c>
      <c r="CO120" s="97">
        <f t="shared" si="35"/>
        <v>1.9190229564565172E-2</v>
      </c>
      <c r="CP120" s="97">
        <f t="shared" si="35"/>
        <v>-3.8884764119797577E-2</v>
      </c>
      <c r="CQ120" s="97">
        <f t="shared" si="35"/>
        <v>0.2063945612830034</v>
      </c>
      <c r="CR120" s="97">
        <f t="shared" si="35"/>
        <v>-2.224866681920112E-2</v>
      </c>
      <c r="CS120" s="97">
        <f t="shared" si="35"/>
        <v>1.3681975510398292E-2</v>
      </c>
      <c r="CT120" s="97">
        <f t="shared" si="35"/>
        <v>2.5900479965452972E-2</v>
      </c>
      <c r="CU120" s="97">
        <f t="shared" si="35"/>
        <v>-2.8540430237629869E-2</v>
      </c>
      <c r="CV120" s="97">
        <f t="shared" si="35"/>
        <v>2.2695825154795072E-2</v>
      </c>
      <c r="CW120" s="97">
        <f t="shared" si="35"/>
        <v>1.893461580497946E-2</v>
      </c>
      <c r="CX120" s="97">
        <f t="shared" si="35"/>
        <v>9.9039766919387887E-2</v>
      </c>
      <c r="CY120" s="97">
        <f t="shared" si="35"/>
        <v>-0.16088457287254682</v>
      </c>
      <c r="CZ120" s="97">
        <f t="shared" si="35"/>
        <v>-2.6065698943712801E-2</v>
      </c>
      <c r="DA120" s="97">
        <f t="shared" si="35"/>
        <v>-5.538831940054878E-2</v>
      </c>
      <c r="DB120" s="97">
        <f t="shared" si="35"/>
        <v>0.25117908249251442</v>
      </c>
      <c r="DC120" s="97">
        <f t="shared" si="35"/>
        <v>-2.682445631339414E-2</v>
      </c>
      <c r="DD120" s="97">
        <f t="shared" si="35"/>
        <v>-5.7669274567666351E-2</v>
      </c>
      <c r="DE120" s="97">
        <f t="shared" si="35"/>
        <v>3.2464299523127009E-2</v>
      </c>
      <c r="DF120" s="97">
        <f t="shared" si="35"/>
        <v>2.4087116874366602E-2</v>
      </c>
      <c r="DG120" s="97">
        <f t="shared" si="35"/>
        <v>5.623491888198151E-2</v>
      </c>
      <c r="DH120" s="97">
        <f t="shared" si="35"/>
        <v>0.19380363994679639</v>
      </c>
      <c r="DI120" s="97">
        <f t="shared" si="35"/>
        <v>7.012380777087035E-2</v>
      </c>
      <c r="DJ120" s="97">
        <f t="shared" si="35"/>
        <v>-0.22617248852542571</v>
      </c>
      <c r="DK120" s="97">
        <f t="shared" si="35"/>
        <v>-0.12712389865114793</v>
      </c>
      <c r="DL120" s="97">
        <f t="shared" si="35"/>
        <v>3.4661025066037299E-2</v>
      </c>
      <c r="DM120" s="97">
        <f t="shared" si="35"/>
        <v>-9.3862547004957886E-2</v>
      </c>
      <c r="DN120" s="97">
        <f t="shared" si="35"/>
        <v>-9.119858845085449E-2</v>
      </c>
      <c r="DO120" s="97" t="str">
        <f t="shared" si="35"/>
        <v/>
      </c>
      <c r="DP120" s="97">
        <f t="shared" si="35"/>
        <v>6.5679363326425877E-2</v>
      </c>
      <c r="DQ120" s="97">
        <f t="shared" si="35"/>
        <v>8.1321051526253685E-2</v>
      </c>
      <c r="DR120" s="97">
        <f t="shared" si="35"/>
        <v>-0.13098609692209612</v>
      </c>
      <c r="DS120" s="97">
        <f t="shared" si="35"/>
        <v>8.8737353966199972E-2</v>
      </c>
      <c r="DT120" s="97">
        <f t="shared" si="35"/>
        <v>-0.38715026630320359</v>
      </c>
      <c r="DU120" s="97">
        <f t="shared" si="35"/>
        <v>0.34874052117019261</v>
      </c>
      <c r="DV120" s="97">
        <f t="shared" si="35"/>
        <v>-0.3715515124091226</v>
      </c>
      <c r="DW120" s="97">
        <f t="shared" si="35"/>
        <v>-0.18140829987634502</v>
      </c>
      <c r="DX120" s="97">
        <f t="shared" si="35"/>
        <v>1.3761910818567591E-2</v>
      </c>
      <c r="DY120" s="97">
        <f t="shared" si="35"/>
        <v>9.1777027649633247E-2</v>
      </c>
      <c r="DZ120" s="97">
        <f t="shared" si="34"/>
        <v>-7.2132084485021841E-2</v>
      </c>
      <c r="EA120" s="97">
        <f t="shared" si="33"/>
        <v>-0.1274070564266605</v>
      </c>
      <c r="EB120" s="97">
        <f t="shared" si="33"/>
        <v>-0.1468074091603464</v>
      </c>
      <c r="EC120" s="97">
        <f t="shared" si="33"/>
        <v>-0.12221373935709581</v>
      </c>
      <c r="ED120" s="97">
        <f t="shared" si="33"/>
        <v>-0.2468345167775868</v>
      </c>
      <c r="EE120" s="97">
        <f t="shared" si="33"/>
        <v>-7.02153265441674E-2</v>
      </c>
      <c r="EF120" s="97">
        <f t="shared" si="33"/>
        <v>-2.176561090658469E-2</v>
      </c>
      <c r="EG120" s="97">
        <f t="shared" si="33"/>
        <v>-3.8433024923893326E-2</v>
      </c>
      <c r="EH120" s="97">
        <f t="shared" si="33"/>
        <v>5.1637291300483001E-2</v>
      </c>
      <c r="EI120" s="97">
        <f t="shared" si="33"/>
        <v>-4.8126994206353357E-3</v>
      </c>
      <c r="EJ120" s="97">
        <f t="shared" si="33"/>
        <v>-1.312457822980917E-2</v>
      </c>
      <c r="EK120" s="97">
        <f t="shared" si="33"/>
        <v>0.44285824433509441</v>
      </c>
      <c r="EL120" s="97">
        <f t="shared" si="33"/>
        <v>0.12587429510030509</v>
      </c>
      <c r="EM120" s="97">
        <f t="shared" si="33"/>
        <v>8.1156116675519918E-2</v>
      </c>
      <c r="EN120" s="97">
        <f t="shared" si="33"/>
        <v>-8.6701682715576545E-2</v>
      </c>
      <c r="EO120" s="97">
        <f t="shared" si="33"/>
        <v>0.1704013187112057</v>
      </c>
    </row>
    <row r="121" spans="1:145" outlineLevel="1" x14ac:dyDescent="0.25">
      <c r="A121">
        <v>2024</v>
      </c>
      <c r="B121">
        <v>11</v>
      </c>
      <c r="C121" s="97">
        <f t="shared" si="36"/>
        <v>5.5932881365720277E-2</v>
      </c>
      <c r="D121" s="97">
        <f t="shared" si="36"/>
        <v>0</v>
      </c>
      <c r="E121" s="97">
        <f t="shared" si="36"/>
        <v>1.2449181918807517</v>
      </c>
      <c r="F121" s="97">
        <f t="shared" si="36"/>
        <v>-3.700592649635404E-3</v>
      </c>
      <c r="G121" s="97">
        <f t="shared" si="36"/>
        <v>-0.18567939123620791</v>
      </c>
      <c r="H121" s="97">
        <f t="shared" si="36"/>
        <v>-7.2248979746409536E-2</v>
      </c>
      <c r="I121" s="97">
        <f t="shared" si="36"/>
        <v>2.2225333276290508E-2</v>
      </c>
      <c r="J121" s="97">
        <f t="shared" si="36"/>
        <v>-0.1093803868313097</v>
      </c>
      <c r="K121" s="97">
        <f t="shared" si="36"/>
        <v>-2.7313343535113725E-2</v>
      </c>
      <c r="L121" s="97">
        <f t="shared" si="36"/>
        <v>-0.2377431458411248</v>
      </c>
      <c r="M121" s="97">
        <f t="shared" si="36"/>
        <v>-3.9626242681173318E-3</v>
      </c>
      <c r="N121" s="97">
        <f t="shared" si="36"/>
        <v>0.1299754998953517</v>
      </c>
      <c r="O121" s="97">
        <f t="shared" si="36"/>
        <v>0.54259570364666065</v>
      </c>
      <c r="P121" s="97">
        <f t="shared" si="36"/>
        <v>-7.6560337640527942E-2</v>
      </c>
      <c r="Q121" s="97">
        <f t="shared" si="36"/>
        <v>-9.3743057334616631E-2</v>
      </c>
      <c r="R121" s="97">
        <f t="shared" si="36"/>
        <v>7.2717872217229456E-3</v>
      </c>
      <c r="S121" s="97">
        <f t="shared" si="36"/>
        <v>1.1070996580568866E-3</v>
      </c>
      <c r="T121" s="97">
        <f t="shared" si="36"/>
        <v>-3.2826806241868407E-2</v>
      </c>
      <c r="U121" s="97">
        <f t="shared" si="36"/>
        <v>0.5263157586701499</v>
      </c>
      <c r="V121" s="97">
        <f t="shared" si="36"/>
        <v>-0.28876846595280281</v>
      </c>
      <c r="W121" s="97">
        <f t="shared" si="36"/>
        <v>5.1854962905919955E-2</v>
      </c>
      <c r="X121" s="97">
        <f t="shared" si="36"/>
        <v>9.9523039833797192E-2</v>
      </c>
      <c r="Y121" s="97">
        <f t="shared" si="36"/>
        <v>-0.16515892598296869</v>
      </c>
      <c r="Z121" s="97">
        <f t="shared" si="36"/>
        <v>-0.27199327557646469</v>
      </c>
      <c r="AA121" s="97">
        <f t="shared" si="36"/>
        <v>-0.20709042315810999</v>
      </c>
      <c r="AB121" s="97">
        <f t="shared" si="36"/>
        <v>5.8160646460386545E-2</v>
      </c>
      <c r="AC121" s="97">
        <f t="shared" si="36"/>
        <v>0.29237783872291367</v>
      </c>
      <c r="AD121" s="97">
        <f t="shared" si="36"/>
        <v>-7.1268160217202947E-2</v>
      </c>
      <c r="AE121" s="97">
        <f t="shared" si="36"/>
        <v>-2.4319149350666373E-2</v>
      </c>
      <c r="AF121" s="97">
        <f t="shared" si="36"/>
        <v>-0.1521860830118468</v>
      </c>
      <c r="AG121" s="97">
        <f t="shared" si="36"/>
        <v>7.5507328142443875E-2</v>
      </c>
      <c r="AH121" s="97">
        <f t="shared" si="36"/>
        <v>2.5711172056247067E-2</v>
      </c>
      <c r="AI121" s="97">
        <f t="shared" si="36"/>
        <v>-1.1636325895447806E-4</v>
      </c>
      <c r="AJ121" s="97">
        <f t="shared" si="36"/>
        <v>-0.30645288622761713</v>
      </c>
      <c r="AK121" s="97">
        <f t="shared" si="36"/>
        <v>0.1657909327740934</v>
      </c>
      <c r="AL121" s="97">
        <f t="shared" si="36"/>
        <v>-0.1103203934697877</v>
      </c>
      <c r="AM121" s="97">
        <f t="shared" si="36"/>
        <v>0.17416340571671141</v>
      </c>
      <c r="AN121" s="97">
        <f t="shared" si="36"/>
        <v>-0.23000620193396801</v>
      </c>
      <c r="AO121" s="97">
        <f t="shared" si="36"/>
        <v>0.2462994073503644</v>
      </c>
      <c r="AP121" s="97">
        <f t="shared" si="36"/>
        <v>-2.3093929298069082E-2</v>
      </c>
      <c r="AQ121" s="97">
        <f t="shared" si="36"/>
        <v>-0.1140824542248144</v>
      </c>
      <c r="AR121" s="97">
        <f t="shared" si="36"/>
        <v>-0.64738183761877954</v>
      </c>
      <c r="AS121" s="97">
        <f t="shared" si="36"/>
        <v>-0.10806380019680531</v>
      </c>
      <c r="AT121" s="97">
        <f t="shared" si="36"/>
        <v>-0.19400792125483651</v>
      </c>
      <c r="AU121" s="97">
        <f t="shared" si="36"/>
        <v>1.5167986547124364E-3</v>
      </c>
      <c r="AV121" s="97">
        <f t="shared" si="36"/>
        <v>-0.33703392598296883</v>
      </c>
      <c r="AW121" s="97">
        <f t="shared" si="36"/>
        <v>4.1394344059225485E-2</v>
      </c>
      <c r="AX121" s="97">
        <f t="shared" si="36"/>
        <v>-0.12829664291893531</v>
      </c>
      <c r="AY121" s="97">
        <f t="shared" si="36"/>
        <v>-0.34264290034194311</v>
      </c>
      <c r="AZ121" s="97">
        <f t="shared" si="36"/>
        <v>-0.16485255343394919</v>
      </c>
      <c r="BA121" s="97">
        <f t="shared" si="36"/>
        <v>0.36884842695820752</v>
      </c>
      <c r="BB121" s="97">
        <f t="shared" si="36"/>
        <v>0.59370200475296175</v>
      </c>
      <c r="BC121" s="97">
        <f t="shared" si="36"/>
        <v>-0.24643563538467819</v>
      </c>
      <c r="BD121" s="97">
        <f t="shared" si="36"/>
        <v>-2.0680038583504975E-2</v>
      </c>
      <c r="BE121" s="97">
        <f t="shared" si="36"/>
        <v>-0.80182457307377897</v>
      </c>
      <c r="BF121" s="97">
        <f t="shared" si="36"/>
        <v>-0.25114957224147222</v>
      </c>
      <c r="BG121" s="97">
        <f t="shared" si="36"/>
        <v>0.21465383773011149</v>
      </c>
      <c r="BH121" s="97">
        <f t="shared" si="36"/>
        <v>9.8768543152833801E-2</v>
      </c>
      <c r="BI121" s="97" t="str">
        <f t="shared" si="36"/>
        <v/>
      </c>
      <c r="BJ121" s="97">
        <f t="shared" si="36"/>
        <v>9.8795606012560561E-3</v>
      </c>
      <c r="BK121" s="97">
        <f t="shared" si="36"/>
        <v>-1.5465298531988303E-2</v>
      </c>
      <c r="BL121" s="97">
        <f t="shared" si="36"/>
        <v>7.5353251110090724E-2</v>
      </c>
      <c r="BM121" s="97">
        <f t="shared" si="36"/>
        <v>-7.3607383595041598E-2</v>
      </c>
      <c r="BN121" s="97">
        <f t="shared" ref="BN121:DY124" si="37">IF(ISBLANK(BN58),"",BN58-$D58)</f>
        <v>0.29407718512814229</v>
      </c>
      <c r="BO121" s="97">
        <f t="shared" si="37"/>
        <v>-5.4739320528578772E-2</v>
      </c>
      <c r="BP121" s="97">
        <f t="shared" si="35"/>
        <v>7.9953137831132465E-3</v>
      </c>
      <c r="BQ121" s="97">
        <f t="shared" si="35"/>
        <v>-3.2841696944113985E-2</v>
      </c>
      <c r="BR121" s="97">
        <f t="shared" si="35"/>
        <v>-7.8700592649635248E-2</v>
      </c>
      <c r="BS121" s="97">
        <f t="shared" si="35"/>
        <v>6.9188763769132359E-3</v>
      </c>
      <c r="BT121" s="97">
        <f t="shared" si="35"/>
        <v>0.56219088021858155</v>
      </c>
      <c r="BU121" s="97">
        <f t="shared" si="35"/>
        <v>-0.21955962348663979</v>
      </c>
      <c r="BV121" s="97">
        <f t="shared" si="35"/>
        <v>-1.3224402173444894E-2</v>
      </c>
      <c r="BW121" s="97">
        <f t="shared" si="35"/>
        <v>0.10136166309879679</v>
      </c>
      <c r="BX121" s="97">
        <f t="shared" si="35"/>
        <v>-2.6257839075269462E-2</v>
      </c>
      <c r="BY121" s="97" t="str">
        <f t="shared" si="35"/>
        <v/>
      </c>
      <c r="BZ121" s="97">
        <f t="shared" si="35"/>
        <v>-0.10314810646179018</v>
      </c>
      <c r="CA121" s="97">
        <f t="shared" si="35"/>
        <v>-3.6258732184519027E-2</v>
      </c>
      <c r="CB121" s="97">
        <f t="shared" si="35"/>
        <v>0.14549524462567209</v>
      </c>
      <c r="CC121" s="97">
        <f t="shared" si="35"/>
        <v>-4.3477426525604823E-2</v>
      </c>
      <c r="CD121" s="97">
        <f t="shared" si="35"/>
        <v>-0.18420600781209032</v>
      </c>
      <c r="CE121" s="97">
        <f t="shared" si="35"/>
        <v>6.0815536382622826E-2</v>
      </c>
      <c r="CF121" s="97">
        <f t="shared" si="35"/>
        <v>-0.250699501343706</v>
      </c>
      <c r="CG121" s="97" t="str">
        <f t="shared" si="35"/>
        <v/>
      </c>
      <c r="CH121" s="97">
        <f t="shared" si="35"/>
        <v>-0.1154909856627357</v>
      </c>
      <c r="CI121" s="97">
        <f t="shared" si="35"/>
        <v>-0.41465949675922442</v>
      </c>
      <c r="CJ121" s="97">
        <f t="shared" si="35"/>
        <v>-1.0346167301060751E-2</v>
      </c>
      <c r="CK121" s="97">
        <f t="shared" si="35"/>
        <v>-0.16571176583399291</v>
      </c>
      <c r="CL121" s="97">
        <f t="shared" si="35"/>
        <v>-4.5717399372324552E-2</v>
      </c>
      <c r="CM121" s="97">
        <f t="shared" si="35"/>
        <v>-0.13557832190727739</v>
      </c>
      <c r="CN121" s="97">
        <f t="shared" si="35"/>
        <v>-4.7496213087591665E-2</v>
      </c>
      <c r="CO121" s="97">
        <f t="shared" si="35"/>
        <v>-0.22825632770617829</v>
      </c>
      <c r="CP121" s="97">
        <f t="shared" si="35"/>
        <v>0.30851660192050029</v>
      </c>
      <c r="CQ121" s="97">
        <f t="shared" si="35"/>
        <v>-6.4479320095029435E-2</v>
      </c>
      <c r="CR121" s="97">
        <f t="shared" si="35"/>
        <v>-0.14346351356990431</v>
      </c>
      <c r="CS121" s="97">
        <f t="shared" si="35"/>
        <v>1.8057053479444236</v>
      </c>
      <c r="CT121" s="97">
        <f t="shared" si="35"/>
        <v>-0.27906291149021512</v>
      </c>
      <c r="CU121" s="97">
        <f t="shared" si="35"/>
        <v>-7.9022733219041852E-3</v>
      </c>
      <c r="CV121" s="97">
        <f t="shared" si="35"/>
        <v>1.2252252296227176E-2</v>
      </c>
      <c r="CW121" s="97">
        <f t="shared" si="35"/>
        <v>0.14572313616392399</v>
      </c>
      <c r="CX121" s="97">
        <f t="shared" si="35"/>
        <v>1.4974106145545285E-2</v>
      </c>
      <c r="CY121" s="97">
        <f t="shared" si="35"/>
        <v>-2.834791783834723E-3</v>
      </c>
      <c r="CZ121" s="97">
        <f t="shared" si="35"/>
        <v>-6.2995821085661263E-2</v>
      </c>
      <c r="DA121" s="97">
        <f t="shared" si="35"/>
        <v>-0.48649942646887728</v>
      </c>
      <c r="DB121" s="97">
        <f t="shared" si="35"/>
        <v>-2.2890358108057503E-2</v>
      </c>
      <c r="DC121" s="97">
        <f t="shared" si="35"/>
        <v>0.12060430224370559</v>
      </c>
      <c r="DD121" s="97">
        <f t="shared" si="35"/>
        <v>-0.66745605116491924</v>
      </c>
      <c r="DE121" s="97">
        <f t="shared" si="35"/>
        <v>-0.26316005210909482</v>
      </c>
      <c r="DF121" s="97">
        <f t="shared" si="35"/>
        <v>2.0144812255321827</v>
      </c>
      <c r="DG121" s="97">
        <f t="shared" si="35"/>
        <v>-0.12160452278063981</v>
      </c>
      <c r="DH121" s="97">
        <f t="shared" si="35"/>
        <v>-7.259582297984335E-2</v>
      </c>
      <c r="DI121" s="97">
        <f t="shared" si="35"/>
        <v>-0.13588450069561239</v>
      </c>
      <c r="DJ121" s="97">
        <f t="shared" si="35"/>
        <v>0.10344226449322159</v>
      </c>
      <c r="DK121" s="97">
        <f t="shared" si="35"/>
        <v>-0.85489222217879646</v>
      </c>
      <c r="DL121" s="97">
        <f t="shared" si="35"/>
        <v>-0.33307682924236681</v>
      </c>
      <c r="DM121" s="97">
        <f t="shared" si="35"/>
        <v>-0.13141143602312941</v>
      </c>
      <c r="DN121" s="97">
        <f t="shared" si="35"/>
        <v>3.6523485268351581E-3</v>
      </c>
      <c r="DO121" s="97" t="str">
        <f t="shared" si="35"/>
        <v/>
      </c>
      <c r="DP121" s="97">
        <f t="shared" si="35"/>
        <v>4.6096566578439635E-3</v>
      </c>
      <c r="DQ121" s="97">
        <f t="shared" si="35"/>
        <v>-0.2001291640782068</v>
      </c>
      <c r="DR121" s="97">
        <f t="shared" si="35"/>
        <v>3.7344183469767429E-2</v>
      </c>
      <c r="DS121" s="97">
        <f t="shared" si="35"/>
        <v>6.9677746064776169E-2</v>
      </c>
      <c r="DT121" s="97">
        <f t="shared" si="35"/>
        <v>0.3711372802427122</v>
      </c>
      <c r="DU121" s="97">
        <f t="shared" si="35"/>
        <v>0.17521601782462851</v>
      </c>
      <c r="DV121" s="97">
        <f t="shared" si="35"/>
        <v>-2.3405026147172214E-2</v>
      </c>
      <c r="DW121" s="97">
        <f t="shared" si="35"/>
        <v>-9.4079601395991141E-2</v>
      </c>
      <c r="DX121" s="97">
        <f t="shared" si="35"/>
        <v>-7.8392398305908051E-2</v>
      </c>
      <c r="DY121" s="97">
        <f t="shared" si="35"/>
        <v>-0.24725482235344962</v>
      </c>
      <c r="DZ121" s="97">
        <f t="shared" si="34"/>
        <v>-0.186627421917928</v>
      </c>
      <c r="EA121" s="97">
        <f t="shared" si="33"/>
        <v>-0.20792594476231149</v>
      </c>
      <c r="EB121" s="97">
        <f t="shared" si="33"/>
        <v>-9.4970433919476682E-2</v>
      </c>
      <c r="EC121" s="97">
        <f t="shared" si="33"/>
        <v>-2.5771899950144724E-2</v>
      </c>
      <c r="ED121" s="97">
        <f t="shared" si="33"/>
        <v>-5.633217159700387E-2</v>
      </c>
      <c r="EE121" s="97">
        <f t="shared" si="33"/>
        <v>-8.7571560391570991E-2</v>
      </c>
      <c r="EF121" s="97">
        <f t="shared" si="33"/>
        <v>-6.3676761059538803E-2</v>
      </c>
      <c r="EG121" s="97">
        <f t="shared" si="33"/>
        <v>-8.9414878363921035E-2</v>
      </c>
      <c r="EH121" s="97">
        <f t="shared" si="33"/>
        <v>-0.37477835526900782</v>
      </c>
      <c r="EI121" s="97">
        <f t="shared" si="33"/>
        <v>0.1348746359162567</v>
      </c>
      <c r="EJ121" s="97">
        <f t="shared" si="33"/>
        <v>0.2370401480911053</v>
      </c>
      <c r="EK121" s="97">
        <f t="shared" si="33"/>
        <v>8.4534701468011564E-2</v>
      </c>
      <c r="EL121" s="97">
        <f t="shared" si="33"/>
        <v>1.4932947723035328E-2</v>
      </c>
      <c r="EM121" s="97">
        <f t="shared" si="33"/>
        <v>-3.7033925982968736E-2</v>
      </c>
      <c r="EN121" s="97">
        <f t="shared" si="33"/>
        <v>-2.3445554724946135E-2</v>
      </c>
      <c r="EO121" s="97">
        <f t="shared" si="33"/>
        <v>0.14108468342398431</v>
      </c>
    </row>
    <row r="122" spans="1:145" outlineLevel="1" x14ac:dyDescent="0.25">
      <c r="A122">
        <v>2024</v>
      </c>
      <c r="B122">
        <v>12</v>
      </c>
      <c r="C122" s="97">
        <f t="shared" ref="C122:BN124" si="38">IF(ISBLANK(C59),"",C59-$D59)</f>
        <v>-2.8122780403430414E-2</v>
      </c>
      <c r="D122" s="97">
        <f t="shared" si="38"/>
        <v>0</v>
      </c>
      <c r="E122" s="97">
        <f t="shared" si="38"/>
        <v>-0.39468642110310487</v>
      </c>
      <c r="F122" s="97">
        <f t="shared" si="38"/>
        <v>5.976969560285819E-3</v>
      </c>
      <c r="G122" s="97">
        <f t="shared" si="38"/>
        <v>-0.15521093540731679</v>
      </c>
      <c r="H122" s="97">
        <f t="shared" si="38"/>
        <v>1.0089639825472989</v>
      </c>
      <c r="I122" s="97">
        <f t="shared" si="38"/>
        <v>-0.3217125611256349</v>
      </c>
      <c r="J122" s="97">
        <f t="shared" si="38"/>
        <v>-0.18238107425471739</v>
      </c>
      <c r="K122" s="97">
        <f t="shared" si="38"/>
        <v>-4.6344674937900406E-2</v>
      </c>
      <c r="L122" s="97">
        <f t="shared" si="38"/>
        <v>0.16264363622695252</v>
      </c>
      <c r="M122" s="97">
        <f t="shared" si="38"/>
        <v>-3.8096069055824522E-2</v>
      </c>
      <c r="N122" s="97">
        <f t="shared" si="38"/>
        <v>-4.4839356970326372E-2</v>
      </c>
      <c r="O122" s="97">
        <f t="shared" si="38"/>
        <v>-0.1776757250504927</v>
      </c>
      <c r="P122" s="97">
        <f t="shared" si="38"/>
        <v>-0.30461242140238609</v>
      </c>
      <c r="Q122" s="97">
        <f t="shared" si="38"/>
        <v>5.5007790840952983E-3</v>
      </c>
      <c r="R122" s="97">
        <f t="shared" si="38"/>
        <v>-0.28658291067923497</v>
      </c>
      <c r="S122" s="97">
        <f t="shared" si="38"/>
        <v>-3.5880587128762622E-3</v>
      </c>
      <c r="T122" s="97">
        <f t="shared" si="38"/>
        <v>-0.13292303043971418</v>
      </c>
      <c r="U122" s="97">
        <f t="shared" si="38"/>
        <v>-0.1082978396000196</v>
      </c>
      <c r="V122" s="97">
        <f t="shared" si="38"/>
        <v>-5.375178270011205E-2</v>
      </c>
      <c r="W122" s="97">
        <f t="shared" si="38"/>
        <v>-2.4490866697024053E-2</v>
      </c>
      <c r="X122" s="97">
        <f t="shared" si="38"/>
        <v>-0.14258951384431609</v>
      </c>
      <c r="Y122" s="97">
        <f t="shared" si="38"/>
        <v>5.1877590678298224E-2</v>
      </c>
      <c r="Z122" s="97">
        <f t="shared" si="38"/>
        <v>0.207088080671397</v>
      </c>
      <c r="AA122" s="97">
        <f t="shared" si="38"/>
        <v>-0.69604430703545894</v>
      </c>
      <c r="AB122" s="97">
        <f t="shared" si="38"/>
        <v>-4.8940917701143394E-2</v>
      </c>
      <c r="AC122" s="97">
        <f t="shared" si="38"/>
        <v>-6.9075980515357238E-2</v>
      </c>
      <c r="AD122" s="97">
        <f t="shared" si="38"/>
        <v>2.2063926082024787E-2</v>
      </c>
      <c r="AE122" s="97">
        <f t="shared" si="38"/>
        <v>0.67360854850765417</v>
      </c>
      <c r="AF122" s="97">
        <f t="shared" si="38"/>
        <v>0.74050433274436545</v>
      </c>
      <c r="AG122" s="97">
        <f t="shared" si="38"/>
        <v>0.1267109145144141</v>
      </c>
      <c r="AH122" s="97">
        <f t="shared" si="38"/>
        <v>-9.9261125677809536E-2</v>
      </c>
      <c r="AI122" s="97">
        <f t="shared" si="38"/>
        <v>7.0976969560285763E-2</v>
      </c>
      <c r="AJ122" s="97">
        <f t="shared" si="38"/>
        <v>-0.31323355675550368</v>
      </c>
      <c r="AK122" s="97">
        <f t="shared" si="38"/>
        <v>-2.8177619811694754E-2</v>
      </c>
      <c r="AL122" s="97">
        <f t="shared" si="38"/>
        <v>-6.4678768144632248E-2</v>
      </c>
      <c r="AM122" s="97">
        <f t="shared" si="38"/>
        <v>-0.13040999299172529</v>
      </c>
      <c r="AN122" s="97">
        <f t="shared" si="38"/>
        <v>0.1584769695602859</v>
      </c>
      <c r="AO122" s="97">
        <f t="shared" si="38"/>
        <v>0.68883411241742887</v>
      </c>
      <c r="AP122" s="97">
        <f t="shared" si="38"/>
        <v>-0.1825220162409312</v>
      </c>
      <c r="AQ122" s="97">
        <f t="shared" si="38"/>
        <v>-2.1460991539647093E-2</v>
      </c>
      <c r="AR122" s="97">
        <f t="shared" si="38"/>
        <v>0.20079624666871962</v>
      </c>
      <c r="AS122" s="97">
        <f t="shared" si="38"/>
        <v>-5.0105979748469864E-2</v>
      </c>
      <c r="AT122" s="97">
        <f t="shared" si="38"/>
        <v>-9.3074125330225077E-2</v>
      </c>
      <c r="AU122" s="97">
        <f t="shared" si="38"/>
        <v>-0.32755244220441998</v>
      </c>
      <c r="AV122" s="97">
        <f t="shared" si="38"/>
        <v>-0.1517503031669869</v>
      </c>
      <c r="AW122" s="97">
        <f t="shared" si="38"/>
        <v>-8.7293280250463678E-2</v>
      </c>
      <c r="AX122" s="97">
        <f t="shared" si="38"/>
        <v>-8.1135417642339225E-2</v>
      </c>
      <c r="AY122" s="97">
        <f t="shared" si="38"/>
        <v>8.2037575620891978E-2</v>
      </c>
      <c r="AZ122" s="97">
        <f t="shared" si="38"/>
        <v>-0.1975949807684213</v>
      </c>
      <c r="BA122" s="97">
        <f t="shared" si="38"/>
        <v>-0.21830874472542838</v>
      </c>
      <c r="BB122" s="97">
        <f t="shared" si="38"/>
        <v>-1.9544094741266282E-2</v>
      </c>
      <c r="BC122" s="97">
        <f t="shared" si="38"/>
        <v>-6.2803667828292831E-3</v>
      </c>
      <c r="BD122" s="97">
        <f t="shared" si="38"/>
        <v>-0.19493212134880508</v>
      </c>
      <c r="BE122" s="97">
        <f t="shared" si="38"/>
        <v>0.4707244443077605</v>
      </c>
      <c r="BF122" s="97">
        <f t="shared" si="38"/>
        <v>-0.1622151208351944</v>
      </c>
      <c r="BG122" s="97">
        <f t="shared" si="38"/>
        <v>0.21675619033950649</v>
      </c>
      <c r="BH122" s="97">
        <f t="shared" si="38"/>
        <v>-0.22014845037252501</v>
      </c>
      <c r="BI122" s="97">
        <f t="shared" si="38"/>
        <v>0.1090722076555239</v>
      </c>
      <c r="BJ122" s="97">
        <f t="shared" si="38"/>
        <v>-0.30028051546965429</v>
      </c>
      <c r="BK122" s="97">
        <f t="shared" si="38"/>
        <v>-0.11342779234447609</v>
      </c>
      <c r="BL122" s="97">
        <f t="shared" si="38"/>
        <v>-1.1522309355203264E-2</v>
      </c>
      <c r="BM122" s="97">
        <f t="shared" si="38"/>
        <v>-0.2034980960565122</v>
      </c>
      <c r="BN122" s="97">
        <f t="shared" si="38"/>
        <v>-0.50744768797396078</v>
      </c>
      <c r="BO122" s="97">
        <f t="shared" si="37"/>
        <v>-9.5914922331606034E-2</v>
      </c>
      <c r="BP122" s="97">
        <f t="shared" si="37"/>
        <v>-5.6046151826997466E-2</v>
      </c>
      <c r="BQ122" s="97">
        <f t="shared" si="37"/>
        <v>-9.038427319906106E-2</v>
      </c>
      <c r="BR122" s="97">
        <f t="shared" si="37"/>
        <v>6.804904163235781E-2</v>
      </c>
      <c r="BS122" s="97">
        <f t="shared" si="37"/>
        <v>-2.8891681928330804E-2</v>
      </c>
      <c r="BT122" s="97">
        <f t="shared" si="37"/>
        <v>-0.12778540667733798</v>
      </c>
      <c r="BU122" s="97">
        <f t="shared" si="37"/>
        <v>0.18698820551534201</v>
      </c>
      <c r="BV122" s="97">
        <f t="shared" si="37"/>
        <v>-3.286918428586804E-2</v>
      </c>
      <c r="BW122" s="97">
        <f t="shared" si="37"/>
        <v>8.8069720275940587E-3</v>
      </c>
      <c r="BX122" s="97">
        <f t="shared" si="37"/>
        <v>-7.1051383336747986E-2</v>
      </c>
      <c r="BY122" s="97" t="str">
        <f t="shared" si="37"/>
        <v/>
      </c>
      <c r="BZ122" s="97">
        <f t="shared" si="37"/>
        <v>8.2469082105924886E-3</v>
      </c>
      <c r="CA122" s="97">
        <f t="shared" si="37"/>
        <v>5.5923541756703896E-3</v>
      </c>
      <c r="CB122" s="97">
        <f t="shared" si="37"/>
        <v>-0.12191222118640059</v>
      </c>
      <c r="CC122" s="97">
        <f t="shared" si="37"/>
        <v>-3.3381190520949559E-2</v>
      </c>
      <c r="CD122" s="97">
        <f t="shared" si="37"/>
        <v>7.0866837401695415E-2</v>
      </c>
      <c r="CE122" s="97">
        <f t="shared" si="37"/>
        <v>1.4158787742103888E-2</v>
      </c>
      <c r="CF122" s="97">
        <f t="shared" si="37"/>
        <v>-6.9215811643518182E-3</v>
      </c>
      <c r="CG122" s="97" t="str">
        <f t="shared" si="37"/>
        <v/>
      </c>
      <c r="CH122" s="97">
        <f t="shared" si="37"/>
        <v>-9.7926668591139965E-2</v>
      </c>
      <c r="CI122" s="97">
        <f t="shared" si="37"/>
        <v>-0.12030210020715619</v>
      </c>
      <c r="CJ122" s="97">
        <f t="shared" si="37"/>
        <v>-1.735208247153186E-2</v>
      </c>
      <c r="CK122" s="97">
        <f t="shared" si="37"/>
        <v>-2.3563637730474865E-3</v>
      </c>
      <c r="CL122" s="97">
        <f t="shared" si="37"/>
        <v>-0.1882335567555036</v>
      </c>
      <c r="CM122" s="97">
        <f t="shared" si="37"/>
        <v>6.2375359902338223E-2</v>
      </c>
      <c r="CN122" s="97">
        <f t="shared" si="37"/>
        <v>0.67536628253738518</v>
      </c>
      <c r="CO122" s="97">
        <f t="shared" si="37"/>
        <v>-2.2773030439714122E-2</v>
      </c>
      <c r="CP122" s="97">
        <f t="shared" si="37"/>
        <v>-8.6781651129369308E-2</v>
      </c>
      <c r="CQ122" s="97">
        <f t="shared" si="37"/>
        <v>-0.14052454712323298</v>
      </c>
      <c r="CR122" s="97">
        <f t="shared" si="37"/>
        <v>-6.388555266272089E-2</v>
      </c>
      <c r="CS122" s="97">
        <f t="shared" si="37"/>
        <v>-0.13353844894191669</v>
      </c>
      <c r="CT122" s="97">
        <f t="shared" si="37"/>
        <v>-0.11335636377304759</v>
      </c>
      <c r="CU122" s="97">
        <f t="shared" si="37"/>
        <v>1.7074015973787878E-2</v>
      </c>
      <c r="CV122" s="97">
        <f t="shared" si="37"/>
        <v>-0.1054324140010635</v>
      </c>
      <c r="CW122" s="97">
        <f t="shared" si="37"/>
        <v>-8.2824493221358542E-2</v>
      </c>
      <c r="CX122" s="97">
        <f t="shared" si="37"/>
        <v>0.1101106182888487</v>
      </c>
      <c r="CY122" s="97">
        <f t="shared" si="37"/>
        <v>-0.23949015846739569</v>
      </c>
      <c r="CZ122" s="97">
        <f t="shared" si="37"/>
        <v>8.1856179993007282E-3</v>
      </c>
      <c r="DA122" s="97">
        <f t="shared" si="37"/>
        <v>-8.8577709131935189E-2</v>
      </c>
      <c r="DB122" s="97">
        <f t="shared" si="37"/>
        <v>-4.967520435275774E-2</v>
      </c>
      <c r="DC122" s="97">
        <f t="shared" si="37"/>
        <v>-0.10318075448901165</v>
      </c>
      <c r="DD122" s="97">
        <f t="shared" si="37"/>
        <v>-2.0776277192960931E-2</v>
      </c>
      <c r="DE122" s="97">
        <f t="shared" si="37"/>
        <v>0.43356821043619803</v>
      </c>
      <c r="DF122" s="97">
        <f t="shared" si="37"/>
        <v>4.7181788837394441E-2</v>
      </c>
      <c r="DG122" s="97">
        <f t="shared" si="37"/>
        <v>-0.32580520865753587</v>
      </c>
      <c r="DH122" s="97">
        <f t="shared" si="37"/>
        <v>-0.2273154997917283</v>
      </c>
      <c r="DI122" s="97">
        <f t="shared" si="37"/>
        <v>-0.83183759997613804</v>
      </c>
      <c r="DJ122" s="97">
        <f t="shared" si="37"/>
        <v>0.4556543889151245</v>
      </c>
      <c r="DK122" s="97">
        <f t="shared" si="37"/>
        <v>-0.38943969710638077</v>
      </c>
      <c r="DL122" s="97">
        <f t="shared" si="37"/>
        <v>-0.34191122919747818</v>
      </c>
      <c r="DM122" s="97">
        <f t="shared" si="37"/>
        <v>-2.6122477953526402E-2</v>
      </c>
      <c r="DN122" s="97">
        <f t="shared" si="37"/>
        <v>-0.1208113516075975</v>
      </c>
      <c r="DO122" s="97">
        <f t="shared" si="37"/>
        <v>-9.8526786865178795E-2</v>
      </c>
      <c r="DP122" s="97">
        <f t="shared" si="37"/>
        <v>-0.17847357989026369</v>
      </c>
      <c r="DQ122" s="97">
        <f t="shared" si="37"/>
        <v>0.46708808067139679</v>
      </c>
      <c r="DR122" s="97">
        <f t="shared" si="37"/>
        <v>-3.9865324346524234E-2</v>
      </c>
      <c r="DS122" s="97">
        <f t="shared" si="37"/>
        <v>-1.5234405884067551E-2</v>
      </c>
      <c r="DT122" s="97">
        <f t="shared" si="37"/>
        <v>0.2129581016357576</v>
      </c>
      <c r="DU122" s="97">
        <f t="shared" si="37"/>
        <v>5.1649038197082671E-2</v>
      </c>
      <c r="DV122" s="97">
        <f t="shared" si="37"/>
        <v>3.115284895727078E-2</v>
      </c>
      <c r="DW122" s="97">
        <f t="shared" si="37"/>
        <v>-0.11620251761920139</v>
      </c>
      <c r="DX122" s="97">
        <f t="shared" si="37"/>
        <v>-0.197596698151313</v>
      </c>
      <c r="DY122" s="97">
        <f t="shared" si="37"/>
        <v>-0.26585401635520711</v>
      </c>
      <c r="DZ122" s="97">
        <f t="shared" si="34"/>
        <v>-1.1485717006878393E-2</v>
      </c>
      <c r="EA122" s="97">
        <f t="shared" si="33"/>
        <v>1.3676084604533626E-2</v>
      </c>
      <c r="EB122" s="97">
        <f t="shared" si="33"/>
        <v>0.93484159838124659</v>
      </c>
      <c r="EC122" s="97">
        <f t="shared" si="33"/>
        <v>0.42653252511584139</v>
      </c>
      <c r="ED122" s="97">
        <f t="shared" si="33"/>
        <v>-0.14158916800585178</v>
      </c>
      <c r="EE122" s="97">
        <f t="shared" si="33"/>
        <v>-0.39838922762281281</v>
      </c>
      <c r="EF122" s="97">
        <f t="shared" si="33"/>
        <v>-8.7825847341122643E-2</v>
      </c>
      <c r="EG122" s="97">
        <f t="shared" si="33"/>
        <v>-0.45714803043971419</v>
      </c>
      <c r="EH122" s="97">
        <f t="shared" si="33"/>
        <v>-0.17994493933342348</v>
      </c>
      <c r="EI122" s="97">
        <f t="shared" si="33"/>
        <v>-5.2914085387999465E-2</v>
      </c>
      <c r="EJ122" s="97">
        <f t="shared" si="33"/>
        <v>-0.18685885133523658</v>
      </c>
      <c r="EK122" s="97">
        <f t="shared" si="33"/>
        <v>0.12773372631704261</v>
      </c>
      <c r="EL122" s="97">
        <f t="shared" si="33"/>
        <v>2.9513554926139607E-2</v>
      </c>
      <c r="EM122" s="97">
        <f t="shared" si="33"/>
        <v>-0.2433739432186188</v>
      </c>
      <c r="EN122" s="97">
        <f t="shared" si="33"/>
        <v>-7.4322380574351588E-2</v>
      </c>
      <c r="EO122" s="97">
        <f t="shared" si="33"/>
        <v>-0.11013235519855669</v>
      </c>
    </row>
    <row r="123" spans="1:145" outlineLevel="1" x14ac:dyDescent="0.25">
      <c r="A123">
        <v>2025</v>
      </c>
      <c r="B123">
        <v>1</v>
      </c>
      <c r="C123" s="97">
        <f t="shared" si="38"/>
        <v>2.3357062851425029E-2</v>
      </c>
      <c r="D123" s="97">
        <f t="shared" si="38"/>
        <v>0</v>
      </c>
      <c r="E123" s="97">
        <f t="shared" si="38"/>
        <v>-3.4993024518241711E-3</v>
      </c>
      <c r="F123" s="97">
        <f t="shared" si="38"/>
        <v>-0.18171712423400246</v>
      </c>
      <c r="G123" s="97">
        <f t="shared" si="38"/>
        <v>-5.1845358431467869E-2</v>
      </c>
      <c r="H123" s="97">
        <f t="shared" si="38"/>
        <v>0.41585553625785315</v>
      </c>
      <c r="I123" s="97">
        <f t="shared" si="38"/>
        <v>-3.7890836843358588E-2</v>
      </c>
      <c r="J123" s="97">
        <f t="shared" si="38"/>
        <v>-6.4366525721417656E-2</v>
      </c>
      <c r="K123" s="97">
        <f t="shared" si="38"/>
        <v>3.9429990477468646E-2</v>
      </c>
      <c r="L123" s="97">
        <f t="shared" si="38"/>
        <v>-8.9392159594681275E-2</v>
      </c>
      <c r="M123" s="97">
        <f t="shared" si="38"/>
        <v>5.7282173669738867E-2</v>
      </c>
      <c r="N123" s="97">
        <f t="shared" si="38"/>
        <v>1.0685094711296198E-2</v>
      </c>
      <c r="O123" s="97">
        <f t="shared" si="38"/>
        <v>-0.17741234593008506</v>
      </c>
      <c r="P123" s="97">
        <f t="shared" si="38"/>
        <v>-0.15518469571025117</v>
      </c>
      <c r="Q123" s="97">
        <f t="shared" si="38"/>
        <v>0.12857616924628903</v>
      </c>
      <c r="R123" s="97">
        <f t="shared" si="38"/>
        <v>-8.4876454251511246E-2</v>
      </c>
      <c r="S123" s="97">
        <f t="shared" si="38"/>
        <v>0.12171808885252353</v>
      </c>
      <c r="T123" s="97">
        <f t="shared" si="38"/>
        <v>-8.2135509546302443E-2</v>
      </c>
      <c r="U123" s="97">
        <f t="shared" si="38"/>
        <v>-0.10815244715951128</v>
      </c>
      <c r="V123" s="97">
        <f t="shared" si="38"/>
        <v>-0.25183422157646729</v>
      </c>
      <c r="W123" s="97">
        <f t="shared" si="38"/>
        <v>-9.0066466630928654E-2</v>
      </c>
      <c r="X123" s="97">
        <f t="shared" si="38"/>
        <v>0.25474440396585685</v>
      </c>
      <c r="Y123" s="97">
        <f t="shared" si="38"/>
        <v>-2.4087537745941742E-2</v>
      </c>
      <c r="Z123" s="97">
        <f t="shared" si="38"/>
        <v>3.3197945254597627E-2</v>
      </c>
      <c r="AA123" s="97">
        <f t="shared" si="38"/>
        <v>-0.21075318846218696</v>
      </c>
      <c r="AB123" s="97">
        <f t="shared" si="38"/>
        <v>5.018026456541369E-2</v>
      </c>
      <c r="AC123" s="97">
        <f t="shared" si="38"/>
        <v>-0.17987470698256847</v>
      </c>
      <c r="AD123" s="97">
        <f t="shared" si="38"/>
        <v>-0.28033546064391457</v>
      </c>
      <c r="AE123" s="97">
        <f t="shared" si="38"/>
        <v>-0.21264962924920988</v>
      </c>
      <c r="AF123" s="97">
        <f t="shared" si="38"/>
        <v>2.7443232839777117E-2</v>
      </c>
      <c r="AG123" s="97">
        <f t="shared" si="38"/>
        <v>-8.0578409956895136E-2</v>
      </c>
      <c r="AH123" s="97">
        <f t="shared" si="38"/>
        <v>-2.455193403077149E-2</v>
      </c>
      <c r="AI123" s="97">
        <f t="shared" si="38"/>
        <v>-0.21363219281727266</v>
      </c>
      <c r="AJ123" s="97">
        <f t="shared" si="38"/>
        <v>-0.13368977864230036</v>
      </c>
      <c r="AK123" s="97">
        <f t="shared" si="38"/>
        <v>-1.8350787600339029E-2</v>
      </c>
      <c r="AL123" s="97">
        <f t="shared" si="38"/>
        <v>0.11761762599494703</v>
      </c>
      <c r="AM123" s="97">
        <f t="shared" si="38"/>
        <v>0.32454197557953135</v>
      </c>
      <c r="AN123" s="97">
        <f t="shared" si="38"/>
        <v>-6.4574571269028547E-2</v>
      </c>
      <c r="AO123" s="97">
        <f t="shared" si="38"/>
        <v>-4.9912804561528912E-2</v>
      </c>
      <c r="AP123" s="97">
        <f t="shared" si="38"/>
        <v>0.26440193211607715</v>
      </c>
      <c r="AQ123" s="97">
        <f t="shared" si="38"/>
        <v>-0.33523991678629528</v>
      </c>
      <c r="AR123" s="97">
        <f t="shared" si="38"/>
        <v>-0.33099930245182418</v>
      </c>
      <c r="AS123" s="97">
        <f t="shared" si="38"/>
        <v>0.36088993150262705</v>
      </c>
      <c r="AT123" s="97">
        <f t="shared" si="38"/>
        <v>3.816736421484257E-2</v>
      </c>
      <c r="AU123" s="97">
        <f t="shared" si="38"/>
        <v>0.16018356199830364</v>
      </c>
      <c r="AV123" s="97">
        <f t="shared" si="38"/>
        <v>1.650069754817585E-2</v>
      </c>
      <c r="AW123" s="97">
        <f t="shared" si="38"/>
        <v>-1.0105413104177563E-2</v>
      </c>
      <c r="AX123" s="97">
        <f t="shared" si="38"/>
        <v>-3.1943746896268665E-2</v>
      </c>
      <c r="AY123" s="97">
        <f t="shared" si="38"/>
        <v>-0.61473442149944324</v>
      </c>
      <c r="AZ123" s="97">
        <f t="shared" si="38"/>
        <v>0.26189924827281374</v>
      </c>
      <c r="BA123" s="97">
        <f t="shared" si="38"/>
        <v>-0.18986293881546057</v>
      </c>
      <c r="BB123" s="97">
        <f t="shared" si="38"/>
        <v>0.32382802487550322</v>
      </c>
      <c r="BC123" s="97">
        <f t="shared" si="38"/>
        <v>0.12091246225405823</v>
      </c>
      <c r="BD123" s="97">
        <f t="shared" si="38"/>
        <v>4.5938899795366916E-2</v>
      </c>
      <c r="BE123" s="97">
        <f t="shared" si="38"/>
        <v>-0.76651300108196119</v>
      </c>
      <c r="BF123" s="97">
        <f t="shared" si="38"/>
        <v>2.3346335132068408E-2</v>
      </c>
      <c r="BG123" s="97">
        <f t="shared" si="38"/>
        <v>-0.16094611096246247</v>
      </c>
      <c r="BH123" s="97">
        <f t="shared" si="38"/>
        <v>0.51078641183389006</v>
      </c>
      <c r="BI123" s="97">
        <f t="shared" si="38"/>
        <v>-0.12114636127535366</v>
      </c>
      <c r="BJ123" s="97">
        <f t="shared" si="38"/>
        <v>-0.62166565003744423</v>
      </c>
      <c r="BK123" s="97">
        <f t="shared" si="38"/>
        <v>0.68076750679827613</v>
      </c>
      <c r="BL123" s="97">
        <f t="shared" si="38"/>
        <v>0.12320805006198013</v>
      </c>
      <c r="BM123" s="97">
        <f t="shared" si="38"/>
        <v>-8.7851016311734753E-2</v>
      </c>
      <c r="BN123" s="97">
        <f t="shared" si="38"/>
        <v>0.20332828375507253</v>
      </c>
      <c r="BO123" s="97">
        <f t="shared" si="37"/>
        <v>-5.1713588166110054E-2</v>
      </c>
      <c r="BP123" s="97">
        <f t="shared" si="37"/>
        <v>-0.10106027806158024</v>
      </c>
      <c r="BQ123" s="97">
        <f t="shared" si="37"/>
        <v>7.0852282562585023E-2</v>
      </c>
      <c r="BR123" s="97">
        <f t="shared" si="37"/>
        <v>-7.0726193208126564E-2</v>
      </c>
      <c r="BS123" s="97">
        <f t="shared" si="37"/>
        <v>0.51805242168610688</v>
      </c>
      <c r="BT123" s="97">
        <f t="shared" si="37"/>
        <v>-9.9544500191937169E-2</v>
      </c>
      <c r="BU123" s="97">
        <f t="shared" si="37"/>
        <v>-0.21576345339522046</v>
      </c>
      <c r="BV123" s="97">
        <f t="shared" si="37"/>
        <v>-0.12785573809538858</v>
      </c>
      <c r="BW123" s="97">
        <f t="shared" si="37"/>
        <v>6.4073154937707155E-3</v>
      </c>
      <c r="BX123" s="97">
        <f t="shared" si="37"/>
        <v>4.8568660587679606E-2</v>
      </c>
      <c r="BY123" s="97" t="str">
        <f t="shared" si="37"/>
        <v/>
      </c>
      <c r="BZ123" s="97">
        <f t="shared" si="37"/>
        <v>0.21771281876029722</v>
      </c>
      <c r="CA123" s="97">
        <f t="shared" si="37"/>
        <v>-0.16064215959468128</v>
      </c>
      <c r="CB123" s="97">
        <f t="shared" si="37"/>
        <v>8.4228182382520167E-2</v>
      </c>
      <c r="CC123" s="97">
        <f t="shared" si="37"/>
        <v>4.7122473890361949E-2</v>
      </c>
      <c r="CD123" s="97">
        <f t="shared" si="37"/>
        <v>-0.11825340081247977</v>
      </c>
      <c r="CE123" s="97">
        <f t="shared" si="37"/>
        <v>0.20653471115361802</v>
      </c>
      <c r="CF123" s="97">
        <f t="shared" si="37"/>
        <v>-0.11784038772314206</v>
      </c>
      <c r="CG123" s="97" t="str">
        <f t="shared" si="37"/>
        <v/>
      </c>
      <c r="CH123" s="97">
        <f t="shared" si="37"/>
        <v>-0.46036311145887787</v>
      </c>
      <c r="CI123" s="97">
        <f t="shared" si="37"/>
        <v>4.9132276495544192E-2</v>
      </c>
      <c r="CJ123" s="97">
        <f t="shared" si="37"/>
        <v>-1.0133722969053571E-2</v>
      </c>
      <c r="CK123" s="97">
        <f t="shared" si="37"/>
        <v>0.10382182899576313</v>
      </c>
      <c r="CL123" s="97">
        <f t="shared" si="37"/>
        <v>-0.11392940997870597</v>
      </c>
      <c r="CM123" s="97">
        <f t="shared" si="37"/>
        <v>-0.82142383075371095</v>
      </c>
      <c r="CN123" s="97">
        <f t="shared" si="37"/>
        <v>0.3692279702754484</v>
      </c>
      <c r="CO123" s="97">
        <f t="shared" si="37"/>
        <v>0.75658562323819689</v>
      </c>
      <c r="CP123" s="97">
        <f t="shared" si="37"/>
        <v>-0.13507824982024527</v>
      </c>
      <c r="CQ123" s="97">
        <f t="shared" si="37"/>
        <v>-0.10185995818952898</v>
      </c>
      <c r="CR123" s="97">
        <f t="shared" si="37"/>
        <v>3.9400752163140318E-2</v>
      </c>
      <c r="CS123" s="97">
        <f t="shared" si="37"/>
        <v>-0.13102966682429398</v>
      </c>
      <c r="CT123" s="97">
        <f t="shared" si="37"/>
        <v>-0.11727175754164457</v>
      </c>
      <c r="CU123" s="97">
        <f t="shared" si="37"/>
        <v>-7.7879467741080233E-2</v>
      </c>
      <c r="CV123" s="97">
        <f t="shared" si="37"/>
        <v>3.5067900588370511E-2</v>
      </c>
      <c r="CW123" s="97">
        <f t="shared" si="37"/>
        <v>-2.040287525243889E-2</v>
      </c>
      <c r="CX123" s="97">
        <f t="shared" si="37"/>
        <v>0.39405908396006534</v>
      </c>
      <c r="CY123" s="97">
        <f t="shared" si="37"/>
        <v>-0.26803879102389927</v>
      </c>
      <c r="CZ123" s="97">
        <f t="shared" si="37"/>
        <v>1.260043777607045E-2</v>
      </c>
      <c r="DA123" s="97">
        <f t="shared" si="37"/>
        <v>-0.26581457338778469</v>
      </c>
      <c r="DB123" s="97">
        <f t="shared" si="37"/>
        <v>-0.18725025157862746</v>
      </c>
      <c r="DC123" s="97">
        <f t="shared" si="37"/>
        <v>-3.4614448536196996E-2</v>
      </c>
      <c r="DD123" s="97">
        <f t="shared" si="37"/>
        <v>-0.65572490012716433</v>
      </c>
      <c r="DE123" s="97">
        <f t="shared" si="37"/>
        <v>-0.2934206022741141</v>
      </c>
      <c r="DF123" s="97">
        <f t="shared" si="37"/>
        <v>9.9652560012359226E-2</v>
      </c>
      <c r="DG123" s="97">
        <f t="shared" si="37"/>
        <v>1.1099237694160989E-2</v>
      </c>
      <c r="DH123" s="97">
        <f t="shared" si="37"/>
        <v>-7.8471117558926662E-2</v>
      </c>
      <c r="DI123" s="97">
        <f t="shared" si="37"/>
        <v>-0.33234545629797807</v>
      </c>
      <c r="DJ123" s="97">
        <f t="shared" si="37"/>
        <v>4.0699592575800032E-2</v>
      </c>
      <c r="DK123" s="97">
        <f t="shared" si="37"/>
        <v>4.975273819362247E-3</v>
      </c>
      <c r="DL123" s="97">
        <f t="shared" si="37"/>
        <v>-3.7504930969647798E-2</v>
      </c>
      <c r="DM123" s="97">
        <f t="shared" si="37"/>
        <v>-6.5646195107191496E-2</v>
      </c>
      <c r="DN123" s="97">
        <f t="shared" si="37"/>
        <v>-0.11920178179066707</v>
      </c>
      <c r="DO123" s="97">
        <f t="shared" si="37"/>
        <v>-0.26507135485357075</v>
      </c>
      <c r="DP123" s="97">
        <f t="shared" si="37"/>
        <v>-8.4909829842699791E-3</v>
      </c>
      <c r="DQ123" s="97">
        <f t="shared" si="37"/>
        <v>-0.14851440819200548</v>
      </c>
      <c r="DR123" s="97">
        <f t="shared" si="37"/>
        <v>-3.4993024518241711E-3</v>
      </c>
      <c r="DS123" s="97">
        <f t="shared" si="37"/>
        <v>5.76179541853441E-2</v>
      </c>
      <c r="DT123" s="97">
        <f t="shared" si="37"/>
        <v>-0.44047604663787066</v>
      </c>
      <c r="DU123" s="97">
        <f t="shared" si="37"/>
        <v>-3.2576420024516994E-2</v>
      </c>
      <c r="DV123" s="97">
        <f t="shared" si="37"/>
        <v>0.17611234803361284</v>
      </c>
      <c r="DW123" s="97">
        <f t="shared" si="37"/>
        <v>-0.19844515082727548</v>
      </c>
      <c r="DX123" s="97">
        <f t="shared" si="37"/>
        <v>-0.49232340352082316</v>
      </c>
      <c r="DY123" s="97">
        <f t="shared" si="37"/>
        <v>0.20810153708261583</v>
      </c>
      <c r="DZ123" s="97">
        <f t="shared" si="34"/>
        <v>-0.21402561824129787</v>
      </c>
      <c r="EA123" s="97">
        <f t="shared" si="33"/>
        <v>-0.23819495462573717</v>
      </c>
      <c r="EB123" s="97">
        <f t="shared" si="33"/>
        <v>-0.18367948263200437</v>
      </c>
      <c r="EC123" s="97">
        <f t="shared" si="33"/>
        <v>-4.7188622840173784E-2</v>
      </c>
      <c r="ED123" s="97">
        <f t="shared" si="33"/>
        <v>-6.5667871144008405E-3</v>
      </c>
      <c r="EE123" s="97">
        <f t="shared" si="33"/>
        <v>0.25231465103654793</v>
      </c>
      <c r="EF123" s="97">
        <f t="shared" si="33"/>
        <v>-0.14923335318203168</v>
      </c>
      <c r="EG123" s="97">
        <f t="shared" si="33"/>
        <v>-7.8356445308967015E-2</v>
      </c>
      <c r="EH123" s="97">
        <f t="shared" si="33"/>
        <v>-0.18196732035127136</v>
      </c>
      <c r="EI123" s="97">
        <f t="shared" si="33"/>
        <v>-9.7474755289225667E-2</v>
      </c>
      <c r="EJ123" s="97">
        <f t="shared" si="33"/>
        <v>-8.5691083273742086E-2</v>
      </c>
      <c r="EK123" s="97">
        <f t="shared" si="33"/>
        <v>-0.30200676513839125</v>
      </c>
      <c r="EL123" s="97">
        <f t="shared" si="33"/>
        <v>4.664819017354449E-2</v>
      </c>
      <c r="EM123" s="97">
        <f t="shared" si="33"/>
        <v>0.52183403088150904</v>
      </c>
      <c r="EN123" s="97">
        <f t="shared" si="33"/>
        <v>4.854778789002645E-2</v>
      </c>
      <c r="EO123" s="97">
        <f t="shared" si="33"/>
        <v>-6.3451340821128688E-2</v>
      </c>
    </row>
    <row r="124" spans="1:145" outlineLevel="1" x14ac:dyDescent="0.25">
      <c r="A124">
        <v>2025</v>
      </c>
      <c r="B124">
        <v>2</v>
      </c>
      <c r="C124" s="97">
        <f t="shared" si="38"/>
        <v>-1.5929555695107459E-2</v>
      </c>
      <c r="D124" s="97">
        <f t="shared" si="38"/>
        <v>0</v>
      </c>
      <c r="E124" s="97">
        <f t="shared" si="38"/>
        <v>-0.20081537483422932</v>
      </c>
      <c r="F124" s="97">
        <f t="shared" si="38"/>
        <v>-5.7451597142818341E-2</v>
      </c>
      <c r="G124" s="97">
        <f t="shared" si="38"/>
        <v>-0.38157697566224374</v>
      </c>
      <c r="H124" s="97">
        <f t="shared" si="38"/>
        <v>-8.6568063006272178E-2</v>
      </c>
      <c r="I124" s="97">
        <f t="shared" si="38"/>
        <v>-0.10460459268663762</v>
      </c>
      <c r="J124" s="97">
        <f t="shared" si="38"/>
        <v>-0.18792070615702261</v>
      </c>
      <c r="K124" s="97">
        <f t="shared" si="38"/>
        <v>4.6402074201153054E-2</v>
      </c>
      <c r="L124" s="97">
        <f t="shared" si="38"/>
        <v>-0.24787886589746203</v>
      </c>
      <c r="M124" s="97">
        <f t="shared" si="38"/>
        <v>5.2188189835928649E-2</v>
      </c>
      <c r="N124" s="97">
        <f t="shared" si="38"/>
        <v>-0.35055407699228625</v>
      </c>
      <c r="O124" s="97">
        <f t="shared" si="38"/>
        <v>-3.234729672938919E-3</v>
      </c>
      <c r="P124" s="97">
        <f t="shared" si="38"/>
        <v>-7.6082411792144256E-2</v>
      </c>
      <c r="Q124" s="97">
        <f t="shared" si="38"/>
        <v>-0.11156806300627221</v>
      </c>
      <c r="R124" s="97">
        <f t="shared" si="38"/>
        <v>1.876002865391468E-3</v>
      </c>
      <c r="S124" s="97">
        <f t="shared" si="38"/>
        <v>-0.88731510061575192</v>
      </c>
      <c r="T124" s="97">
        <f t="shared" si="38"/>
        <v>-3.6501612304386651E-2</v>
      </c>
      <c r="U124" s="97">
        <f t="shared" si="38"/>
        <v>-0.22139578050103711</v>
      </c>
      <c r="V124" s="97">
        <f t="shared" si="38"/>
        <v>-1.9689068881287861E-3</v>
      </c>
      <c r="W124" s="97">
        <f t="shared" si="38"/>
        <v>-1.3038651241566446E-2</v>
      </c>
      <c r="X124" s="97">
        <f t="shared" si="38"/>
        <v>0.19477391207043909</v>
      </c>
      <c r="Y124" s="97">
        <f t="shared" si="38"/>
        <v>-0.22845995489816423</v>
      </c>
      <c r="Z124" s="97">
        <f t="shared" si="38"/>
        <v>-0.14013738454019553</v>
      </c>
      <c r="AA124" s="97">
        <f t="shared" si="38"/>
        <v>5.4798672769522661E-3</v>
      </c>
      <c r="AB124" s="97">
        <f t="shared" si="38"/>
        <v>8.1308343643806714E-3</v>
      </c>
      <c r="AC124" s="97">
        <f t="shared" si="38"/>
        <v>-0.14468856071419622</v>
      </c>
      <c r="AD124" s="97">
        <f t="shared" si="38"/>
        <v>-0.13604722967293881</v>
      </c>
      <c r="AE124" s="97">
        <f t="shared" si="38"/>
        <v>-1.563142388781491E-2</v>
      </c>
      <c r="AF124" s="97">
        <f t="shared" si="38"/>
        <v>-0.37405077393296654</v>
      </c>
      <c r="AG124" s="97">
        <f t="shared" si="38"/>
        <v>-9.774022417843331E-2</v>
      </c>
      <c r="AH124" s="97">
        <f t="shared" si="38"/>
        <v>-7.8826127522401257E-2</v>
      </c>
      <c r="AI124" s="97">
        <f t="shared" si="38"/>
        <v>-0.49219372020921653</v>
      </c>
      <c r="AJ124" s="97">
        <f t="shared" si="38"/>
        <v>-3.1374442801155311E-2</v>
      </c>
      <c r="AK124" s="97">
        <f t="shared" si="38"/>
        <v>-0.13388799600459722</v>
      </c>
      <c r="AL124" s="97">
        <f t="shared" si="38"/>
        <v>-9.8813808128729641E-2</v>
      </c>
      <c r="AM124" s="97">
        <f t="shared" si="38"/>
        <v>-9.79747177183663E-2</v>
      </c>
      <c r="AN124" s="97">
        <f t="shared" si="38"/>
        <v>-4.1713886796163842E-2</v>
      </c>
      <c r="AO124" s="97">
        <f t="shared" si="38"/>
        <v>1.1472077482031682</v>
      </c>
      <c r="AP124" s="97">
        <f t="shared" si="38"/>
        <v>5.5286588372849277E-3</v>
      </c>
      <c r="AQ124" s="97">
        <f t="shared" si="38"/>
        <v>-0.28413360607743321</v>
      </c>
      <c r="AR124" s="97">
        <f t="shared" si="38"/>
        <v>-0.3898518300446861</v>
      </c>
      <c r="AS124" s="97">
        <f t="shared" si="38"/>
        <v>-4.218263053282767E-2</v>
      </c>
      <c r="AT124" s="97">
        <f t="shared" si="38"/>
        <v>-3.7080883519092778E-2</v>
      </c>
      <c r="AU124" s="97">
        <f t="shared" si="38"/>
        <v>0.23412790768969849</v>
      </c>
      <c r="AV124" s="97">
        <f t="shared" si="38"/>
        <v>3.9902525229021935E-2</v>
      </c>
      <c r="AW124" s="97">
        <f t="shared" si="38"/>
        <v>-7.4722676472606331E-2</v>
      </c>
      <c r="AX124" s="97">
        <f t="shared" si="38"/>
        <v>-5.0352753460679141E-2</v>
      </c>
      <c r="AY124" s="97">
        <f t="shared" si="38"/>
        <v>0.33647818898734827</v>
      </c>
      <c r="AZ124" s="97">
        <f t="shared" si="38"/>
        <v>4.1146086361420364E-2</v>
      </c>
      <c r="BA124" s="97">
        <f t="shared" si="38"/>
        <v>-5.3514059281877469E-2</v>
      </c>
      <c r="BB124" s="97">
        <f t="shared" si="38"/>
        <v>-0.11522567989918332</v>
      </c>
      <c r="BC124" s="97">
        <f t="shared" si="38"/>
        <v>-6.5590109056829937E-2</v>
      </c>
      <c r="BD124" s="97">
        <f t="shared" si="38"/>
        <v>-6.9258998052667664E-2</v>
      </c>
      <c r="BE124" s="97">
        <f t="shared" si="38"/>
        <v>-0.392685596724962</v>
      </c>
      <c r="BF124" s="97">
        <f t="shared" si="38"/>
        <v>-0.18362688653568413</v>
      </c>
      <c r="BG124" s="97">
        <f t="shared" si="38"/>
        <v>-9.6669073107282344E-2</v>
      </c>
      <c r="BH124" s="97">
        <f t="shared" si="38"/>
        <v>-4.7574352314448287E-2</v>
      </c>
      <c r="BI124" s="97">
        <f t="shared" si="38"/>
        <v>-8.5052911491120708E-2</v>
      </c>
      <c r="BJ124" s="97">
        <f t="shared" si="38"/>
        <v>-0.30128486894870493</v>
      </c>
      <c r="BK124" s="97">
        <f t="shared" si="38"/>
        <v>-0.2764093328475421</v>
      </c>
      <c r="BL124" s="97">
        <f t="shared" si="38"/>
        <v>-0.13013697367603411</v>
      </c>
      <c r="BM124" s="97">
        <f t="shared" si="38"/>
        <v>-8.9172229672938919E-2</v>
      </c>
      <c r="BN124" s="97">
        <f t="shared" si="38"/>
        <v>-0.10032599203078796</v>
      </c>
      <c r="BO124" s="97">
        <f t="shared" si="37"/>
        <v>-9.6417969197641895E-2</v>
      </c>
      <c r="BP124" s="97">
        <f t="shared" si="37"/>
        <v>-9.7829324267533435E-2</v>
      </c>
      <c r="BQ124" s="97">
        <f t="shared" si="37"/>
        <v>-4.1861339114998897E-2</v>
      </c>
      <c r="BR124" s="97">
        <f t="shared" si="37"/>
        <v>-7.5306801745011032E-2</v>
      </c>
      <c r="BS124" s="97">
        <f t="shared" si="37"/>
        <v>5.5786162508886239E-3</v>
      </c>
      <c r="BT124" s="97">
        <f t="shared" si="37"/>
        <v>-0.13135972967293891</v>
      </c>
      <c r="BU124" s="97">
        <f t="shared" si="37"/>
        <v>-0.24275568775677123</v>
      </c>
      <c r="BV124" s="97">
        <f t="shared" si="37"/>
        <v>-0.30581274866886832</v>
      </c>
      <c r="BW124" s="97">
        <f t="shared" si="37"/>
        <v>0.15082171480724108</v>
      </c>
      <c r="BX124" s="97">
        <f t="shared" si="37"/>
        <v>9.002998587418376E-2</v>
      </c>
      <c r="BY124" s="97">
        <f t="shared" si="37"/>
        <v>-0.37119589472148262</v>
      </c>
      <c r="BZ124" s="97">
        <f t="shared" si="37"/>
        <v>-0.19678311676971311</v>
      </c>
      <c r="CA124" s="97">
        <f t="shared" si="37"/>
        <v>-0.17272625509666772</v>
      </c>
      <c r="CB124" s="97">
        <f t="shared" si="37"/>
        <v>4.5499719061509854E-2</v>
      </c>
      <c r="CC124" s="97">
        <f t="shared" si="37"/>
        <v>0.13384878198005817</v>
      </c>
      <c r="CD124" s="97">
        <f t="shared" si="37"/>
        <v>-0.29258658152479095</v>
      </c>
      <c r="CE124" s="97">
        <f t="shared" si="37"/>
        <v>8.5310597101481367E-2</v>
      </c>
      <c r="CF124" s="97">
        <f t="shared" si="37"/>
        <v>0.16744360730736749</v>
      </c>
      <c r="CG124" s="97" t="str">
        <f t="shared" si="37"/>
        <v/>
      </c>
      <c r="CH124" s="97">
        <f t="shared" si="37"/>
        <v>-4.4193770631979941E-2</v>
      </c>
      <c r="CI124" s="97">
        <f t="shared" si="37"/>
        <v>-0.16990139633960552</v>
      </c>
      <c r="CJ124" s="97">
        <f t="shared" si="37"/>
        <v>-6.9718915146496974E-2</v>
      </c>
      <c r="CK124" s="97">
        <f t="shared" si="37"/>
        <v>-9.4143820582029858E-2</v>
      </c>
      <c r="CL124" s="97">
        <f t="shared" si="37"/>
        <v>1.2116412597096062E-2</v>
      </c>
      <c r="CM124" s="97">
        <f t="shared" si="37"/>
        <v>-0.19494457423252431</v>
      </c>
      <c r="CN124" s="97">
        <f t="shared" si="37"/>
        <v>-0.25157910053386612</v>
      </c>
      <c r="CO124" s="97">
        <f t="shared" si="37"/>
        <v>-0.12627453666932012</v>
      </c>
      <c r="CP124" s="97">
        <f t="shared" si="37"/>
        <v>-0.15042087685908612</v>
      </c>
      <c r="CQ124" s="97">
        <f t="shared" si="37"/>
        <v>-7.596200240021167E-2</v>
      </c>
      <c r="CR124" s="97">
        <f t="shared" si="37"/>
        <v>-2.721943811210004E-2</v>
      </c>
      <c r="CS124" s="97">
        <f t="shared" si="37"/>
        <v>-2.759667862885529E-2</v>
      </c>
      <c r="CT124" s="97">
        <f t="shared" si="37"/>
        <v>-2.181581075402006E-2</v>
      </c>
      <c r="CU124" s="97">
        <f t="shared" si="37"/>
        <v>-7.0199015387224839E-2</v>
      </c>
      <c r="CV124" s="97">
        <f t="shared" si="37"/>
        <v>3.9407395382362605E-2</v>
      </c>
      <c r="CW124" s="97">
        <f t="shared" si="37"/>
        <v>0.10071212456699859</v>
      </c>
      <c r="CX124" s="97">
        <f t="shared" si="37"/>
        <v>-8.9827969323527546E-2</v>
      </c>
      <c r="CY124" s="97">
        <f t="shared" si="37"/>
        <v>-0.15861934505755421</v>
      </c>
      <c r="CZ124" s="97">
        <f t="shared" si="37"/>
        <v>-6.6283948313099481E-3</v>
      </c>
      <c r="DA124" s="97">
        <f t="shared" si="37"/>
        <v>-8.1698836517680284E-2</v>
      </c>
      <c r="DB124" s="97">
        <f t="shared" si="37"/>
        <v>-0.68323472967293886</v>
      </c>
      <c r="DC124" s="97">
        <f t="shared" si="37"/>
        <v>0.16095551472418099</v>
      </c>
      <c r="DD124" s="97">
        <f t="shared" si="37"/>
        <v>0.70128482976496476</v>
      </c>
      <c r="DE124" s="97">
        <f t="shared" si="37"/>
        <v>-0.6535743792975367</v>
      </c>
      <c r="DF124" s="97">
        <f t="shared" si="37"/>
        <v>4.6115919677710344E-2</v>
      </c>
      <c r="DG124" s="97">
        <f t="shared" si="37"/>
        <v>9.7484694787492776E-2</v>
      </c>
      <c r="DH124" s="97">
        <f t="shared" si="37"/>
        <v>-0.39202205447488903</v>
      </c>
      <c r="DI124" s="97">
        <f t="shared" si="37"/>
        <v>-0.25824905632050332</v>
      </c>
      <c r="DJ124" s="97">
        <f t="shared" si="37"/>
        <v>-0.24132996776817703</v>
      </c>
      <c r="DK124" s="97">
        <f t="shared" si="37"/>
        <v>5.1686316715988667E-3</v>
      </c>
      <c r="DL124" s="97">
        <f t="shared" si="37"/>
        <v>-0.4302801290417177</v>
      </c>
      <c r="DM124" s="97">
        <f t="shared" si="37"/>
        <v>-1.5282922444023298E-2</v>
      </c>
      <c r="DN124" s="97">
        <f t="shared" si="37"/>
        <v>-4.0617907243032381E-2</v>
      </c>
      <c r="DO124" s="97">
        <f t="shared" si="37"/>
        <v>-0.62062089170723822</v>
      </c>
      <c r="DP124" s="97">
        <f t="shared" si="37"/>
        <v>-8.5174529004042654E-2</v>
      </c>
      <c r="DQ124" s="97">
        <f t="shared" si="37"/>
        <v>2.1500252659216512E-2</v>
      </c>
      <c r="DR124" s="97">
        <f t="shared" si="37"/>
        <v>-0.15936855866922142</v>
      </c>
      <c r="DS124" s="97">
        <f t="shared" si="37"/>
        <v>-0.16768612399141683</v>
      </c>
      <c r="DT124" s="97">
        <f t="shared" si="37"/>
        <v>-0.50481809742731043</v>
      </c>
      <c r="DU124" s="97">
        <f t="shared" si="37"/>
        <v>-0.17585377729198662</v>
      </c>
      <c r="DV124" s="97">
        <f t="shared" si="37"/>
        <v>-0.18018946218322701</v>
      </c>
      <c r="DW124" s="97">
        <f t="shared" si="37"/>
        <v>-0.17588046958325293</v>
      </c>
      <c r="DX124" s="97">
        <f t="shared" si="37"/>
        <v>-0.3473411935512658</v>
      </c>
      <c r="DY124" s="97">
        <f t="shared" si="37"/>
        <v>-0.12213236746821451</v>
      </c>
      <c r="DZ124" s="97">
        <f t="shared" si="34"/>
        <v>-0.30323472967293891</v>
      </c>
      <c r="EA124" s="97">
        <f t="shared" si="33"/>
        <v>-0.52817507736070168</v>
      </c>
      <c r="EB124" s="97">
        <f t="shared" si="33"/>
        <v>-0.54856440000260931</v>
      </c>
      <c r="EC124" s="97">
        <f t="shared" si="33"/>
        <v>0.14397339215447219</v>
      </c>
      <c r="ED124" s="97">
        <f t="shared" si="33"/>
        <v>0.22138065494244577</v>
      </c>
      <c r="EE124" s="97">
        <f t="shared" si="33"/>
        <v>-0.14212361856182792</v>
      </c>
      <c r="EF124" s="97">
        <f t="shared" si="33"/>
        <v>-6.8017886052280097E-2</v>
      </c>
      <c r="EG124" s="97">
        <f t="shared" si="33"/>
        <v>-9.1848507750946816E-4</v>
      </c>
      <c r="EH124" s="97">
        <f t="shared" si="33"/>
        <v>-0.23425042976906191</v>
      </c>
      <c r="EI124" s="97">
        <f t="shared" si="33"/>
        <v>-0.18496966813406301</v>
      </c>
      <c r="EJ124" s="97">
        <f t="shared" si="33"/>
        <v>-0.21716507793164533</v>
      </c>
      <c r="EK124" s="97">
        <f t="shared" si="33"/>
        <v>6.9105695858975968E-2</v>
      </c>
      <c r="EL124" s="97">
        <f t="shared" si="33"/>
        <v>7.2607966956274472E-2</v>
      </c>
      <c r="EM124" s="97">
        <f t="shared" si="33"/>
        <v>-0.30778018421839354</v>
      </c>
      <c r="EN124" s="97">
        <f t="shared" si="33"/>
        <v>-2.4650762440639348E-2</v>
      </c>
      <c r="EO124" s="97">
        <f t="shared" si="33"/>
        <v>1.8448943796448791E-2</v>
      </c>
    </row>
    <row r="125" spans="1:145" ht="15.75" outlineLevel="1" thickBot="1" x14ac:dyDescent="0.3">
      <c r="C125" s="97"/>
    </row>
    <row r="126" spans="1:145" s="112" customFormat="1" ht="15.75" outlineLevel="1" thickBot="1" x14ac:dyDescent="0.3">
      <c r="A126" s="110" t="s">
        <v>915</v>
      </c>
      <c r="B126" s="111"/>
      <c r="C126" s="111">
        <f>SLOPE(C65:C124,$C$65:$C$124)</f>
        <v>1</v>
      </c>
      <c r="D126" s="111">
        <f>SLOPE(D65:D124,$C$65:$C$124)</f>
        <v>0</v>
      </c>
      <c r="E126" s="111">
        <f>SLOPE(E65:E124,$C$65:$C$124)</f>
        <v>0.56374778464525921</v>
      </c>
      <c r="F126" s="111">
        <f>SLOPE(F65:F124,$C$65:$C$124)</f>
        <v>1.1600879663876502</v>
      </c>
      <c r="G126" s="111">
        <f>SLOPE(G65:G124,$C$65:$C$124)</f>
        <v>0.58929290228428111</v>
      </c>
      <c r="H126" s="111">
        <f t="shared" ref="H126:BS126" si="39">SLOPE(H65:H124,$C$65:$C$124)</f>
        <v>2.0362951975336507</v>
      </c>
      <c r="I126" s="111">
        <f t="shared" si="39"/>
        <v>-0.30599348288236711</v>
      </c>
      <c r="J126" s="111">
        <f t="shared" si="39"/>
        <v>0.77462925769514113</v>
      </c>
      <c r="K126" s="111">
        <f t="shared" si="39"/>
        <v>1.0313914036296274</v>
      </c>
      <c r="L126" s="111">
        <f t="shared" si="39"/>
        <v>-1.0973368131652201</v>
      </c>
      <c r="M126" s="111">
        <f t="shared" si="39"/>
        <v>0.61521230730966581</v>
      </c>
      <c r="N126" s="111">
        <f t="shared" si="39"/>
        <v>2.1030198530161921</v>
      </c>
      <c r="O126" s="111">
        <f t="shared" si="39"/>
        <v>0.22377924402773175</v>
      </c>
      <c r="P126" s="111">
        <f t="shared" si="39"/>
        <v>2.7201174516614093</v>
      </c>
      <c r="Q126" s="111">
        <f t="shared" si="39"/>
        <v>1.0515391716373121</v>
      </c>
      <c r="R126" s="111">
        <f t="shared" si="39"/>
        <v>1.9509977491496178</v>
      </c>
      <c r="S126" s="111">
        <f t="shared" si="39"/>
        <v>0.35673655798275666</v>
      </c>
      <c r="T126" s="111">
        <f t="shared" si="39"/>
        <v>0.85718506833179053</v>
      </c>
      <c r="U126" s="111">
        <f t="shared" si="39"/>
        <v>3.0390195094699237</v>
      </c>
      <c r="V126" s="111">
        <f t="shared" si="39"/>
        <v>1.5664249435346509</v>
      </c>
      <c r="W126" s="111">
        <f t="shared" si="39"/>
        <v>9.1516699237752991E-2</v>
      </c>
      <c r="X126" s="111">
        <f t="shared" si="39"/>
        <v>0.98023827482409787</v>
      </c>
      <c r="Y126" s="111">
        <f t="shared" si="39"/>
        <v>-1.6660619111598007</v>
      </c>
      <c r="Z126" s="111">
        <f t="shared" si="39"/>
        <v>0.38590711859960997</v>
      </c>
      <c r="AA126" s="111">
        <f t="shared" si="39"/>
        <v>2.8914095846994963</v>
      </c>
      <c r="AB126" s="111">
        <f t="shared" si="39"/>
        <v>0.44306941885926027</v>
      </c>
      <c r="AC126" s="111">
        <f t="shared" si="39"/>
        <v>1.0510852137501558</v>
      </c>
      <c r="AD126" s="111">
        <f t="shared" si="39"/>
        <v>1.1419479734439493</v>
      </c>
      <c r="AE126" s="111">
        <f t="shared" si="39"/>
        <v>0.52364233439327823</v>
      </c>
      <c r="AF126" s="111">
        <f t="shared" si="39"/>
        <v>0.96105715410552794</v>
      </c>
      <c r="AG126" s="111">
        <f t="shared" si="39"/>
        <v>-1.0689327736818022</v>
      </c>
      <c r="AH126" s="111">
        <f t="shared" si="39"/>
        <v>2.0917790423896228</v>
      </c>
      <c r="AI126" s="111">
        <f t="shared" si="39"/>
        <v>1.155728185311772</v>
      </c>
      <c r="AJ126" s="111">
        <f t="shared" si="39"/>
        <v>2.0693116253414776</v>
      </c>
      <c r="AK126" s="111">
        <f t="shared" si="39"/>
        <v>2.3436856040352039</v>
      </c>
      <c r="AL126" s="111">
        <f t="shared" si="39"/>
        <v>0.98312768373608661</v>
      </c>
      <c r="AM126" s="111">
        <f t="shared" si="39"/>
        <v>0.60926384117968324</v>
      </c>
      <c r="AN126" s="111">
        <f t="shared" si="39"/>
        <v>0.92794030492264412</v>
      </c>
      <c r="AO126" s="111">
        <f t="shared" si="39"/>
        <v>-0.19317500327678783</v>
      </c>
      <c r="AP126" s="111">
        <f t="shared" si="39"/>
        <v>1.5121539244216222</v>
      </c>
      <c r="AQ126" s="111">
        <f t="shared" si="39"/>
        <v>0.76791234050222024</v>
      </c>
      <c r="AR126" s="111">
        <f t="shared" si="39"/>
        <v>1.2018667142191506</v>
      </c>
      <c r="AS126" s="111">
        <f t="shared" si="39"/>
        <v>0.93787718074187354</v>
      </c>
      <c r="AT126" s="111">
        <f t="shared" si="39"/>
        <v>1.3904381367451475</v>
      </c>
      <c r="AU126" s="111">
        <f t="shared" si="39"/>
        <v>1.0918331766050189</v>
      </c>
      <c r="AV126" s="111">
        <f t="shared" si="39"/>
        <v>0.90944070765521157</v>
      </c>
      <c r="AW126" s="111">
        <f t="shared" si="39"/>
        <v>1.4324888571613734</v>
      </c>
      <c r="AX126" s="111">
        <f t="shared" si="39"/>
        <v>1.0286487615355637</v>
      </c>
      <c r="AY126" s="111">
        <f t="shared" si="39"/>
        <v>0.26830849935313955</v>
      </c>
      <c r="AZ126" s="111">
        <f t="shared" si="39"/>
        <v>1.290322490318339</v>
      </c>
      <c r="BA126" s="111">
        <f t="shared" si="39"/>
        <v>1.014273428644866</v>
      </c>
      <c r="BB126" s="111">
        <f t="shared" si="39"/>
        <v>1.3317045148664626</v>
      </c>
      <c r="BC126" s="111">
        <f t="shared" si="39"/>
        <v>0.11868666932401312</v>
      </c>
      <c r="BD126" s="111">
        <f t="shared" si="39"/>
        <v>0.22692257543189781</v>
      </c>
      <c r="BE126" s="111">
        <f t="shared" si="39"/>
        <v>1.3000637303148395</v>
      </c>
      <c r="BF126" s="111">
        <f t="shared" si="39"/>
        <v>1.3747939045592925</v>
      </c>
      <c r="BG126" s="111">
        <f t="shared" si="39"/>
        <v>2.214379130780435</v>
      </c>
      <c r="BH126" s="111">
        <f t="shared" si="39"/>
        <v>0.94626126342588035</v>
      </c>
      <c r="BI126" s="111">
        <f t="shared" si="39"/>
        <v>-3.6010091552594723</v>
      </c>
      <c r="BJ126" s="111">
        <f t="shared" si="39"/>
        <v>1.652492801691922</v>
      </c>
      <c r="BK126" s="111">
        <f t="shared" si="39"/>
        <v>0.80825174765303465</v>
      </c>
      <c r="BL126" s="111">
        <f t="shared" si="39"/>
        <v>0.83752601868103815</v>
      </c>
      <c r="BM126" s="111">
        <f t="shared" si="39"/>
        <v>0.66950830232705438</v>
      </c>
      <c r="BN126" s="111">
        <f t="shared" si="39"/>
        <v>8.6290309303904955</v>
      </c>
      <c r="BO126" s="111">
        <f t="shared" si="39"/>
        <v>1.2047218807597471</v>
      </c>
      <c r="BP126" s="111">
        <f t="shared" si="39"/>
        <v>0.52052229514717563</v>
      </c>
      <c r="BQ126" s="111">
        <f t="shared" si="39"/>
        <v>0.56699120799745639</v>
      </c>
      <c r="BR126" s="111">
        <f t="shared" si="39"/>
        <v>0.27594647089889329</v>
      </c>
      <c r="BS126" s="111">
        <f t="shared" si="39"/>
        <v>0.69776748192638183</v>
      </c>
      <c r="BT126" s="111">
        <f t="shared" ref="BT126:EE126" si="40">SLOPE(BT65:BT124,$C$65:$C$124)</f>
        <v>2.417385605596408</v>
      </c>
      <c r="BU126" s="111">
        <f t="shared" si="40"/>
        <v>1.0982123034862838</v>
      </c>
      <c r="BV126" s="111">
        <f t="shared" si="40"/>
        <v>0.86208349413702456</v>
      </c>
      <c r="BW126" s="111">
        <f t="shared" si="40"/>
        <v>0.44494593166697849</v>
      </c>
      <c r="BX126" s="111">
        <f t="shared" si="40"/>
        <v>0.47642870203833154</v>
      </c>
      <c r="BY126" s="111" t="e">
        <f t="shared" si="40"/>
        <v>#DIV/0!</v>
      </c>
      <c r="BZ126" s="111">
        <f t="shared" si="40"/>
        <v>-0.46850152848163351</v>
      </c>
      <c r="CA126" s="111">
        <f t="shared" si="40"/>
        <v>0.92723955131441882</v>
      </c>
      <c r="CB126" s="111">
        <f t="shared" si="40"/>
        <v>1.0177848658025055</v>
      </c>
      <c r="CC126" s="111">
        <f t="shared" si="40"/>
        <v>0.33176971558848856</v>
      </c>
      <c r="CD126" s="111">
        <f t="shared" si="40"/>
        <v>1.4346853048282961</v>
      </c>
      <c r="CE126" s="111">
        <f t="shared" si="40"/>
        <v>6.5926448971708185E-2</v>
      </c>
      <c r="CF126" s="111">
        <f t="shared" si="40"/>
        <v>-0.17566985127228052</v>
      </c>
      <c r="CG126" s="111" t="e">
        <f t="shared" si="40"/>
        <v>#DIV/0!</v>
      </c>
      <c r="CH126" s="111">
        <f t="shared" si="40"/>
        <v>-1.6853797123072698</v>
      </c>
      <c r="CI126" s="111">
        <f t="shared" si="40"/>
        <v>1.7032684316231512</v>
      </c>
      <c r="CJ126" s="111">
        <f t="shared" si="40"/>
        <v>0.35092769279755459</v>
      </c>
      <c r="CK126" s="111">
        <f t="shared" si="40"/>
        <v>0.7493134307244903</v>
      </c>
      <c r="CL126" s="111">
        <f t="shared" si="40"/>
        <v>0.64339606070204058</v>
      </c>
      <c r="CM126" s="111">
        <f t="shared" si="40"/>
        <v>2.4164854631847335</v>
      </c>
      <c r="CN126" s="111">
        <f t="shared" si="40"/>
        <v>1.2137271980682445</v>
      </c>
      <c r="CO126" s="111">
        <f t="shared" si="40"/>
        <v>0.31763195521360232</v>
      </c>
      <c r="CP126" s="111">
        <f t="shared" si="40"/>
        <v>1.5390634581528715</v>
      </c>
      <c r="CQ126" s="111">
        <f t="shared" si="40"/>
        <v>1.2989599053843648</v>
      </c>
      <c r="CR126" s="111">
        <f t="shared" si="40"/>
        <v>0.77500293256268271</v>
      </c>
      <c r="CS126" s="111">
        <f t="shared" si="40"/>
        <v>1.9972468807446015</v>
      </c>
      <c r="CT126" s="111">
        <f t="shared" si="40"/>
        <v>-0.29772998121718663</v>
      </c>
      <c r="CU126" s="111">
        <f t="shared" si="40"/>
        <v>1.6306554717117709</v>
      </c>
      <c r="CV126" s="111">
        <f t="shared" si="40"/>
        <v>0.57421025665675751</v>
      </c>
      <c r="CW126" s="111">
        <f t="shared" si="40"/>
        <v>0.46256269866124211</v>
      </c>
      <c r="CX126" s="111">
        <f t="shared" si="40"/>
        <v>0.87027388813523432</v>
      </c>
      <c r="CY126" s="111">
        <f t="shared" si="40"/>
        <v>0.77879924262309785</v>
      </c>
      <c r="CZ126" s="111">
        <f t="shared" si="40"/>
        <v>0.63078467783904413</v>
      </c>
      <c r="DA126" s="111">
        <f t="shared" si="40"/>
        <v>0.61920330768282528</v>
      </c>
      <c r="DB126" s="111">
        <f t="shared" si="40"/>
        <v>1.3270634488670054</v>
      </c>
      <c r="DC126" s="111">
        <f t="shared" si="40"/>
        <v>0.4840153022148645</v>
      </c>
      <c r="DD126" s="111">
        <f t="shared" si="40"/>
        <v>-0.44058933356314262</v>
      </c>
      <c r="DE126" s="111">
        <f t="shared" si="40"/>
        <v>1.9941981323457956</v>
      </c>
      <c r="DF126" s="111">
        <f t="shared" si="40"/>
        <v>1.6317412585059474</v>
      </c>
      <c r="DG126" s="111">
        <f t="shared" si="40"/>
        <v>-4.0706916704804426E-2</v>
      </c>
      <c r="DH126" s="111">
        <f t="shared" si="40"/>
        <v>1.5855872793936727</v>
      </c>
      <c r="DI126" s="111">
        <f t="shared" si="40"/>
        <v>0.65540942164298632</v>
      </c>
      <c r="DJ126" s="111">
        <f t="shared" si="40"/>
        <v>-0.10426740547729457</v>
      </c>
      <c r="DK126" s="111">
        <f t="shared" si="40"/>
        <v>-1.1578361329155475</v>
      </c>
      <c r="DL126" s="111">
        <f t="shared" si="40"/>
        <v>1.1776517661336172</v>
      </c>
      <c r="DM126" s="111">
        <f t="shared" si="40"/>
        <v>0.40699969206029352</v>
      </c>
      <c r="DN126" s="111">
        <f t="shared" si="40"/>
        <v>1.6544188125306707</v>
      </c>
      <c r="DO126" s="111">
        <f t="shared" si="40"/>
        <v>-0.22369776084547699</v>
      </c>
      <c r="DP126" s="111">
        <f t="shared" si="40"/>
        <v>0.99907203287000013</v>
      </c>
      <c r="DQ126" s="111">
        <f t="shared" si="40"/>
        <v>0.13109598269730791</v>
      </c>
      <c r="DR126" s="111">
        <f t="shared" si="40"/>
        <v>1.5949456593462388</v>
      </c>
      <c r="DS126" s="111">
        <f t="shared" si="40"/>
        <v>0.83399647527430709</v>
      </c>
      <c r="DT126" s="111">
        <f t="shared" si="40"/>
        <v>4.4598282388831114</v>
      </c>
      <c r="DU126" s="111">
        <f t="shared" si="40"/>
        <v>0.9614881908446542</v>
      </c>
      <c r="DV126" s="111">
        <f t="shared" si="40"/>
        <v>-0.38466446434282214</v>
      </c>
      <c r="DW126" s="111">
        <f t="shared" si="40"/>
        <v>-0.33453840536591423</v>
      </c>
      <c r="DX126" s="111">
        <f t="shared" si="40"/>
        <v>2.6886930425557551</v>
      </c>
      <c r="DY126" s="111">
        <f t="shared" si="40"/>
        <v>0.18552774985243209</v>
      </c>
      <c r="DZ126" s="111">
        <f t="shared" si="40"/>
        <v>2.1532262669645297</v>
      </c>
      <c r="EA126" s="111">
        <f t="shared" si="40"/>
        <v>2.3929955493621229</v>
      </c>
      <c r="EB126" s="111">
        <f t="shared" si="40"/>
        <v>1.462019984412591</v>
      </c>
      <c r="EC126" s="111">
        <f t="shared" si="40"/>
        <v>0.88320727743003768</v>
      </c>
      <c r="ED126" s="111">
        <f t="shared" si="40"/>
        <v>1.2011068796096642</v>
      </c>
      <c r="EE126" s="111">
        <f t="shared" si="40"/>
        <v>1.1791691504268087</v>
      </c>
      <c r="EF126" s="111">
        <f t="shared" ref="EF126:EO126" si="41">SLOPE(EF65:EF124,$C$65:$C$124)</f>
        <v>-0.41826992643613592</v>
      </c>
      <c r="EG126" s="111">
        <f t="shared" si="41"/>
        <v>1.440285682751258</v>
      </c>
      <c r="EH126" s="111">
        <f t="shared" si="41"/>
        <v>1.0455176210223276</v>
      </c>
      <c r="EI126" s="111">
        <f t="shared" si="41"/>
        <v>0.81254761316336488</v>
      </c>
      <c r="EJ126" s="111">
        <f t="shared" si="41"/>
        <v>0.56279358118223988</v>
      </c>
      <c r="EK126" s="111">
        <f t="shared" si="41"/>
        <v>1.1236067043915341</v>
      </c>
      <c r="EL126" s="111">
        <f t="shared" si="41"/>
        <v>1.6074607638692207</v>
      </c>
      <c r="EM126" s="111">
        <f t="shared" si="41"/>
        <v>2.2541967773845606</v>
      </c>
      <c r="EN126" s="111">
        <f t="shared" si="41"/>
        <v>0.94650828077512417</v>
      </c>
      <c r="EO126" s="111">
        <f t="shared" si="41"/>
        <v>1.972284719313558</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0102-4E13-4AAC-A050-48E0AEB5A6C0}">
  <sheetPr>
    <tabColor rgb="FFFFFF00"/>
    <pageSetUpPr fitToPage="1"/>
  </sheetPr>
  <dimension ref="A1:X28"/>
  <sheetViews>
    <sheetView workbookViewId="0">
      <selection activeCell="O32" sqref="O32"/>
    </sheetView>
  </sheetViews>
  <sheetFormatPr defaultRowHeight="15" x14ac:dyDescent="0.25"/>
  <cols>
    <col min="1" max="1" width="2.28515625" customWidth="1"/>
    <col min="2" max="2" width="15" customWidth="1"/>
    <col min="3" max="3" width="1.42578125" customWidth="1"/>
    <col min="4" max="4" width="9.140625" customWidth="1"/>
    <col min="5" max="5" width="28.7109375" customWidth="1"/>
    <col min="6" max="6" width="1.7109375" customWidth="1"/>
    <col min="7" max="7" width="11.28515625" customWidth="1"/>
    <col min="8" max="8" width="1.85546875" customWidth="1"/>
    <col min="9" max="10" width="10.42578125" customWidth="1"/>
    <col min="11" max="11" width="1.7109375" customWidth="1"/>
    <col min="16" max="16" width="1.7109375" customWidth="1"/>
    <col min="17" max="19" width="10.7109375" customWidth="1"/>
  </cols>
  <sheetData>
    <row r="1" spans="1:24" ht="18.75" x14ac:dyDescent="0.3">
      <c r="A1" s="47" t="s">
        <v>778</v>
      </c>
    </row>
    <row r="3" spans="1:24" s="40" customFormat="1" ht="17.25" x14ac:dyDescent="0.4">
      <c r="C3" s="41"/>
      <c r="I3" s="42" t="s">
        <v>780</v>
      </c>
      <c r="J3" s="42"/>
      <c r="K3" s="41"/>
      <c r="L3" s="42" t="s">
        <v>781</v>
      </c>
      <c r="M3" s="42"/>
      <c r="N3" s="42"/>
      <c r="O3" s="42"/>
      <c r="P3" s="41"/>
    </row>
    <row r="4" spans="1:24" s="40" customFormat="1" ht="21.75" x14ac:dyDescent="0.4">
      <c r="C4" s="41"/>
      <c r="D4" s="42" t="s">
        <v>832</v>
      </c>
      <c r="E4" s="42"/>
      <c r="F4" s="41"/>
      <c r="G4" s="41"/>
      <c r="H4" s="43"/>
      <c r="I4" s="44" t="s">
        <v>782</v>
      </c>
      <c r="J4" s="42"/>
      <c r="K4" s="41"/>
      <c r="L4" s="42" t="s">
        <v>826</v>
      </c>
      <c r="M4" s="42"/>
      <c r="N4" s="42"/>
      <c r="O4" s="42"/>
      <c r="P4" s="41"/>
    </row>
    <row r="5" spans="1:24" s="40" customFormat="1" ht="21.75" x14ac:dyDescent="0.4">
      <c r="C5" s="41"/>
      <c r="D5" s="42" t="s">
        <v>476</v>
      </c>
      <c r="E5" s="42" t="s">
        <v>0</v>
      </c>
      <c r="F5" s="41"/>
      <c r="G5" s="42" t="s">
        <v>785</v>
      </c>
      <c r="H5" s="41"/>
      <c r="I5" s="42" t="s">
        <v>827</v>
      </c>
      <c r="J5" s="42" t="s">
        <v>828</v>
      </c>
      <c r="K5" s="41"/>
      <c r="L5" s="44" t="s">
        <v>779</v>
      </c>
      <c r="M5" s="44" t="s">
        <v>772</v>
      </c>
      <c r="N5" s="44" t="s">
        <v>773</v>
      </c>
      <c r="O5" s="44" t="s">
        <v>783</v>
      </c>
      <c r="P5" s="41"/>
      <c r="Q5" s="44" t="s">
        <v>777</v>
      </c>
      <c r="R5" s="44"/>
      <c r="S5" s="44"/>
      <c r="T5" s="44"/>
      <c r="U5" s="44"/>
      <c r="V5" s="44"/>
      <c r="W5" s="44"/>
      <c r="X5" s="44"/>
    </row>
    <row r="6" spans="1:24" s="34" customFormat="1" ht="4.5" customHeight="1" x14ac:dyDescent="0.4">
      <c r="C6"/>
      <c r="D6" s="35"/>
      <c r="E6" s="35"/>
      <c r="F6" s="35"/>
      <c r="G6" s="35"/>
      <c r="H6" s="35"/>
      <c r="I6" s="35"/>
      <c r="J6" s="35"/>
      <c r="K6"/>
      <c r="L6" s="36"/>
      <c r="M6" s="36"/>
      <c r="N6" s="36"/>
      <c r="O6" s="36"/>
      <c r="P6"/>
    </row>
    <row r="7" spans="1:24" x14ac:dyDescent="0.25">
      <c r="D7" t="s">
        <v>481</v>
      </c>
      <c r="E7" t="s">
        <v>799</v>
      </c>
      <c r="G7" t="s">
        <v>786</v>
      </c>
      <c r="I7" s="5">
        <f>VLOOKUP($D7,Screening!$C$9:$S$149,2,FALSE)</f>
        <v>45042.7</v>
      </c>
      <c r="J7" s="5">
        <f>VLOOKUP($D7,Screening!$C$9:$S$149,3,FALSE)</f>
        <v>19268.3</v>
      </c>
      <c r="L7" s="3">
        <v>0.376</v>
      </c>
      <c r="M7" s="3">
        <v>0.317</v>
      </c>
      <c r="N7" s="3">
        <v>0.31</v>
      </c>
      <c r="O7" s="3">
        <f>AVERAGE(L7:N7)</f>
        <v>0.33433333333333337</v>
      </c>
    </row>
    <row r="8" spans="1:24" s="34" customFormat="1" ht="6.75" customHeight="1" thickBot="1" x14ac:dyDescent="0.45">
      <c r="C8"/>
      <c r="D8" s="35"/>
      <c r="E8" s="35"/>
      <c r="F8" s="35"/>
      <c r="G8" s="35"/>
      <c r="H8" s="35"/>
      <c r="I8" s="35"/>
      <c r="J8" s="35"/>
      <c r="K8"/>
      <c r="L8" s="36"/>
      <c r="M8" s="36"/>
      <c r="N8" s="36"/>
      <c r="O8" s="3"/>
      <c r="P8"/>
    </row>
    <row r="9" spans="1:24" x14ac:dyDescent="0.25">
      <c r="B9" s="201" t="s">
        <v>774</v>
      </c>
      <c r="D9" t="s">
        <v>477</v>
      </c>
      <c r="E9" t="s">
        <v>791</v>
      </c>
      <c r="G9" t="s">
        <v>786</v>
      </c>
      <c r="I9" s="5">
        <f>VLOOKUP($D9,Screening!$C$9:$S$149,2,FALSE)</f>
        <v>88821</v>
      </c>
      <c r="J9" s="5">
        <f>VLOOKUP($D9,Screening!$C$9:$S$149,3,FALSE)</f>
        <v>29940</v>
      </c>
      <c r="L9" s="3">
        <v>0.34399999999999997</v>
      </c>
      <c r="M9" s="3">
        <v>0.35699999999999998</v>
      </c>
      <c r="N9" s="3">
        <v>0.34399999999999997</v>
      </c>
      <c r="O9" s="3">
        <f t="shared" ref="O9:O21" si="0">AVERAGE(L9:N9)</f>
        <v>0.34833333333333333</v>
      </c>
      <c r="Q9" s="210" t="s">
        <v>833</v>
      </c>
      <c r="R9" s="210"/>
      <c r="S9" s="210"/>
      <c r="T9" s="210"/>
      <c r="U9" s="210"/>
      <c r="V9" s="210"/>
      <c r="W9" s="210"/>
      <c r="X9" s="210"/>
    </row>
    <row r="10" spans="1:24" ht="16.5" x14ac:dyDescent="0.25">
      <c r="B10" s="202"/>
      <c r="D10" t="s">
        <v>478</v>
      </c>
      <c r="E10" t="s">
        <v>788</v>
      </c>
      <c r="G10" t="s">
        <v>786</v>
      </c>
      <c r="I10" s="5">
        <f>VLOOKUP($D10,Screening!$C$9:$S$149,2,FALSE)</f>
        <v>64168</v>
      </c>
      <c r="J10" s="5">
        <f>VLOOKUP($D10,Screening!$C$9:$S$149,3,FALSE)</f>
        <v>29134</v>
      </c>
      <c r="L10" s="3">
        <v>0.36499999999999999</v>
      </c>
      <c r="M10" s="45" t="s">
        <v>825</v>
      </c>
      <c r="N10" s="3">
        <v>0.38</v>
      </c>
      <c r="O10" s="3">
        <f t="shared" si="0"/>
        <v>0.3725</v>
      </c>
      <c r="Q10" s="210"/>
      <c r="R10" s="210"/>
      <c r="S10" s="210"/>
      <c r="T10" s="210"/>
      <c r="U10" s="210"/>
      <c r="V10" s="210"/>
      <c r="W10" s="210"/>
      <c r="X10" s="210"/>
    </row>
    <row r="11" spans="1:24" ht="16.5" x14ac:dyDescent="0.25">
      <c r="B11" s="202"/>
      <c r="D11" t="s">
        <v>479</v>
      </c>
      <c r="E11" t="s">
        <v>789</v>
      </c>
      <c r="G11" t="s">
        <v>786</v>
      </c>
      <c r="I11" s="5">
        <f>VLOOKUP($D11,Screening!$C$9:$S$149,2,FALSE)</f>
        <v>63627</v>
      </c>
      <c r="J11" s="5">
        <f>VLOOKUP($D11,Screening!$C$9:$S$149,3,FALSE)</f>
        <v>23322</v>
      </c>
      <c r="L11" s="3">
        <v>0.309</v>
      </c>
      <c r="M11" s="45" t="s">
        <v>824</v>
      </c>
      <c r="N11" s="3">
        <v>0.44800000000000001</v>
      </c>
      <c r="O11" s="3">
        <f t="shared" si="0"/>
        <v>0.3785</v>
      </c>
      <c r="Q11" s="210"/>
      <c r="R11" s="210"/>
      <c r="S11" s="210"/>
      <c r="T11" s="210"/>
      <c r="U11" s="210"/>
      <c r="V11" s="210"/>
      <c r="W11" s="210"/>
      <c r="X11" s="210"/>
    </row>
    <row r="12" spans="1:24" ht="15.75" thickBot="1" x14ac:dyDescent="0.3">
      <c r="B12" s="203"/>
      <c r="D12" t="s">
        <v>480</v>
      </c>
      <c r="E12" t="s">
        <v>790</v>
      </c>
      <c r="G12" t="s">
        <v>786</v>
      </c>
      <c r="I12" s="5">
        <f>VLOOKUP($D12,Screening!$C$9:$S$149,2,FALSE)</f>
        <v>48300</v>
      </c>
      <c r="J12" s="5">
        <f>VLOOKUP($D12,Screening!$C$9:$S$149,3,FALSE)</f>
        <v>19407</v>
      </c>
      <c r="L12" s="3">
        <v>0.35</v>
      </c>
      <c r="M12" s="3">
        <v>0.379</v>
      </c>
      <c r="N12" s="3">
        <v>0.40200000000000002</v>
      </c>
      <c r="O12" s="3">
        <f t="shared" si="0"/>
        <v>0.377</v>
      </c>
      <c r="Q12" s="210"/>
      <c r="R12" s="210"/>
      <c r="S12" s="210"/>
      <c r="T12" s="210"/>
      <c r="U12" s="210"/>
      <c r="V12" s="210"/>
      <c r="W12" s="210"/>
      <c r="X12" s="210"/>
    </row>
    <row r="13" spans="1:24" ht="15.75" thickBot="1" x14ac:dyDescent="0.3">
      <c r="O13" s="3"/>
    </row>
    <row r="14" spans="1:24" x14ac:dyDescent="0.25">
      <c r="B14" s="204" t="s">
        <v>775</v>
      </c>
      <c r="D14" t="s">
        <v>606</v>
      </c>
      <c r="E14" t="s">
        <v>794</v>
      </c>
      <c r="G14" t="s">
        <v>786</v>
      </c>
      <c r="I14" s="5">
        <f>VLOOKUP($D14,Screening!$C$9:$S$149,2,FALSE)</f>
        <v>14739.3</v>
      </c>
      <c r="J14" s="5">
        <f>VLOOKUP($D14,Screening!$C$9:$S$149,3,FALSE)</f>
        <v>4483.2</v>
      </c>
      <c r="L14" s="3">
        <v>0.317</v>
      </c>
      <c r="M14" s="3">
        <v>0.33</v>
      </c>
      <c r="N14" s="3">
        <v>0.35799999999999998</v>
      </c>
      <c r="O14" s="3">
        <f t="shared" si="0"/>
        <v>0.33499999999999996</v>
      </c>
      <c r="Q14" t="s">
        <v>800</v>
      </c>
    </row>
    <row r="15" spans="1:24" x14ac:dyDescent="0.25">
      <c r="B15" s="205"/>
      <c r="D15" t="s">
        <v>482</v>
      </c>
      <c r="E15" t="s">
        <v>793</v>
      </c>
      <c r="G15" t="s">
        <v>786</v>
      </c>
      <c r="I15" s="5">
        <f>VLOOKUP($D15,Screening!$C$9:$S$149,2,FALSE)</f>
        <v>9256</v>
      </c>
      <c r="J15" s="5">
        <f>VLOOKUP($D15,Screening!$C$9:$S$149,3,FALSE)</f>
        <v>3829</v>
      </c>
      <c r="L15" s="3">
        <v>0.44</v>
      </c>
      <c r="M15" s="3">
        <v>0.438</v>
      </c>
      <c r="N15" s="3">
        <v>0.44400000000000001</v>
      </c>
      <c r="O15" s="3">
        <f t="shared" si="0"/>
        <v>0.44066666666666671</v>
      </c>
      <c r="Q15" t="s">
        <v>801</v>
      </c>
    </row>
    <row r="16" spans="1:24" x14ac:dyDescent="0.25">
      <c r="B16" s="205"/>
      <c r="D16" t="s">
        <v>483</v>
      </c>
      <c r="E16" t="s">
        <v>792</v>
      </c>
      <c r="G16" t="s">
        <v>786</v>
      </c>
      <c r="I16" s="5">
        <f>VLOOKUP($D16,Screening!$C$9:$S$149,2,FALSE)</f>
        <v>6403</v>
      </c>
      <c r="J16" s="5">
        <f>VLOOKUP($D16,Screening!$C$9:$S$149,3,FALSE)</f>
        <v>1765</v>
      </c>
      <c r="L16" s="3">
        <v>0.30599999999999999</v>
      </c>
      <c r="M16" s="3">
        <v>0.317</v>
      </c>
      <c r="N16" s="3">
        <v>0.33900000000000002</v>
      </c>
      <c r="O16" s="3">
        <f t="shared" si="0"/>
        <v>0.32066666666666666</v>
      </c>
      <c r="Q16" t="s">
        <v>784</v>
      </c>
    </row>
    <row r="17" spans="2:17" ht="15.75" thickBot="1" x14ac:dyDescent="0.3">
      <c r="B17" s="206"/>
      <c r="D17" t="s">
        <v>610</v>
      </c>
      <c r="E17" t="s">
        <v>795</v>
      </c>
      <c r="G17" t="s">
        <v>787</v>
      </c>
      <c r="I17" s="5">
        <f>VLOOKUP($D17,Screening!$C$9:$S$149,2,FALSE)</f>
        <v>4069</v>
      </c>
      <c r="J17" s="5">
        <f>VLOOKUP($D17,Screening!$C$9:$S$149,3,FALSE)</f>
        <v>1521.7</v>
      </c>
      <c r="L17" s="3">
        <v>0.45500000000000002</v>
      </c>
      <c r="M17" s="3">
        <v>0.44400000000000001</v>
      </c>
      <c r="N17" s="3">
        <v>0.32</v>
      </c>
      <c r="O17" s="3">
        <f t="shared" si="0"/>
        <v>0.40633333333333338</v>
      </c>
      <c r="Q17" t="s">
        <v>802</v>
      </c>
    </row>
    <row r="18" spans="2:17" ht="15.75" thickBot="1" x14ac:dyDescent="0.3">
      <c r="B18" s="37"/>
      <c r="I18" s="5"/>
      <c r="J18" s="5"/>
      <c r="O18" s="3"/>
    </row>
    <row r="19" spans="2:17" ht="15" customHeight="1" x14ac:dyDescent="0.25">
      <c r="B19" s="207" t="s">
        <v>776</v>
      </c>
      <c r="D19" t="s">
        <v>484</v>
      </c>
      <c r="E19" t="s">
        <v>796</v>
      </c>
      <c r="G19" t="s">
        <v>786</v>
      </c>
      <c r="I19" s="5">
        <f>VLOOKUP($D19,Screening!$C$9:$S$149,2,FALSE)</f>
        <v>4439</v>
      </c>
      <c r="J19" s="5">
        <f>VLOOKUP($D19,Screening!$C$9:$S$149,3,FALSE)</f>
        <v>879</v>
      </c>
      <c r="L19" s="3">
        <v>0.24</v>
      </c>
      <c r="M19" s="3">
        <v>0.23100000000000001</v>
      </c>
      <c r="N19" s="3">
        <v>0.24199999999999999</v>
      </c>
      <c r="O19" s="3">
        <f t="shared" si="0"/>
        <v>0.23766666666666666</v>
      </c>
      <c r="Q19" t="s">
        <v>803</v>
      </c>
    </row>
    <row r="20" spans="2:17" x14ac:dyDescent="0.25">
      <c r="B20" s="208"/>
      <c r="D20" t="s">
        <v>485</v>
      </c>
      <c r="E20" t="s">
        <v>797</v>
      </c>
      <c r="G20" t="s">
        <v>787</v>
      </c>
      <c r="I20" s="5">
        <f>VLOOKUP($D20,Screening!$C$9:$S$149,2,FALSE)</f>
        <v>4373.3999999999996</v>
      </c>
      <c r="J20" s="5">
        <f>VLOOKUP($D20,Screening!$C$9:$S$149,3,FALSE)</f>
        <v>743.2</v>
      </c>
      <c r="L20" s="3">
        <v>0.214</v>
      </c>
      <c r="M20" s="3">
        <v>0.20100000000000001</v>
      </c>
      <c r="N20" s="3">
        <v>0.187</v>
      </c>
      <c r="O20" s="3">
        <f t="shared" si="0"/>
        <v>0.20066666666666669</v>
      </c>
      <c r="Q20" t="s">
        <v>804</v>
      </c>
    </row>
    <row r="21" spans="2:17" ht="15.75" thickBot="1" x14ac:dyDescent="0.3">
      <c r="B21" s="209"/>
      <c r="D21" t="s">
        <v>661</v>
      </c>
      <c r="E21" t="s">
        <v>798</v>
      </c>
      <c r="G21" t="s">
        <v>786</v>
      </c>
      <c r="I21" s="5">
        <f>VLOOKUP($D21,Screening!$C$9:$S$149,2,FALSE)</f>
        <v>2794</v>
      </c>
      <c r="J21" s="5">
        <f>VLOOKUP($D21,Screening!$C$9:$S$149,3,FALSE)</f>
        <v>584.6</v>
      </c>
      <c r="L21" s="3">
        <v>0.221</v>
      </c>
      <c r="M21" s="3">
        <v>0.18099999999999999</v>
      </c>
      <c r="N21" s="3">
        <v>0.192</v>
      </c>
      <c r="O21" s="3">
        <f t="shared" si="0"/>
        <v>0.19800000000000004</v>
      </c>
      <c r="Q21" t="s">
        <v>805</v>
      </c>
    </row>
    <row r="24" spans="2:17" x14ac:dyDescent="0.25">
      <c r="B24" s="38" t="s">
        <v>831</v>
      </c>
    </row>
    <row r="25" spans="2:17" x14ac:dyDescent="0.25">
      <c r="B25" s="38" t="s">
        <v>843</v>
      </c>
    </row>
    <row r="26" spans="2:17" x14ac:dyDescent="0.25">
      <c r="B26" s="39" t="s">
        <v>829</v>
      </c>
    </row>
    <row r="27" spans="2:17" x14ac:dyDescent="0.25">
      <c r="B27" s="38" t="s">
        <v>830</v>
      </c>
    </row>
    <row r="28" spans="2:17" x14ac:dyDescent="0.25">
      <c r="B28" s="38" t="s">
        <v>823</v>
      </c>
    </row>
  </sheetData>
  <sortState xmlns:xlrd2="http://schemas.microsoft.com/office/spreadsheetml/2017/richdata2" ref="A6:J21">
    <sortCondition descending="1" ref="B9:B21"/>
  </sortState>
  <mergeCells count="4">
    <mergeCell ref="B9:B12"/>
    <mergeCell ref="B14:B17"/>
    <mergeCell ref="B19:B21"/>
    <mergeCell ref="Q9:X12"/>
  </mergeCells>
  <pageMargins left="0.7" right="0.7" top="0.75" bottom="0.75" header="0.3" footer="0.3"/>
  <pageSetup scale="5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F2B64-B3C1-4F70-A453-1B48B7A5F9C6}">
  <sheetPr>
    <tabColor rgb="FFFFFF00"/>
    <pageSetUpPr fitToPage="1"/>
  </sheetPr>
  <dimension ref="A1:Q22"/>
  <sheetViews>
    <sheetView zoomScaleNormal="100" workbookViewId="0">
      <selection activeCell="F4" sqref="F4"/>
    </sheetView>
  </sheetViews>
  <sheetFormatPr defaultColWidth="13.140625" defaultRowHeight="15" outlineLevelCol="1" x14ac:dyDescent="0.25"/>
  <cols>
    <col min="1" max="1" width="39.42578125" bestFit="1" customWidth="1"/>
    <col min="2" max="9" width="12" customWidth="1"/>
    <col min="10" max="10" width="2.85546875" customWidth="1"/>
    <col min="11" max="11" width="12" customWidth="1"/>
    <col min="12" max="12" width="12" hidden="1" customWidth="1" outlineLevel="1"/>
    <col min="13" max="13" width="12" customWidth="1" collapsed="1"/>
    <col min="14" max="16" width="12" customWidth="1"/>
  </cols>
  <sheetData>
    <row r="1" spans="1:17" ht="18.75" x14ac:dyDescent="0.3">
      <c r="A1" s="46" t="s">
        <v>806</v>
      </c>
    </row>
    <row r="2" spans="1:17" ht="15.75" thickBot="1" x14ac:dyDescent="0.3"/>
    <row r="3" spans="1:17" s="48" customFormat="1" ht="38.25" customHeight="1" x14ac:dyDescent="0.4">
      <c r="A3" s="51" t="s">
        <v>0</v>
      </c>
      <c r="B3" s="51" t="s">
        <v>808</v>
      </c>
      <c r="C3" s="51" t="s">
        <v>834</v>
      </c>
      <c r="D3" s="51" t="s">
        <v>818</v>
      </c>
      <c r="E3" s="51" t="s">
        <v>819</v>
      </c>
      <c r="F3" s="51" t="s">
        <v>475</v>
      </c>
      <c r="G3" s="51" t="s">
        <v>835</v>
      </c>
      <c r="H3" s="51" t="s">
        <v>836</v>
      </c>
      <c r="I3" s="51" t="s">
        <v>820</v>
      </c>
      <c r="J3" s="51"/>
      <c r="K3" s="51" t="s">
        <v>845</v>
      </c>
      <c r="L3" s="51" t="s">
        <v>809</v>
      </c>
      <c r="M3" s="52" t="s">
        <v>837</v>
      </c>
      <c r="N3" s="53" t="s">
        <v>838</v>
      </c>
      <c r="O3" s="53" t="s">
        <v>813</v>
      </c>
      <c r="P3" s="54" t="s">
        <v>841</v>
      </c>
      <c r="Q3"/>
    </row>
    <row r="4" spans="1:17" x14ac:dyDescent="0.25">
      <c r="A4" t="s">
        <v>6</v>
      </c>
      <c r="B4" s="4">
        <v>150.97</v>
      </c>
      <c r="C4" s="5">
        <v>363815</v>
      </c>
      <c r="D4" s="5">
        <f>VLOOKUP($A4,Screening!$A$8:$S$149,15,FALSE)</f>
        <v>37834</v>
      </c>
      <c r="E4" s="5">
        <f>VLOOKUP($A4,Screening!$A$8:$S$149,14,FALSE)</f>
        <v>24522</v>
      </c>
      <c r="F4" s="19">
        <f>C4+D4-E4</f>
        <v>377127</v>
      </c>
      <c r="G4" s="5">
        <f>VLOOKUP($A4,Screening!$A$8:$S$149,5,FALSE)</f>
        <v>29940</v>
      </c>
      <c r="H4" s="5">
        <f>VLOOKUP($A4,Screening!$A$8:$S$149,10,FALSE)</f>
        <v>33182.800000000003</v>
      </c>
      <c r="I4" s="4">
        <v>9.98</v>
      </c>
      <c r="J4" s="4"/>
      <c r="K4" s="4">
        <v>11.1</v>
      </c>
      <c r="L4" s="4">
        <v>11.5</v>
      </c>
      <c r="M4" s="55">
        <f>F4/G4</f>
        <v>12.596092184368738</v>
      </c>
      <c r="N4" s="56">
        <f>F4/H4</f>
        <v>11.365134949431631</v>
      </c>
      <c r="O4" s="56">
        <f>IF(B4/I4&gt;0,B4/I4,"NM")</f>
        <v>15.127254509018035</v>
      </c>
      <c r="P4" s="57">
        <f>B4/K4</f>
        <v>13.600900900900902</v>
      </c>
    </row>
    <row r="5" spans="1:17" x14ac:dyDescent="0.25">
      <c r="A5" t="s">
        <v>2</v>
      </c>
      <c r="B5" s="4">
        <v>81.91</v>
      </c>
      <c r="C5" s="5">
        <v>206908</v>
      </c>
      <c r="D5" s="5">
        <f>VLOOKUP($A5,Screening!$A$8:$S$149,15,FALSE)</f>
        <v>38270</v>
      </c>
      <c r="E5" s="5">
        <f>VLOOKUP($A5,Screening!$A$8:$S$149,14,FALSE)</f>
        <v>13689</v>
      </c>
      <c r="F5" s="19">
        <f>C5+D5-E5</f>
        <v>231489</v>
      </c>
      <c r="G5" s="5">
        <f>VLOOKUP($A5,Screening!$A$8:$S$149,5,FALSE)</f>
        <v>29134</v>
      </c>
      <c r="H5" s="5">
        <f>VLOOKUP($A5,Screening!$A$8:$S$149,10,FALSE)</f>
        <v>30606.3</v>
      </c>
      <c r="I5" s="4">
        <v>7.65</v>
      </c>
      <c r="J5" s="4"/>
      <c r="K5" s="4">
        <v>8.9499999999999993</v>
      </c>
      <c r="L5" s="4">
        <v>9.9</v>
      </c>
      <c r="M5" s="55">
        <f>F5/G5</f>
        <v>7.9456648589277137</v>
      </c>
      <c r="N5" s="56">
        <f t="shared" ref="N5:N12" si="0">F5/H5</f>
        <v>7.5634428205957596</v>
      </c>
      <c r="O5" s="56">
        <f t="shared" ref="O5:O12" si="1">IF(B5/I5&gt;0,B5/I5,"NM")</f>
        <v>10.707189542483659</v>
      </c>
      <c r="P5" s="57">
        <f>B5/K5</f>
        <v>9.1519553072625701</v>
      </c>
    </row>
    <row r="6" spans="1:17" x14ac:dyDescent="0.25">
      <c r="A6" t="s">
        <v>3</v>
      </c>
      <c r="B6" s="4">
        <v>22.49</v>
      </c>
      <c r="C6" s="5">
        <v>127551</v>
      </c>
      <c r="D6" s="5">
        <f>VLOOKUP($A6,Screening!$A$8:$S$149,15,FALSE)</f>
        <v>67418</v>
      </c>
      <c r="E6" s="5">
        <f>VLOOKUP($A6,Screening!$A$8:$S$149,14,FALSE)</f>
        <v>20477</v>
      </c>
      <c r="F6" s="19">
        <f t="shared" ref="F6:F7" si="2">C6+D6-E6</f>
        <v>174492</v>
      </c>
      <c r="G6" s="5">
        <f>VLOOKUP($A6,Screening!$A$8:$S$149,5,FALSE)</f>
        <v>23322</v>
      </c>
      <c r="H6" s="5">
        <f>VLOOKUP($A6,Screening!$A$8:$S$149,10,FALSE)</f>
        <v>26638.799999999999</v>
      </c>
      <c r="I6" s="4">
        <v>1.41</v>
      </c>
      <c r="J6" s="4"/>
      <c r="K6" s="4">
        <v>2.5</v>
      </c>
      <c r="L6" s="4">
        <v>2.8</v>
      </c>
      <c r="M6" s="55">
        <f t="shared" ref="M6:M7" si="3">F6/G6</f>
        <v>7.4818626189863648</v>
      </c>
      <c r="N6" s="56">
        <f t="shared" si="0"/>
        <v>6.5502950583359612</v>
      </c>
      <c r="O6" s="56">
        <f t="shared" si="1"/>
        <v>15.950354609929077</v>
      </c>
      <c r="P6" s="57">
        <f t="shared" ref="P6:P7" si="4">B6/K6</f>
        <v>8.9959999999999987</v>
      </c>
    </row>
    <row r="7" spans="1:17" ht="16.5" x14ac:dyDescent="0.25">
      <c r="A7" t="s">
        <v>4</v>
      </c>
      <c r="B7" s="4">
        <v>53.74</v>
      </c>
      <c r="C7" s="5">
        <v>109348</v>
      </c>
      <c r="D7" s="5">
        <f>VLOOKUP($A7,Screening!$A$8:$S$149,15,FALSE)</f>
        <v>51257</v>
      </c>
      <c r="E7" s="5">
        <f>VLOOKUP($A7,Screening!$A$8:$S$149,14,FALSE)</f>
        <v>10859</v>
      </c>
      <c r="F7" s="19">
        <f t="shared" si="2"/>
        <v>149746</v>
      </c>
      <c r="G7" s="5">
        <f>VLOOKUP($A7,Screening!$A$8:$S$149,5,FALSE)</f>
        <v>19407</v>
      </c>
      <c r="H7" s="5">
        <f>VLOOKUP($A7,Screening!$A$8:$S$149,10,FALSE)</f>
        <v>17661.400000000001</v>
      </c>
      <c r="I7" s="49">
        <v>-4.41</v>
      </c>
      <c r="J7" s="50" t="s">
        <v>821</v>
      </c>
      <c r="K7" s="4">
        <v>3.5</v>
      </c>
      <c r="L7" s="4">
        <v>3.6</v>
      </c>
      <c r="M7" s="55">
        <f t="shared" si="3"/>
        <v>7.7160818261452055</v>
      </c>
      <c r="N7" s="56">
        <f t="shared" si="0"/>
        <v>8.4787162965563319</v>
      </c>
      <c r="O7" s="58" t="str">
        <f t="shared" si="1"/>
        <v>NM</v>
      </c>
      <c r="P7" s="57">
        <f t="shared" si="4"/>
        <v>15.354285714285714</v>
      </c>
    </row>
    <row r="8" spans="1:17" x14ac:dyDescent="0.25">
      <c r="H8" s="5"/>
      <c r="M8" s="59"/>
      <c r="N8" s="56"/>
      <c r="O8" s="56"/>
      <c r="P8" s="60"/>
    </row>
    <row r="9" spans="1:17" x14ac:dyDescent="0.25">
      <c r="A9" t="s">
        <v>9</v>
      </c>
      <c r="B9" s="4">
        <v>153.55000000000001</v>
      </c>
      <c r="C9" s="5">
        <v>68758</v>
      </c>
      <c r="D9" s="5">
        <f>VLOOKUP($A9,Screening!$A$8:$S$149,15,FALSE)</f>
        <v>6829</v>
      </c>
      <c r="E9" s="5">
        <f>VLOOKUP($A9,Screening!$A$8:$S$149,14,FALSE)</f>
        <v>1987</v>
      </c>
      <c r="F9" s="19">
        <f>C9+D9-E9</f>
        <v>73600</v>
      </c>
      <c r="G9" s="5">
        <f>VLOOKUP($A9,Screening!$A$8:$S$149,5,FALSE)</f>
        <v>3829</v>
      </c>
      <c r="H9" s="5">
        <f>VLOOKUP($A9,Screening!$A$8:$S$149,10,FALSE)</f>
        <v>4194.1000000000004</v>
      </c>
      <c r="I9" s="4">
        <v>5.92</v>
      </c>
      <c r="J9" s="4"/>
      <c r="K9" s="4">
        <v>6.1</v>
      </c>
      <c r="L9" s="4">
        <v>6.7</v>
      </c>
      <c r="M9" s="55">
        <f>F9/G9</f>
        <v>19.221728910942804</v>
      </c>
      <c r="N9" s="56">
        <f t="shared" si="0"/>
        <v>17.548460933215708</v>
      </c>
      <c r="O9" s="56">
        <f>IF(B9/I9&gt;0,B9/I9,"NM")</f>
        <v>25.937500000000004</v>
      </c>
      <c r="P9" s="57">
        <f>B9/K9</f>
        <v>25.172131147540988</v>
      </c>
    </row>
    <row r="10" spans="1:17" x14ac:dyDescent="0.25">
      <c r="A10" t="s">
        <v>7</v>
      </c>
      <c r="B10" s="4">
        <v>7.79</v>
      </c>
      <c r="C10" s="5">
        <v>9299</v>
      </c>
      <c r="D10" s="5">
        <f>VLOOKUP($A10,Screening!$A$8:$S$149,15,FALSE)</f>
        <v>14305.9</v>
      </c>
      <c r="E10" s="5">
        <f>VLOOKUP($A10,Screening!$A$8:$S$149,14,FALSE)</f>
        <v>1089.9000000000001</v>
      </c>
      <c r="F10" s="19">
        <f>C10+D10-E10</f>
        <v>22515</v>
      </c>
      <c r="G10" s="5">
        <f>VLOOKUP($A10,Screening!$A$8:$S$149,5,FALSE)</f>
        <v>4483.2</v>
      </c>
      <c r="H10" s="5">
        <f>VLOOKUP($A10,Screening!$A$8:$S$149,10,FALSE)</f>
        <v>4019.4</v>
      </c>
      <c r="I10" s="4">
        <v>2.65</v>
      </c>
      <c r="J10" s="4"/>
      <c r="K10" s="4">
        <v>2.2000000000000002</v>
      </c>
      <c r="L10" s="4">
        <v>2.4500000000000002</v>
      </c>
      <c r="M10" s="55">
        <f>F10/G10</f>
        <v>5.0220824411134908</v>
      </c>
      <c r="N10" s="56">
        <f t="shared" si="0"/>
        <v>5.6015823257202566</v>
      </c>
      <c r="O10" s="56">
        <f>IF(B10/I10&gt;0,B10/I10,"NM")</f>
        <v>2.939622641509434</v>
      </c>
      <c r="P10" s="57">
        <f>B10/K10</f>
        <v>3.5409090909090906</v>
      </c>
    </row>
    <row r="11" spans="1:17" x14ac:dyDescent="0.25">
      <c r="A11" t="s">
        <v>8</v>
      </c>
      <c r="B11" s="4">
        <v>12.64</v>
      </c>
      <c r="C11" s="5">
        <v>3260</v>
      </c>
      <c r="D11" s="5">
        <f>VLOOKUP($A11,Screening!$A$8:$S$149,15,FALSE)</f>
        <v>9036</v>
      </c>
      <c r="E11" s="5">
        <f>VLOOKUP($A11,Screening!$A$8:$S$149,14,FALSE)</f>
        <v>675</v>
      </c>
      <c r="F11" s="19">
        <f>C11+D11-E11</f>
        <v>11621</v>
      </c>
      <c r="G11" s="5">
        <f>VLOOKUP($A11,Screening!$A$8:$S$149,5,FALSE)</f>
        <v>1765</v>
      </c>
      <c r="H11" s="5">
        <f>VLOOKUP($A11,Screening!$A$8:$S$149,10,FALSE)</f>
        <v>1965.1</v>
      </c>
      <c r="I11" s="4">
        <v>4.1100000000000003</v>
      </c>
      <c r="J11" s="4"/>
      <c r="K11" s="4">
        <v>4.03</v>
      </c>
      <c r="L11" s="4">
        <v>4.1500000000000004</v>
      </c>
      <c r="M11" s="55">
        <f>F11/G11</f>
        <v>6.5841359773371106</v>
      </c>
      <c r="N11" s="56">
        <f t="shared" si="0"/>
        <v>5.9136939595949318</v>
      </c>
      <c r="O11" s="56">
        <f t="shared" si="1"/>
        <v>3.0754257907542577</v>
      </c>
      <c r="P11" s="57">
        <f>B11/K11</f>
        <v>3.1364764267990073</v>
      </c>
    </row>
    <row r="12" spans="1:17" ht="15.75" thickBot="1" x14ac:dyDescent="0.3">
      <c r="A12" t="s">
        <v>78</v>
      </c>
      <c r="B12" s="4">
        <v>110.12</v>
      </c>
      <c r="C12" s="5">
        <v>6688</v>
      </c>
      <c r="D12" s="5">
        <f>VLOOKUP($A12,Screening!$A$8:$S$149,15,FALSE)</f>
        <v>6166.9</v>
      </c>
      <c r="E12" s="5">
        <f>VLOOKUP($A12,Screening!$A$8:$S$149,14,FALSE)</f>
        <v>2993.8</v>
      </c>
      <c r="F12" s="19">
        <f t="shared" ref="F12" si="5">C12+D12-E12</f>
        <v>9861.0999999999985</v>
      </c>
      <c r="G12" s="5">
        <f>VLOOKUP($A12,Screening!$A$8:$S$149,5,FALSE)</f>
        <v>1521.7</v>
      </c>
      <c r="H12" s="5">
        <f>VLOOKUP($A12,Screening!$A$8:$S$149,10,FALSE)</f>
        <v>1970.5</v>
      </c>
      <c r="I12" s="4">
        <v>20.2</v>
      </c>
      <c r="J12" s="4"/>
      <c r="K12" s="4">
        <v>22.15</v>
      </c>
      <c r="L12" s="4">
        <v>23.75</v>
      </c>
      <c r="M12" s="61">
        <f t="shared" ref="M12" si="6">F12/G12</f>
        <v>6.4803180653216783</v>
      </c>
      <c r="N12" s="62">
        <f t="shared" si="0"/>
        <v>5.0043643745242319</v>
      </c>
      <c r="O12" s="62">
        <f t="shared" si="1"/>
        <v>5.4514851485148519</v>
      </c>
      <c r="P12" s="63">
        <f t="shared" ref="P12" si="7">B12/K12</f>
        <v>4.9715575620767503</v>
      </c>
    </row>
    <row r="14" spans="1:17" x14ac:dyDescent="0.25">
      <c r="A14" s="38" t="s">
        <v>807</v>
      </c>
    </row>
    <row r="15" spans="1:17" x14ac:dyDescent="0.25">
      <c r="A15" s="38" t="s">
        <v>840</v>
      </c>
    </row>
    <row r="16" spans="1:17" x14ac:dyDescent="0.25">
      <c r="A16" s="38" t="s">
        <v>842</v>
      </c>
    </row>
    <row r="17" spans="1:1" x14ac:dyDescent="0.25">
      <c r="A17" s="39" t="s">
        <v>844</v>
      </c>
    </row>
    <row r="18" spans="1:1" x14ac:dyDescent="0.25">
      <c r="A18" s="39" t="s">
        <v>822</v>
      </c>
    </row>
    <row r="20" spans="1:1" x14ac:dyDescent="0.25">
      <c r="A20" t="s">
        <v>810</v>
      </c>
    </row>
    <row r="21" spans="1:1" x14ac:dyDescent="0.25">
      <c r="A21" t="s">
        <v>812</v>
      </c>
    </row>
    <row r="22" spans="1:1" x14ac:dyDescent="0.25">
      <c r="A22" t="s">
        <v>811</v>
      </c>
    </row>
  </sheetData>
  <conditionalFormatting sqref="A4:P12">
    <cfRule type="expression" dxfId="1" priority="1">
      <formula>MOD(ROW(),2)=0</formula>
    </cfRule>
  </conditionalFormatting>
  <pageMargins left="0.7" right="0.7" top="0.75" bottom="0.75" header="0.3" footer="0.3"/>
  <pageSetup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2F80-CF1A-4CB7-9487-93C042C540C9}">
  <sheetPr>
    <tabColor rgb="FFFFFF00"/>
    <pageSetUpPr fitToPage="1"/>
  </sheetPr>
  <dimension ref="A1:J15"/>
  <sheetViews>
    <sheetView workbookViewId="0">
      <selection activeCell="AA34" sqref="AA34"/>
    </sheetView>
  </sheetViews>
  <sheetFormatPr defaultColWidth="13.140625" defaultRowHeight="15" x14ac:dyDescent="0.25"/>
  <cols>
    <col min="1" max="1" width="39.42578125" bestFit="1" customWidth="1"/>
    <col min="2" max="8" width="12" customWidth="1"/>
  </cols>
  <sheetData>
    <row r="1" spans="1:10" ht="18.75" x14ac:dyDescent="0.3">
      <c r="A1" s="46" t="s">
        <v>815</v>
      </c>
    </row>
    <row r="2" spans="1:10" ht="15.75" thickBot="1" x14ac:dyDescent="0.3"/>
    <row r="3" spans="1:10" s="48" customFormat="1" ht="38.25" customHeight="1" x14ac:dyDescent="0.4">
      <c r="A3" s="51" t="s">
        <v>0</v>
      </c>
      <c r="B3" s="51" t="s">
        <v>814</v>
      </c>
      <c r="C3" s="51" t="s">
        <v>816</v>
      </c>
      <c r="D3" s="51" t="s">
        <v>817</v>
      </c>
      <c r="E3" s="51" t="s">
        <v>475</v>
      </c>
      <c r="F3" s="51" t="s">
        <v>5</v>
      </c>
      <c r="G3" s="52" t="s">
        <v>1</v>
      </c>
      <c r="H3" s="53" t="s">
        <v>771</v>
      </c>
      <c r="I3" s="54" t="s">
        <v>839</v>
      </c>
      <c r="J3"/>
    </row>
    <row r="4" spans="1:10" x14ac:dyDescent="0.25">
      <c r="A4" t="s">
        <v>6</v>
      </c>
      <c r="B4" s="5">
        <f>'Comps Valuation'!C4</f>
        <v>363815</v>
      </c>
      <c r="C4" s="5">
        <f>VLOOKUP($A4,Screening!$A$8:$S$149,15,FALSE)</f>
        <v>37834</v>
      </c>
      <c r="D4" s="5">
        <f>VLOOKUP($A4,Screening!$A$8:$S$149,14,FALSE)</f>
        <v>24522</v>
      </c>
      <c r="E4" s="19">
        <f>B4+C4-D4</f>
        <v>377127</v>
      </c>
      <c r="F4" s="5">
        <f>C4-D4</f>
        <v>13312</v>
      </c>
      <c r="G4" s="64">
        <f>F4/B4</f>
        <v>3.6590025150144992E-2</v>
      </c>
      <c r="H4" s="65">
        <f>F4/E4</f>
        <v>3.5298453836506004E-2</v>
      </c>
      <c r="I4" s="66">
        <f>B4/E4</f>
        <v>0.96470154616349402</v>
      </c>
    </row>
    <row r="5" spans="1:10" x14ac:dyDescent="0.25">
      <c r="A5" t="s">
        <v>2</v>
      </c>
      <c r="B5" s="5">
        <f>'Comps Valuation'!C5</f>
        <v>206908</v>
      </c>
      <c r="C5" s="5">
        <f>VLOOKUP($A5,Screening!$A$8:$S$149,15,FALSE)</f>
        <v>38270</v>
      </c>
      <c r="D5" s="5">
        <f>VLOOKUP($A5,Screening!$A$8:$S$149,14,FALSE)</f>
        <v>13689</v>
      </c>
      <c r="E5" s="19">
        <f>B5+C5-D5</f>
        <v>231489</v>
      </c>
      <c r="F5" s="5">
        <f>C5-D5</f>
        <v>24581</v>
      </c>
      <c r="G5" s="64">
        <f>F5/B5</f>
        <v>0.11880159297852186</v>
      </c>
      <c r="H5" s="65">
        <f>F5/E5</f>
        <v>0.10618647106341986</v>
      </c>
      <c r="I5" s="66">
        <f t="shared" ref="I5:I12" si="0">B5/E5</f>
        <v>0.89381352893658017</v>
      </c>
    </row>
    <row r="6" spans="1:10" x14ac:dyDescent="0.25">
      <c r="A6" t="s">
        <v>3</v>
      </c>
      <c r="B6" s="5">
        <f>'Comps Valuation'!C6</f>
        <v>127551</v>
      </c>
      <c r="C6" s="5">
        <f>VLOOKUP($A6,Screening!$A$8:$S$149,15,FALSE)</f>
        <v>67418</v>
      </c>
      <c r="D6" s="5">
        <f>VLOOKUP($A6,Screening!$A$8:$S$149,14,FALSE)</f>
        <v>20477</v>
      </c>
      <c r="E6" s="19">
        <f t="shared" ref="E6:E9" si="1">B6+C6-D6</f>
        <v>174492</v>
      </c>
      <c r="F6" s="5">
        <f>C6-D6</f>
        <v>46941</v>
      </c>
      <c r="G6" s="64">
        <f>F6/B6</f>
        <v>0.36801749888279983</v>
      </c>
      <c r="H6" s="65">
        <f>F6/E6</f>
        <v>0.26901519840451138</v>
      </c>
      <c r="I6" s="66">
        <f t="shared" si="0"/>
        <v>0.73098480159548862</v>
      </c>
    </row>
    <row r="7" spans="1:10" x14ac:dyDescent="0.25">
      <c r="A7" t="s">
        <v>4</v>
      </c>
      <c r="B7" s="5">
        <f>'Comps Valuation'!C7</f>
        <v>109348</v>
      </c>
      <c r="C7" s="5">
        <f>VLOOKUP($A7,Screening!$A$8:$S$149,15,FALSE)</f>
        <v>51257</v>
      </c>
      <c r="D7" s="5">
        <f>VLOOKUP($A7,Screening!$A$8:$S$149,14,FALSE)</f>
        <v>10859</v>
      </c>
      <c r="E7" s="19">
        <f t="shared" si="1"/>
        <v>149746</v>
      </c>
      <c r="F7" s="5">
        <f>C7-D7</f>
        <v>40398</v>
      </c>
      <c r="G7" s="64">
        <f>F7/B7</f>
        <v>0.36944434283205912</v>
      </c>
      <c r="H7" s="65">
        <f>F7/E7</f>
        <v>0.26977682208539794</v>
      </c>
      <c r="I7" s="66">
        <f t="shared" si="0"/>
        <v>0.73022317791460201</v>
      </c>
    </row>
    <row r="8" spans="1:10" x14ac:dyDescent="0.25">
      <c r="B8" s="5"/>
      <c r="G8" s="59"/>
      <c r="I8" s="66"/>
    </row>
    <row r="9" spans="1:10" x14ac:dyDescent="0.25">
      <c r="A9" t="s">
        <v>7</v>
      </c>
      <c r="B9" s="5">
        <f>'Comps Valuation'!C10</f>
        <v>9299</v>
      </c>
      <c r="C9" s="5">
        <f>VLOOKUP($A9,Screening!$A$8:$S$149,15,FALSE)</f>
        <v>14305.9</v>
      </c>
      <c r="D9" s="5">
        <f>VLOOKUP($A9,Screening!$A$8:$S$149,14,FALSE)</f>
        <v>1089.9000000000001</v>
      </c>
      <c r="E9" s="19">
        <f t="shared" si="1"/>
        <v>22515</v>
      </c>
      <c r="F9" s="5">
        <f>C9-D9</f>
        <v>13216</v>
      </c>
      <c r="G9" s="64">
        <f>F9/B9</f>
        <v>1.4212280890418325</v>
      </c>
      <c r="H9" s="65">
        <f>F9/E9</f>
        <v>0.58698645347546086</v>
      </c>
      <c r="I9" s="66">
        <f t="shared" si="0"/>
        <v>0.4130135465245392</v>
      </c>
    </row>
    <row r="10" spans="1:10" x14ac:dyDescent="0.25">
      <c r="A10" t="s">
        <v>9</v>
      </c>
      <c r="B10" s="5">
        <f>'Comps Valuation'!C9</f>
        <v>68758</v>
      </c>
      <c r="C10" s="5">
        <f>VLOOKUP($A10,Screening!$A$8:$S$149,15,FALSE)</f>
        <v>6829</v>
      </c>
      <c r="D10" s="5">
        <f>VLOOKUP($A10,Screening!$A$8:$S$149,14,FALSE)</f>
        <v>1987</v>
      </c>
      <c r="E10" s="19">
        <f>B10+C10-D10</f>
        <v>73600</v>
      </c>
      <c r="F10" s="5">
        <f>C10-D10</f>
        <v>4842</v>
      </c>
      <c r="G10" s="64">
        <f>F10/B10</f>
        <v>7.04208964775008E-2</v>
      </c>
      <c r="H10" s="65">
        <f>F10/E10</f>
        <v>6.5788043478260866E-2</v>
      </c>
      <c r="I10" s="66">
        <f t="shared" si="0"/>
        <v>0.93421195652173916</v>
      </c>
    </row>
    <row r="11" spans="1:10" x14ac:dyDescent="0.25">
      <c r="A11" t="s">
        <v>8</v>
      </c>
      <c r="B11" s="5">
        <f>'Comps Valuation'!C11</f>
        <v>3260</v>
      </c>
      <c r="C11" s="5">
        <f>VLOOKUP($A11,Screening!$A$8:$S$149,15,FALSE)</f>
        <v>9036</v>
      </c>
      <c r="D11" s="5">
        <f>VLOOKUP($A11,Screening!$A$8:$S$149,14,FALSE)</f>
        <v>675</v>
      </c>
      <c r="E11" s="19">
        <f>B11+C11-D11</f>
        <v>11621</v>
      </c>
      <c r="F11" s="5">
        <f>C11-D11</f>
        <v>8361</v>
      </c>
      <c r="G11" s="64">
        <f>F11/B11</f>
        <v>2.5647239263803683</v>
      </c>
      <c r="H11" s="65">
        <f>F11/E11</f>
        <v>0.71947336718010502</v>
      </c>
      <c r="I11" s="66">
        <f t="shared" si="0"/>
        <v>0.28052663281989504</v>
      </c>
    </row>
    <row r="12" spans="1:10" ht="15.75" thickBot="1" x14ac:dyDescent="0.3">
      <c r="A12" t="s">
        <v>78</v>
      </c>
      <c r="B12" s="5">
        <f>'Comps Valuation'!C12</f>
        <v>6688</v>
      </c>
      <c r="C12" s="5">
        <f>VLOOKUP($A12,Screening!$A$8:$S$149,15,FALSE)</f>
        <v>6166.9</v>
      </c>
      <c r="D12" s="5">
        <f>VLOOKUP($A12,Screening!$A$8:$S$149,14,FALSE)</f>
        <v>2993.8</v>
      </c>
      <c r="E12" s="19">
        <f t="shared" ref="E12" si="2">B12+C12-D12</f>
        <v>9861.0999999999985</v>
      </c>
      <c r="F12" s="5">
        <f>C12-D12</f>
        <v>3173.0999999999995</v>
      </c>
      <c r="G12" s="67">
        <f>F12/B12</f>
        <v>0.47444677033492816</v>
      </c>
      <c r="H12" s="68">
        <f>F12/E12</f>
        <v>0.3217795174980479</v>
      </c>
      <c r="I12" s="69">
        <f t="shared" si="0"/>
        <v>0.67822048250195222</v>
      </c>
    </row>
    <row r="14" spans="1:10" x14ac:dyDescent="0.25">
      <c r="A14" s="38" t="s">
        <v>807</v>
      </c>
    </row>
    <row r="15" spans="1:10" x14ac:dyDescent="0.25">
      <c r="A15" s="38" t="s">
        <v>843</v>
      </c>
    </row>
  </sheetData>
  <conditionalFormatting sqref="A4:I12">
    <cfRule type="expression" dxfId="0" priority="1">
      <formula>MOD(ROW(),2)=0</formula>
    </cfRule>
  </conditionalFormatting>
  <pageMargins left="0.7" right="0.7" top="0.75" bottom="0.75" header="0.3" footer="0.3"/>
  <pageSetup scale="8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9EC03-2A48-48DF-B990-E317BBAED9E2}">
  <sheetPr>
    <tabColor rgb="FFFFFF00"/>
    <outlinePr summaryBelow="0" summaryRight="0"/>
    <pageSetUpPr autoPageBreaks="0"/>
  </sheetPr>
  <dimension ref="A6:S151"/>
  <sheetViews>
    <sheetView zoomScale="130" zoomScaleNormal="130" workbookViewId="0">
      <pane xSplit="1" ySplit="8" topLeftCell="B9" activePane="bottomRight" state="frozen"/>
      <selection activeCell="AA34" sqref="AA34"/>
      <selection pane="topRight" activeCell="AA34" sqref="AA34"/>
      <selection pane="bottomLeft" activeCell="AA34" sqref="AA34"/>
      <selection pane="bottomRight" activeCell="AA34" sqref="AA34"/>
    </sheetView>
  </sheetViews>
  <sheetFormatPr defaultColWidth="9.140625" defaultRowHeight="11.25" x14ac:dyDescent="0.2"/>
  <cols>
    <col min="1" max="1" width="25.85546875" style="7" customWidth="1"/>
    <col min="2" max="3" width="15.85546875" style="7" customWidth="1"/>
    <col min="4" max="17" width="25.85546875" style="7" customWidth="1"/>
    <col min="18" max="18" width="20.85546875" style="7" customWidth="1"/>
    <col min="19" max="19" width="178.42578125" style="7" customWidth="1"/>
    <col min="20" max="16384" width="9.140625" style="7"/>
  </cols>
  <sheetData>
    <row r="6" spans="1:19" ht="15.75" x14ac:dyDescent="0.2">
      <c r="A6" s="6" t="s">
        <v>29</v>
      </c>
    </row>
    <row r="8" spans="1:19" ht="54" x14ac:dyDescent="0.35">
      <c r="A8" s="8" t="s">
        <v>30</v>
      </c>
      <c r="B8" s="8" t="s">
        <v>31</v>
      </c>
      <c r="C8" s="8" t="s">
        <v>476</v>
      </c>
      <c r="D8" s="9" t="s">
        <v>32</v>
      </c>
      <c r="E8" s="9" t="s">
        <v>33</v>
      </c>
      <c r="F8" s="9" t="s">
        <v>34</v>
      </c>
      <c r="G8" s="9" t="s">
        <v>35</v>
      </c>
      <c r="H8" s="9" t="s">
        <v>36</v>
      </c>
      <c r="I8" s="9" t="s">
        <v>37</v>
      </c>
      <c r="J8" s="9" t="s">
        <v>38</v>
      </c>
      <c r="K8" s="9" t="s">
        <v>39</v>
      </c>
      <c r="L8" s="9" t="s">
        <v>40</v>
      </c>
      <c r="M8" s="9" t="s">
        <v>41</v>
      </c>
      <c r="N8" s="9" t="s">
        <v>42</v>
      </c>
      <c r="O8" s="9" t="s">
        <v>43</v>
      </c>
      <c r="P8" s="9" t="s">
        <v>44</v>
      </c>
      <c r="Q8" s="9" t="s">
        <v>45</v>
      </c>
      <c r="R8" s="8" t="s">
        <v>46</v>
      </c>
      <c r="S8" s="8" t="s">
        <v>47</v>
      </c>
    </row>
    <row r="9" spans="1:19" ht="101.25" x14ac:dyDescent="0.2">
      <c r="A9" s="10" t="s">
        <v>6</v>
      </c>
      <c r="B9" s="10" t="s">
        <v>48</v>
      </c>
      <c r="C9" s="10" t="s">
        <v>477</v>
      </c>
      <c r="D9" s="11">
        <v>88821</v>
      </c>
      <c r="E9" s="11">
        <v>29940</v>
      </c>
      <c r="F9" s="11">
        <v>22601</v>
      </c>
      <c r="G9" s="11">
        <v>14066</v>
      </c>
      <c r="H9" s="12">
        <v>5.84</v>
      </c>
      <c r="I9" s="11">
        <v>90047.7</v>
      </c>
      <c r="J9" s="11">
        <v>33182.800000000003</v>
      </c>
      <c r="K9" s="12">
        <v>29485.42</v>
      </c>
      <c r="L9" s="12">
        <v>25500.48</v>
      </c>
      <c r="M9" s="11">
        <v>10.6</v>
      </c>
      <c r="N9" s="11">
        <v>24522</v>
      </c>
      <c r="O9" s="11">
        <v>37834</v>
      </c>
      <c r="P9" s="11">
        <v>389720.6</v>
      </c>
      <c r="Q9" s="12">
        <v>161.72</v>
      </c>
      <c r="R9" s="13" t="s">
        <v>49</v>
      </c>
      <c r="S9" s="14" t="s">
        <v>50</v>
      </c>
    </row>
    <row r="10" spans="1:19" ht="101.25" x14ac:dyDescent="0.2">
      <c r="A10" s="10" t="s">
        <v>2</v>
      </c>
      <c r="B10" s="10" t="s">
        <v>51</v>
      </c>
      <c r="C10" s="10" t="s">
        <v>478</v>
      </c>
      <c r="D10" s="11">
        <v>64168</v>
      </c>
      <c r="E10" s="11">
        <v>29134</v>
      </c>
      <c r="F10" s="11">
        <v>24889</v>
      </c>
      <c r="G10" s="11">
        <v>17117</v>
      </c>
      <c r="H10" s="12">
        <v>6.76</v>
      </c>
      <c r="I10" s="11">
        <v>65163.199999999997</v>
      </c>
      <c r="J10" s="11">
        <v>30606.3</v>
      </c>
      <c r="K10" s="12">
        <v>27459.58</v>
      </c>
      <c r="L10" s="12">
        <v>22732.68</v>
      </c>
      <c r="M10" s="12">
        <v>8.98</v>
      </c>
      <c r="N10" s="11">
        <v>13689</v>
      </c>
      <c r="O10" s="11">
        <v>38270</v>
      </c>
      <c r="P10" s="11">
        <v>222569.1</v>
      </c>
      <c r="Q10" s="12">
        <v>88.11</v>
      </c>
      <c r="R10" s="13" t="s">
        <v>52</v>
      </c>
      <c r="S10" s="14" t="s">
        <v>53</v>
      </c>
    </row>
    <row r="11" spans="1:19" ht="90" x14ac:dyDescent="0.2">
      <c r="A11" s="10" t="s">
        <v>3</v>
      </c>
      <c r="B11" s="10" t="s">
        <v>54</v>
      </c>
      <c r="C11" s="10" t="s">
        <v>479</v>
      </c>
      <c r="D11" s="11">
        <v>63627</v>
      </c>
      <c r="E11" s="11">
        <v>23322</v>
      </c>
      <c r="F11" s="11">
        <v>16328</v>
      </c>
      <c r="G11" s="11">
        <v>8031</v>
      </c>
      <c r="H11" s="12">
        <v>1.42</v>
      </c>
      <c r="I11" s="11">
        <v>62930.5</v>
      </c>
      <c r="J11" s="11">
        <v>26638.799999999999</v>
      </c>
      <c r="K11" s="12">
        <v>21557.439999999999</v>
      </c>
      <c r="L11" s="12">
        <v>16891.57</v>
      </c>
      <c r="M11" s="12">
        <v>2.95</v>
      </c>
      <c r="N11" s="11">
        <v>20477</v>
      </c>
      <c r="O11" s="11">
        <v>67418</v>
      </c>
      <c r="P11" s="11">
        <v>142977.4</v>
      </c>
      <c r="Q11" s="12">
        <v>25.21</v>
      </c>
      <c r="R11" s="13" t="s">
        <v>55</v>
      </c>
      <c r="S11" s="14" t="s">
        <v>56</v>
      </c>
    </row>
    <row r="12" spans="1:19" ht="101.25" x14ac:dyDescent="0.2">
      <c r="A12" s="10" t="s">
        <v>4</v>
      </c>
      <c r="B12" s="10" t="s">
        <v>57</v>
      </c>
      <c r="C12" s="10" t="s">
        <v>480</v>
      </c>
      <c r="D12" s="11">
        <v>48300</v>
      </c>
      <c r="E12" s="11">
        <v>19407</v>
      </c>
      <c r="F12" s="11">
        <v>9832</v>
      </c>
      <c r="G12" s="11">
        <v>-8948</v>
      </c>
      <c r="H12" s="12">
        <v>-4.41</v>
      </c>
      <c r="I12" s="11">
        <v>45717.1</v>
      </c>
      <c r="J12" s="11">
        <v>17661.400000000001</v>
      </c>
      <c r="K12" s="12">
        <v>16713.32</v>
      </c>
      <c r="L12" s="12">
        <v>13733.92</v>
      </c>
      <c r="M12" s="12">
        <v>6.74</v>
      </c>
      <c r="N12" s="11">
        <v>10859</v>
      </c>
      <c r="O12" s="11">
        <v>51257</v>
      </c>
      <c r="P12" s="11">
        <v>120155.6</v>
      </c>
      <c r="Q12" s="12">
        <v>59.21</v>
      </c>
      <c r="R12" s="13" t="s">
        <v>55</v>
      </c>
      <c r="S12" s="14" t="s">
        <v>58</v>
      </c>
    </row>
    <row r="13" spans="1:19" ht="78.75" x14ac:dyDescent="0.2">
      <c r="A13" s="10" t="s">
        <v>59</v>
      </c>
      <c r="B13" s="10" t="s">
        <v>60</v>
      </c>
      <c r="C13" s="10" t="s">
        <v>481</v>
      </c>
      <c r="D13" s="11">
        <v>45042.7</v>
      </c>
      <c r="E13" s="11">
        <v>19268.3</v>
      </c>
      <c r="F13" s="11">
        <v>17501.7</v>
      </c>
      <c r="G13" s="11">
        <v>10590</v>
      </c>
      <c r="H13" s="11">
        <v>11.8</v>
      </c>
      <c r="I13" s="11">
        <v>59453.599999999999</v>
      </c>
      <c r="J13" s="11">
        <v>27676.3</v>
      </c>
      <c r="K13" s="12">
        <v>25426.21</v>
      </c>
      <c r="L13" s="12">
        <v>21002.82</v>
      </c>
      <c r="M13" s="11">
        <v>23.2</v>
      </c>
      <c r="N13" s="11">
        <v>3433.5</v>
      </c>
      <c r="O13" s="11">
        <v>34910.6</v>
      </c>
      <c r="P13" s="11">
        <v>742078.4</v>
      </c>
      <c r="Q13" s="12">
        <v>826.76</v>
      </c>
      <c r="R13" s="13" t="s">
        <v>52</v>
      </c>
      <c r="S13" s="14" t="s">
        <v>61</v>
      </c>
    </row>
    <row r="14" spans="1:19" ht="90" x14ac:dyDescent="0.2">
      <c r="A14" s="10" t="s">
        <v>7</v>
      </c>
      <c r="B14" s="10" t="s">
        <v>62</v>
      </c>
      <c r="C14" s="10" t="s">
        <v>606</v>
      </c>
      <c r="D14" s="11">
        <v>14739.3</v>
      </c>
      <c r="E14" s="11">
        <v>4483.2</v>
      </c>
      <c r="F14" s="11">
        <v>1774.7</v>
      </c>
      <c r="G14" s="11">
        <v>-634.20000000000005</v>
      </c>
      <c r="H14" s="15">
        <v>-0.53100000000000003</v>
      </c>
      <c r="I14" s="11">
        <v>13775.9</v>
      </c>
      <c r="J14" s="11">
        <v>4019.4</v>
      </c>
      <c r="K14" s="12">
        <v>3675.6</v>
      </c>
      <c r="L14" s="12">
        <v>2645.33</v>
      </c>
      <c r="M14" s="12">
        <v>2.2000000000000002</v>
      </c>
      <c r="N14" s="11">
        <v>1089.9000000000001</v>
      </c>
      <c r="O14" s="11">
        <v>14305.9</v>
      </c>
      <c r="P14" s="11">
        <v>10695.5</v>
      </c>
      <c r="Q14" s="12">
        <v>8.9600000000000009</v>
      </c>
      <c r="R14" s="13" t="s">
        <v>63</v>
      </c>
      <c r="S14" s="14" t="s">
        <v>64</v>
      </c>
    </row>
    <row r="15" spans="1:19" ht="67.5" x14ac:dyDescent="0.2">
      <c r="A15" s="10" t="s">
        <v>9</v>
      </c>
      <c r="B15" s="10" t="s">
        <v>65</v>
      </c>
      <c r="C15" s="10" t="s">
        <v>482</v>
      </c>
      <c r="D15" s="11">
        <v>9256</v>
      </c>
      <c r="E15" s="11">
        <v>3829</v>
      </c>
      <c r="F15" s="11">
        <v>3393</v>
      </c>
      <c r="G15" s="11">
        <v>2486</v>
      </c>
      <c r="H15" s="12">
        <v>5.47</v>
      </c>
      <c r="I15" s="11">
        <v>9322.2999999999993</v>
      </c>
      <c r="J15" s="11">
        <v>4194.1000000000004</v>
      </c>
      <c r="K15" s="12">
        <v>3625.95</v>
      </c>
      <c r="L15" s="12">
        <v>2722.54</v>
      </c>
      <c r="M15" s="12">
        <v>6.07</v>
      </c>
      <c r="N15" s="11">
        <v>1987</v>
      </c>
      <c r="O15" s="11">
        <v>6829</v>
      </c>
      <c r="P15" s="11">
        <v>72909.5</v>
      </c>
      <c r="Q15" s="12">
        <v>162.82</v>
      </c>
      <c r="R15" s="13" t="s">
        <v>66</v>
      </c>
      <c r="S15" s="14" t="s">
        <v>67</v>
      </c>
    </row>
    <row r="16" spans="1:19" ht="101.25" x14ac:dyDescent="0.2">
      <c r="A16" s="10" t="s">
        <v>8</v>
      </c>
      <c r="B16" s="10" t="s">
        <v>68</v>
      </c>
      <c r="C16" s="10" t="s">
        <v>483</v>
      </c>
      <c r="D16" s="11">
        <v>6403</v>
      </c>
      <c r="E16" s="11">
        <v>1765</v>
      </c>
      <c r="F16" s="11">
        <v>1488</v>
      </c>
      <c r="G16" s="11">
        <v>864</v>
      </c>
      <c r="H16" s="12">
        <v>3.36</v>
      </c>
      <c r="I16" s="11">
        <v>6289.6</v>
      </c>
      <c r="J16" s="11">
        <v>1965.1</v>
      </c>
      <c r="K16" s="12">
        <v>1802.98</v>
      </c>
      <c r="L16" s="12">
        <v>994.66</v>
      </c>
      <c r="M16" s="12">
        <v>3.85</v>
      </c>
      <c r="N16" s="11">
        <v>675</v>
      </c>
      <c r="O16" s="11">
        <v>9036</v>
      </c>
      <c r="P16" s="11">
        <v>3794.4</v>
      </c>
      <c r="Q16" s="12">
        <v>14.71</v>
      </c>
      <c r="R16" s="13" t="s">
        <v>69</v>
      </c>
      <c r="S16" s="14" t="s">
        <v>70</v>
      </c>
    </row>
    <row r="17" spans="1:19" ht="90" x14ac:dyDescent="0.2">
      <c r="A17" s="10" t="s">
        <v>71</v>
      </c>
      <c r="B17" s="10" t="s">
        <v>72</v>
      </c>
      <c r="C17" s="10" t="s">
        <v>484</v>
      </c>
      <c r="D17" s="11">
        <v>4439</v>
      </c>
      <c r="E17" s="11">
        <v>879</v>
      </c>
      <c r="F17" s="11">
        <v>257</v>
      </c>
      <c r="G17" s="11">
        <v>338</v>
      </c>
      <c r="H17" s="15">
        <v>0.68400000000000005</v>
      </c>
      <c r="I17" s="11">
        <v>4484.8999999999996</v>
      </c>
      <c r="J17" s="11">
        <v>867</v>
      </c>
      <c r="K17" s="12">
        <v>716.66</v>
      </c>
      <c r="L17" s="12">
        <v>418.99</v>
      </c>
      <c r="M17" s="15">
        <v>0.84599999999999997</v>
      </c>
      <c r="N17" s="11">
        <v>468</v>
      </c>
      <c r="O17" s="11">
        <v>4444</v>
      </c>
      <c r="P17" s="11">
        <v>5218.2</v>
      </c>
      <c r="Q17" s="12">
        <v>10.55</v>
      </c>
      <c r="R17" s="13" t="s">
        <v>73</v>
      </c>
      <c r="S17" s="14" t="s">
        <v>74</v>
      </c>
    </row>
    <row r="18" spans="1:19" ht="90" x14ac:dyDescent="0.2">
      <c r="A18" s="10" t="s">
        <v>75</v>
      </c>
      <c r="B18" s="10" t="s">
        <v>76</v>
      </c>
      <c r="C18" s="10" t="s">
        <v>485</v>
      </c>
      <c r="D18" s="11">
        <v>4373.3999999999996</v>
      </c>
      <c r="E18" s="11">
        <v>743.2</v>
      </c>
      <c r="F18" s="11">
        <v>417.3</v>
      </c>
      <c r="G18" s="11">
        <v>-171.8</v>
      </c>
      <c r="H18" s="12">
        <v>-1.17</v>
      </c>
      <c r="I18" s="11">
        <v>4436.3999999999996</v>
      </c>
      <c r="J18" s="11">
        <v>764.9</v>
      </c>
      <c r="K18" s="12">
        <v>666.34</v>
      </c>
      <c r="L18" s="12">
        <v>412.55</v>
      </c>
      <c r="M18" s="12">
        <v>2.97</v>
      </c>
      <c r="N18" s="11">
        <v>558.79999999999995</v>
      </c>
      <c r="O18" s="11">
        <v>3822.3</v>
      </c>
      <c r="P18" s="11">
        <v>3733.5</v>
      </c>
      <c r="Q18" s="12">
        <v>27.36</v>
      </c>
      <c r="R18" s="13" t="s">
        <v>73</v>
      </c>
      <c r="S18" s="14" t="s">
        <v>77</v>
      </c>
    </row>
    <row r="19" spans="1:19" ht="90" x14ac:dyDescent="0.2">
      <c r="A19" s="10" t="s">
        <v>78</v>
      </c>
      <c r="B19" s="10" t="s">
        <v>79</v>
      </c>
      <c r="C19" s="10" t="s">
        <v>610</v>
      </c>
      <c r="D19" s="11">
        <v>4069</v>
      </c>
      <c r="E19" s="11">
        <v>1521.7</v>
      </c>
      <c r="F19" s="11">
        <v>861.6</v>
      </c>
      <c r="G19" s="11">
        <v>560.1</v>
      </c>
      <c r="H19" s="12">
        <v>9.06</v>
      </c>
      <c r="I19" s="11">
        <v>4290</v>
      </c>
      <c r="J19" s="11">
        <v>1970.5</v>
      </c>
      <c r="K19" s="12">
        <v>1891.65</v>
      </c>
      <c r="L19" s="12">
        <v>1460.52</v>
      </c>
      <c r="M19" s="11">
        <v>23.4</v>
      </c>
      <c r="N19" s="11">
        <v>2993.8</v>
      </c>
      <c r="O19" s="11">
        <v>6166.9</v>
      </c>
      <c r="P19" s="11">
        <v>7948.7</v>
      </c>
      <c r="Q19" s="12">
        <v>130.88</v>
      </c>
      <c r="R19" s="13" t="s">
        <v>69</v>
      </c>
      <c r="S19" s="14" t="s">
        <v>80</v>
      </c>
    </row>
    <row r="20" spans="1:19" ht="90" x14ac:dyDescent="0.2">
      <c r="A20" s="10" t="s">
        <v>81</v>
      </c>
      <c r="B20" s="10" t="s">
        <v>82</v>
      </c>
      <c r="C20" s="10" t="s">
        <v>661</v>
      </c>
      <c r="D20" s="11">
        <v>2794</v>
      </c>
      <c r="E20" s="11">
        <v>584.6</v>
      </c>
      <c r="F20" s="11">
        <v>348.4</v>
      </c>
      <c r="G20" s="11">
        <v>-116.9</v>
      </c>
      <c r="H20" s="15">
        <v>-0.378</v>
      </c>
      <c r="I20" s="11">
        <v>3026.8</v>
      </c>
      <c r="J20" s="11">
        <v>663.5</v>
      </c>
      <c r="K20" s="12">
        <v>592.16999999999996</v>
      </c>
      <c r="L20" s="12">
        <v>224.08</v>
      </c>
      <c r="M20" s="15">
        <v>0.68</v>
      </c>
      <c r="N20" s="11">
        <v>112.4</v>
      </c>
      <c r="O20" s="11">
        <v>2593.1</v>
      </c>
      <c r="P20" s="11">
        <v>2591.3000000000002</v>
      </c>
      <c r="Q20" s="12">
        <v>8.36</v>
      </c>
      <c r="R20" s="13" t="s">
        <v>83</v>
      </c>
      <c r="S20" s="14" t="s">
        <v>84</v>
      </c>
    </row>
    <row r="21" spans="1:19" ht="90" x14ac:dyDescent="0.2">
      <c r="A21" s="10" t="s">
        <v>85</v>
      </c>
      <c r="B21" s="10" t="s">
        <v>86</v>
      </c>
      <c r="C21" s="10" t="s">
        <v>486</v>
      </c>
      <c r="D21" s="11">
        <v>1118.2</v>
      </c>
      <c r="E21" s="11">
        <v>361.3</v>
      </c>
      <c r="F21" s="11">
        <v>330.5</v>
      </c>
      <c r="G21" s="11">
        <v>213.9</v>
      </c>
      <c r="H21" s="12">
        <v>4.3</v>
      </c>
      <c r="I21" s="11">
        <v>1150.3</v>
      </c>
      <c r="J21" s="11">
        <v>388</v>
      </c>
      <c r="K21" s="12">
        <v>356.65</v>
      </c>
      <c r="L21" s="12">
        <v>240.09</v>
      </c>
      <c r="M21" s="12">
        <v>4.8</v>
      </c>
      <c r="N21" s="11">
        <v>46.5</v>
      </c>
      <c r="O21" s="11">
        <v>1139.7</v>
      </c>
      <c r="P21" s="11">
        <v>4210.7</v>
      </c>
      <c r="Q21" s="12">
        <v>85</v>
      </c>
      <c r="R21" s="13" t="s">
        <v>69</v>
      </c>
      <c r="S21" s="14" t="s">
        <v>87</v>
      </c>
    </row>
    <row r="22" spans="1:19" ht="90" x14ac:dyDescent="0.2">
      <c r="A22" s="10" t="s">
        <v>88</v>
      </c>
      <c r="B22" s="10" t="s">
        <v>89</v>
      </c>
      <c r="C22" s="10" t="s">
        <v>708</v>
      </c>
      <c r="D22" s="11">
        <v>1106.0999999999999</v>
      </c>
      <c r="E22" s="11">
        <v>138.69999999999999</v>
      </c>
      <c r="F22" s="11">
        <v>101.2</v>
      </c>
      <c r="G22" s="11">
        <v>19.3</v>
      </c>
      <c r="H22" s="15">
        <v>0.47699999999999998</v>
      </c>
      <c r="I22" s="11">
        <v>1346</v>
      </c>
      <c r="J22" s="11">
        <v>203.8</v>
      </c>
      <c r="K22" s="12">
        <v>152.58000000000001</v>
      </c>
      <c r="L22" s="12">
        <v>83.55</v>
      </c>
      <c r="M22" s="12">
        <v>1.95</v>
      </c>
      <c r="N22" s="11">
        <v>127.8</v>
      </c>
      <c r="O22" s="11">
        <v>530.6</v>
      </c>
      <c r="P22" s="11">
        <v>876.5</v>
      </c>
      <c r="Q22" s="12">
        <v>21.64</v>
      </c>
      <c r="R22" s="13" t="s">
        <v>90</v>
      </c>
      <c r="S22" s="14" t="s">
        <v>91</v>
      </c>
    </row>
    <row r="23" spans="1:19" ht="78.75" x14ac:dyDescent="0.2">
      <c r="A23" s="10" t="s">
        <v>92</v>
      </c>
      <c r="B23" s="10" t="s">
        <v>93</v>
      </c>
      <c r="C23" s="10" t="s">
        <v>725</v>
      </c>
      <c r="D23" s="11">
        <v>829.2</v>
      </c>
      <c r="E23" s="11">
        <v>31.3</v>
      </c>
      <c r="F23" s="11">
        <v>-99.1</v>
      </c>
      <c r="G23" s="11">
        <v>-249</v>
      </c>
      <c r="H23" s="15">
        <v>-0.309</v>
      </c>
      <c r="I23" s="11">
        <v>940.7</v>
      </c>
      <c r="J23" s="11">
        <v>69.900000000000006</v>
      </c>
      <c r="K23" s="12">
        <v>-99.7</v>
      </c>
      <c r="L23" s="12">
        <v>-53.85</v>
      </c>
      <c r="M23" s="15">
        <v>-0.09</v>
      </c>
      <c r="N23" s="11">
        <v>260.5</v>
      </c>
      <c r="O23" s="11">
        <v>387.3</v>
      </c>
      <c r="P23" s="11">
        <v>614.4</v>
      </c>
      <c r="Q23" s="15">
        <v>0.65500000000000003</v>
      </c>
      <c r="R23" s="13" t="s">
        <v>94</v>
      </c>
      <c r="S23" s="14" t="s">
        <v>95</v>
      </c>
    </row>
    <row r="24" spans="1:19" ht="101.25" x14ac:dyDescent="0.2">
      <c r="A24" s="10" t="s">
        <v>96</v>
      </c>
      <c r="B24" s="10" t="s">
        <v>97</v>
      </c>
      <c r="C24" s="10" t="s">
        <v>622</v>
      </c>
      <c r="D24" s="11">
        <v>732</v>
      </c>
      <c r="E24" s="11">
        <v>258.39999999999998</v>
      </c>
      <c r="F24" s="11">
        <v>205.4</v>
      </c>
      <c r="G24" s="11">
        <v>159.5</v>
      </c>
      <c r="H24" s="12">
        <v>3.29</v>
      </c>
      <c r="I24" s="11">
        <v>731.9</v>
      </c>
      <c r="J24" s="11">
        <v>251.6</v>
      </c>
      <c r="K24" s="12">
        <v>211.04</v>
      </c>
      <c r="L24" s="12">
        <v>160.69</v>
      </c>
      <c r="M24" s="12">
        <v>3.16</v>
      </c>
      <c r="N24" s="11">
        <v>221.6</v>
      </c>
      <c r="O24" s="11">
        <v>650.5</v>
      </c>
      <c r="P24" s="11">
        <v>1351.8</v>
      </c>
      <c r="Q24" s="12">
        <v>28.37</v>
      </c>
      <c r="R24" s="13" t="s">
        <v>94</v>
      </c>
      <c r="S24" s="14" t="s">
        <v>98</v>
      </c>
    </row>
    <row r="25" spans="1:19" ht="90" x14ac:dyDescent="0.2">
      <c r="A25" s="10" t="s">
        <v>99</v>
      </c>
      <c r="B25" s="10" t="s">
        <v>100</v>
      </c>
      <c r="C25" s="10" t="s">
        <v>618</v>
      </c>
      <c r="D25" s="11">
        <v>714.7</v>
      </c>
      <c r="E25" s="11">
        <v>214.9</v>
      </c>
      <c r="F25" s="11">
        <v>190.8</v>
      </c>
      <c r="G25" s="11">
        <v>145.5</v>
      </c>
      <c r="H25" s="12">
        <v>2.56</v>
      </c>
      <c r="I25" s="11">
        <v>842.1</v>
      </c>
      <c r="J25" s="11">
        <v>313.39999999999998</v>
      </c>
      <c r="K25" s="12">
        <v>248.83</v>
      </c>
      <c r="L25" s="12">
        <v>269.19</v>
      </c>
      <c r="M25" s="12">
        <v>3.14</v>
      </c>
      <c r="N25" s="11">
        <v>467.2</v>
      </c>
      <c r="O25" s="11">
        <v>181.4</v>
      </c>
      <c r="P25" s="11">
        <v>1904.4</v>
      </c>
      <c r="Q25" s="12">
        <v>33.21</v>
      </c>
      <c r="R25" s="13" t="s">
        <v>94</v>
      </c>
      <c r="S25" s="14" t="s">
        <v>101</v>
      </c>
    </row>
    <row r="26" spans="1:19" ht="67.5" x14ac:dyDescent="0.2">
      <c r="A26" s="10" t="s">
        <v>102</v>
      </c>
      <c r="B26" s="10" t="s">
        <v>103</v>
      </c>
      <c r="C26" s="10" t="s">
        <v>614</v>
      </c>
      <c r="D26" s="11">
        <v>701</v>
      </c>
      <c r="E26" s="11">
        <v>176.4</v>
      </c>
      <c r="F26" s="11">
        <v>97.6</v>
      </c>
      <c r="G26" s="11">
        <v>-99.6</v>
      </c>
      <c r="H26" s="12">
        <v>-2.15</v>
      </c>
      <c r="I26" s="11">
        <v>751.7</v>
      </c>
      <c r="J26" s="11">
        <v>207.5</v>
      </c>
      <c r="K26" s="12">
        <v>179.6</v>
      </c>
      <c r="L26" s="12">
        <v>141.32</v>
      </c>
      <c r="M26" s="12">
        <v>2.89</v>
      </c>
      <c r="N26" s="11">
        <v>484.6</v>
      </c>
      <c r="O26" s="11">
        <v>638.9</v>
      </c>
      <c r="P26" s="11">
        <v>1130.0999999999999</v>
      </c>
      <c r="Q26" s="12">
        <v>24.42</v>
      </c>
      <c r="R26" s="13" t="s">
        <v>94</v>
      </c>
      <c r="S26" s="14" t="s">
        <v>104</v>
      </c>
    </row>
    <row r="27" spans="1:19" ht="56.25" x14ac:dyDescent="0.2">
      <c r="A27" s="10" t="s">
        <v>105</v>
      </c>
      <c r="B27" s="10" t="s">
        <v>106</v>
      </c>
      <c r="C27" s="10" t="s">
        <v>726</v>
      </c>
      <c r="D27" s="11">
        <v>680.9</v>
      </c>
      <c r="E27" s="11">
        <v>-116.2</v>
      </c>
      <c r="F27" s="11">
        <v>-116.7</v>
      </c>
      <c r="G27" s="11">
        <v>-74.7</v>
      </c>
      <c r="H27" s="15">
        <v>-0.72399999999999998</v>
      </c>
      <c r="I27" s="11">
        <v>950.3</v>
      </c>
      <c r="J27" s="11">
        <v>-12.7</v>
      </c>
      <c r="K27" s="12">
        <v>-1.31</v>
      </c>
      <c r="L27" s="12">
        <v>20.29</v>
      </c>
      <c r="M27" s="15">
        <v>0.26700000000000002</v>
      </c>
      <c r="N27" s="11">
        <v>1001.1</v>
      </c>
      <c r="O27" s="11">
        <v>17</v>
      </c>
      <c r="P27" s="11">
        <v>14002.3</v>
      </c>
      <c r="Q27" s="12">
        <v>131.69</v>
      </c>
      <c r="R27" s="13" t="s">
        <v>94</v>
      </c>
      <c r="S27" s="14" t="s">
        <v>107</v>
      </c>
    </row>
    <row r="28" spans="1:19" ht="56.25" x14ac:dyDescent="0.2">
      <c r="A28" s="10" t="s">
        <v>108</v>
      </c>
      <c r="B28" s="10" t="s">
        <v>109</v>
      </c>
      <c r="C28" s="10" t="s">
        <v>489</v>
      </c>
      <c r="D28" s="11">
        <v>675</v>
      </c>
      <c r="E28" s="11">
        <v>137.69999999999999</v>
      </c>
      <c r="F28" s="11">
        <v>137</v>
      </c>
      <c r="G28" s="11">
        <v>141.19999999999999</v>
      </c>
      <c r="H28" s="12">
        <v>1.35</v>
      </c>
      <c r="I28" s="11">
        <v>905.4</v>
      </c>
      <c r="J28" s="11">
        <v>216.5</v>
      </c>
      <c r="K28" s="12">
        <v>261.88</v>
      </c>
      <c r="L28" s="12">
        <v>231.17</v>
      </c>
      <c r="M28" s="12">
        <v>1.91</v>
      </c>
      <c r="N28" s="11">
        <v>383.3</v>
      </c>
      <c r="O28" s="12">
        <v>6.94</v>
      </c>
      <c r="P28" s="11">
        <v>6025.3</v>
      </c>
      <c r="Q28" s="12">
        <v>57.11</v>
      </c>
      <c r="R28" s="13" t="s">
        <v>94</v>
      </c>
      <c r="S28" s="14" t="s">
        <v>110</v>
      </c>
    </row>
    <row r="29" spans="1:19" ht="90" x14ac:dyDescent="0.2">
      <c r="A29" s="10" t="s">
        <v>111</v>
      </c>
      <c r="B29" s="10" t="s">
        <v>112</v>
      </c>
      <c r="C29" s="10" t="s">
        <v>626</v>
      </c>
      <c r="D29" s="11">
        <v>661.8</v>
      </c>
      <c r="E29" s="11">
        <v>141.80000000000001</v>
      </c>
      <c r="F29" s="11">
        <v>61.4</v>
      </c>
      <c r="G29" s="11">
        <v>73.900000000000006</v>
      </c>
      <c r="H29" s="12">
        <v>1.34</v>
      </c>
      <c r="I29" s="11">
        <v>623.70000000000005</v>
      </c>
      <c r="J29" s="11">
        <v>183</v>
      </c>
      <c r="K29" s="12">
        <v>126.66</v>
      </c>
      <c r="L29" s="12">
        <v>111.67</v>
      </c>
      <c r="M29" s="12">
        <v>1.96</v>
      </c>
      <c r="N29" s="11">
        <v>453.6</v>
      </c>
      <c r="O29" s="11">
        <v>34.299999999999997</v>
      </c>
      <c r="P29" s="11">
        <v>1804.5</v>
      </c>
      <c r="Q29" s="12">
        <v>32.33</v>
      </c>
      <c r="R29" s="13" t="s">
        <v>94</v>
      </c>
      <c r="S29" s="14" t="s">
        <v>113</v>
      </c>
    </row>
    <row r="30" spans="1:19" ht="56.25" x14ac:dyDescent="0.2">
      <c r="A30" s="10" t="s">
        <v>114</v>
      </c>
      <c r="B30" s="10" t="s">
        <v>115</v>
      </c>
      <c r="C30" s="10" t="s">
        <v>638</v>
      </c>
      <c r="D30" s="11">
        <v>631.4</v>
      </c>
      <c r="E30" s="11">
        <v>368.8</v>
      </c>
      <c r="F30" s="11">
        <v>199.6</v>
      </c>
      <c r="G30" s="11">
        <v>69.2</v>
      </c>
      <c r="H30" s="12">
        <v>2.14</v>
      </c>
      <c r="I30" s="11">
        <v>742.9</v>
      </c>
      <c r="J30" s="11">
        <v>439</v>
      </c>
      <c r="K30" s="12">
        <v>175.64</v>
      </c>
      <c r="L30" s="12">
        <v>271.66000000000003</v>
      </c>
      <c r="M30" s="12">
        <v>6.91</v>
      </c>
      <c r="N30" s="11">
        <v>162.80000000000001</v>
      </c>
      <c r="O30" s="11">
        <v>979.9</v>
      </c>
      <c r="P30" s="11">
        <v>943.3</v>
      </c>
      <c r="Q30" s="12">
        <v>29.96</v>
      </c>
      <c r="R30" s="13" t="s">
        <v>94</v>
      </c>
      <c r="S30" s="14" t="s">
        <v>116</v>
      </c>
    </row>
    <row r="31" spans="1:19" ht="33.75" x14ac:dyDescent="0.2">
      <c r="A31" s="10" t="s">
        <v>117</v>
      </c>
      <c r="B31" s="10" t="s">
        <v>118</v>
      </c>
      <c r="C31" s="10" t="s">
        <v>630</v>
      </c>
      <c r="D31" s="11">
        <v>614.4</v>
      </c>
      <c r="E31" s="11">
        <v>82.3</v>
      </c>
      <c r="F31" s="11">
        <v>14.6</v>
      </c>
      <c r="G31" s="11">
        <v>-18.5</v>
      </c>
      <c r="H31" s="12">
        <v>-1.04</v>
      </c>
      <c r="I31" s="11">
        <v>768.7</v>
      </c>
      <c r="J31" s="11">
        <v>195.3</v>
      </c>
      <c r="K31" s="12">
        <v>38.590000000000003</v>
      </c>
      <c r="L31" s="12">
        <v>128.28</v>
      </c>
      <c r="M31" s="12">
        <v>6.32</v>
      </c>
      <c r="N31" s="11">
        <v>151.19999999999999</v>
      </c>
      <c r="O31" s="11">
        <v>630.70000000000005</v>
      </c>
      <c r="P31" s="11">
        <v>1364.1</v>
      </c>
      <c r="Q31" s="12">
        <v>67.17</v>
      </c>
      <c r="R31" s="13" t="s">
        <v>73</v>
      </c>
      <c r="S31" s="14" t="s">
        <v>119</v>
      </c>
    </row>
    <row r="32" spans="1:19" ht="101.25" x14ac:dyDescent="0.2">
      <c r="A32" s="10" t="s">
        <v>120</v>
      </c>
      <c r="B32" s="10" t="s">
        <v>121</v>
      </c>
      <c r="C32" s="10" t="s">
        <v>602</v>
      </c>
      <c r="D32" s="11">
        <v>385.7</v>
      </c>
      <c r="E32" s="11">
        <v>-244.5</v>
      </c>
      <c r="F32" s="11">
        <v>-252.4</v>
      </c>
      <c r="G32" s="11">
        <v>-287.2</v>
      </c>
      <c r="H32" s="12">
        <v>-5.99</v>
      </c>
      <c r="I32" s="11">
        <v>623.29999999999995</v>
      </c>
      <c r="J32" s="11">
        <v>-100.2</v>
      </c>
      <c r="K32" s="12">
        <v>-137.99</v>
      </c>
      <c r="L32" s="12">
        <v>-172.8</v>
      </c>
      <c r="M32" s="12">
        <v>-3.71</v>
      </c>
      <c r="N32" s="11">
        <v>315.39999999999998</v>
      </c>
      <c r="O32" s="11">
        <v>193</v>
      </c>
      <c r="P32" s="11">
        <v>5810.9</v>
      </c>
      <c r="Q32" s="12">
        <v>119.16</v>
      </c>
      <c r="R32" s="13" t="s">
        <v>94</v>
      </c>
      <c r="S32" s="14" t="s">
        <v>122</v>
      </c>
    </row>
    <row r="33" spans="1:19" ht="90" x14ac:dyDescent="0.2">
      <c r="A33" s="10" t="s">
        <v>123</v>
      </c>
      <c r="B33" s="10" t="s">
        <v>124</v>
      </c>
      <c r="C33" s="10" t="s">
        <v>657</v>
      </c>
      <c r="D33" s="11">
        <v>358.7</v>
      </c>
      <c r="E33" s="11">
        <v>206.7</v>
      </c>
      <c r="F33" s="11">
        <v>180.7</v>
      </c>
      <c r="G33" s="11">
        <v>23.4</v>
      </c>
      <c r="H33" s="15">
        <v>0.373</v>
      </c>
      <c r="I33" s="11">
        <v>348.3</v>
      </c>
      <c r="J33" s="11">
        <v>156.9</v>
      </c>
      <c r="K33" s="12">
        <v>137.69</v>
      </c>
      <c r="L33" s="12">
        <v>102.57</v>
      </c>
      <c r="M33" s="12">
        <v>1.7</v>
      </c>
      <c r="N33" s="11">
        <v>412.5</v>
      </c>
      <c r="O33" s="11">
        <v>520.6</v>
      </c>
      <c r="P33" s="11">
        <v>1091.8</v>
      </c>
      <c r="Q33" s="12">
        <v>17.420000000000002</v>
      </c>
      <c r="R33" s="13" t="s">
        <v>90</v>
      </c>
      <c r="S33" s="14" t="s">
        <v>125</v>
      </c>
    </row>
    <row r="34" spans="1:19" ht="56.25" x14ac:dyDescent="0.2">
      <c r="A34" s="10" t="s">
        <v>126</v>
      </c>
      <c r="B34" s="10" t="s">
        <v>127</v>
      </c>
      <c r="C34" s="10" t="s">
        <v>700</v>
      </c>
      <c r="D34" s="11">
        <v>332.3</v>
      </c>
      <c r="E34" s="11">
        <v>54.5</v>
      </c>
      <c r="F34" s="11">
        <v>54.4</v>
      </c>
      <c r="G34" s="11">
        <v>-51.7</v>
      </c>
      <c r="H34" s="15">
        <v>-0.27600000000000002</v>
      </c>
      <c r="I34" s="11">
        <v>348.5</v>
      </c>
      <c r="J34" s="11">
        <v>11.7</v>
      </c>
      <c r="K34" s="12">
        <v>63.98</v>
      </c>
      <c r="L34" s="12">
        <v>-14.74</v>
      </c>
      <c r="M34" s="15">
        <v>-3.3000000000000002E-2</v>
      </c>
      <c r="N34" s="11">
        <v>144.80000000000001</v>
      </c>
      <c r="O34" s="11">
        <v>591.20000000000005</v>
      </c>
      <c r="P34" s="11">
        <v>322.5</v>
      </c>
      <c r="Q34" s="12">
        <v>1.63</v>
      </c>
      <c r="R34" s="13" t="s">
        <v>94</v>
      </c>
      <c r="S34" s="14" t="s">
        <v>128</v>
      </c>
    </row>
    <row r="35" spans="1:19" ht="22.5" x14ac:dyDescent="0.2">
      <c r="A35" s="10" t="s">
        <v>129</v>
      </c>
      <c r="B35" s="10" t="s">
        <v>130</v>
      </c>
      <c r="C35" s="10" t="s">
        <v>669</v>
      </c>
      <c r="D35" s="11">
        <v>266.3</v>
      </c>
      <c r="E35" s="11">
        <v>-21.9</v>
      </c>
      <c r="F35" s="11">
        <v>-27.2</v>
      </c>
      <c r="G35" s="11">
        <v>-50.4</v>
      </c>
      <c r="H35" s="15">
        <v>-0.81299999999999994</v>
      </c>
      <c r="I35" s="11">
        <v>352.6</v>
      </c>
      <c r="J35" s="11">
        <v>11.8</v>
      </c>
      <c r="K35" s="12">
        <v>-12.88</v>
      </c>
      <c r="L35" s="12">
        <v>-3.8</v>
      </c>
      <c r="M35" s="15">
        <v>-0.06</v>
      </c>
      <c r="N35" s="11">
        <v>87</v>
      </c>
      <c r="O35" s="11">
        <v>130</v>
      </c>
      <c r="P35" s="11">
        <v>790.4</v>
      </c>
      <c r="Q35" s="12">
        <v>12.43</v>
      </c>
      <c r="R35" s="13" t="s">
        <v>94</v>
      </c>
      <c r="S35" s="14" t="s">
        <v>131</v>
      </c>
    </row>
    <row r="36" spans="1:19" ht="78.75" x14ac:dyDescent="0.2">
      <c r="A36" s="10" t="s">
        <v>132</v>
      </c>
      <c r="B36" s="10" t="s">
        <v>133</v>
      </c>
      <c r="C36" s="10" t="s">
        <v>634</v>
      </c>
      <c r="D36" s="11">
        <v>263.39999999999998</v>
      </c>
      <c r="E36" s="11">
        <v>-245.6</v>
      </c>
      <c r="F36" s="11">
        <v>-250.2</v>
      </c>
      <c r="G36" s="11">
        <v>-198.9</v>
      </c>
      <c r="H36" s="12">
        <v>-2.77</v>
      </c>
      <c r="I36" s="11">
        <v>195.8</v>
      </c>
      <c r="J36" s="11">
        <v>-262.60000000000002</v>
      </c>
      <c r="K36" s="12">
        <v>-305.99</v>
      </c>
      <c r="L36" s="12">
        <v>-293.13</v>
      </c>
      <c r="M36" s="12">
        <v>-4.05</v>
      </c>
      <c r="N36" s="11">
        <v>1039.4000000000001</v>
      </c>
      <c r="O36" s="12">
        <v>9.6999999999999993</v>
      </c>
      <c r="P36" s="11">
        <v>546.70000000000005</v>
      </c>
      <c r="Q36" s="12">
        <v>7.95</v>
      </c>
      <c r="R36" s="13" t="s">
        <v>94</v>
      </c>
      <c r="S36" s="14" t="s">
        <v>134</v>
      </c>
    </row>
    <row r="37" spans="1:19" ht="45" x14ac:dyDescent="0.2">
      <c r="A37" s="10" t="s">
        <v>135</v>
      </c>
      <c r="B37" s="10" t="s">
        <v>136</v>
      </c>
      <c r="C37" s="10" t="s">
        <v>681</v>
      </c>
      <c r="D37" s="11">
        <v>203.1</v>
      </c>
      <c r="E37" s="11">
        <v>-15.5</v>
      </c>
      <c r="F37" s="11">
        <v>-27.5</v>
      </c>
      <c r="G37" s="11">
        <v>-54.8</v>
      </c>
      <c r="H37" s="15">
        <v>-0.374</v>
      </c>
      <c r="I37" s="11">
        <v>262.3</v>
      </c>
      <c r="J37" s="11">
        <v>32.299999999999997</v>
      </c>
      <c r="K37" s="12">
        <v>5.78</v>
      </c>
      <c r="L37" s="12">
        <v>-14.4</v>
      </c>
      <c r="M37" s="15">
        <v>-7.8E-2</v>
      </c>
      <c r="N37" s="11">
        <v>71.599999999999994</v>
      </c>
      <c r="O37" s="11">
        <v>271.39999999999998</v>
      </c>
      <c r="P37" s="11">
        <v>879</v>
      </c>
      <c r="Q37" s="12">
        <v>5.71</v>
      </c>
      <c r="R37" s="13" t="s">
        <v>94</v>
      </c>
      <c r="S37" s="14" t="s">
        <v>137</v>
      </c>
    </row>
    <row r="38" spans="1:19" ht="56.25" x14ac:dyDescent="0.2">
      <c r="A38" s="10" t="s">
        <v>138</v>
      </c>
      <c r="B38" s="10" t="s">
        <v>139</v>
      </c>
      <c r="C38" s="10" t="s">
        <v>727</v>
      </c>
      <c r="D38" s="11">
        <v>197.2</v>
      </c>
      <c r="E38" s="11">
        <v>38.9</v>
      </c>
      <c r="F38" s="11">
        <v>37.700000000000003</v>
      </c>
      <c r="G38" s="12">
        <v>3.16</v>
      </c>
      <c r="H38" s="15">
        <v>9.1999999999999998E-2</v>
      </c>
      <c r="I38" s="11">
        <v>205.3</v>
      </c>
      <c r="J38" s="11">
        <v>60.8</v>
      </c>
      <c r="K38" s="12">
        <v>42.4</v>
      </c>
      <c r="L38" s="12">
        <v>29</v>
      </c>
      <c r="M38" s="15">
        <v>0.4</v>
      </c>
      <c r="N38" s="11">
        <v>39.299999999999997</v>
      </c>
      <c r="O38" s="11">
        <v>110.9</v>
      </c>
      <c r="P38" s="11">
        <v>117.1</v>
      </c>
      <c r="Q38" s="12">
        <v>3.72</v>
      </c>
      <c r="R38" s="13" t="s">
        <v>94</v>
      </c>
      <c r="S38" s="14" t="s">
        <v>140</v>
      </c>
    </row>
    <row r="39" spans="1:19" ht="45" x14ac:dyDescent="0.2">
      <c r="A39" s="10" t="s">
        <v>141</v>
      </c>
      <c r="B39" s="10" t="s">
        <v>142</v>
      </c>
      <c r="C39" s="10" t="s">
        <v>567</v>
      </c>
      <c r="D39" s="11">
        <v>183</v>
      </c>
      <c r="E39" s="11">
        <v>-119.3</v>
      </c>
      <c r="F39" s="11">
        <v>-120.6</v>
      </c>
      <c r="G39" s="11">
        <v>-115.6</v>
      </c>
      <c r="H39" s="12">
        <v>-3.07</v>
      </c>
      <c r="I39" s="11">
        <v>352.1</v>
      </c>
      <c r="J39" s="11">
        <v>-68.3</v>
      </c>
      <c r="K39" s="12">
        <v>-71.44</v>
      </c>
      <c r="L39" s="12">
        <v>-38.49</v>
      </c>
      <c r="M39" s="12">
        <v>-1.76</v>
      </c>
      <c r="N39" s="11">
        <v>291.39999999999998</v>
      </c>
      <c r="O39" s="11">
        <v>72.5</v>
      </c>
      <c r="P39" s="11">
        <v>1957.6</v>
      </c>
      <c r="Q39" s="12">
        <v>51.01</v>
      </c>
      <c r="R39" s="13" t="s">
        <v>94</v>
      </c>
      <c r="S39" s="14" t="s">
        <v>143</v>
      </c>
    </row>
    <row r="40" spans="1:19" ht="78.75" x14ac:dyDescent="0.2">
      <c r="A40" s="10" t="s">
        <v>144</v>
      </c>
      <c r="B40" s="10" t="s">
        <v>145</v>
      </c>
      <c r="C40" s="10" t="s">
        <v>642</v>
      </c>
      <c r="D40" s="11">
        <v>169.1</v>
      </c>
      <c r="E40" s="12">
        <v>2.84</v>
      </c>
      <c r="F40" s="12">
        <v>-8.57</v>
      </c>
      <c r="G40" s="11">
        <v>-33.4</v>
      </c>
      <c r="H40" s="15">
        <v>-0.94</v>
      </c>
      <c r="I40" s="11">
        <v>265.8</v>
      </c>
      <c r="J40" s="11">
        <v>73.5</v>
      </c>
      <c r="K40" s="12">
        <v>38.950000000000003</v>
      </c>
      <c r="L40" s="12">
        <v>27.06</v>
      </c>
      <c r="M40" s="15">
        <v>0.38300000000000001</v>
      </c>
      <c r="N40" s="11">
        <v>84.5</v>
      </c>
      <c r="O40" s="11">
        <v>190.5</v>
      </c>
      <c r="P40" s="11">
        <v>984.7</v>
      </c>
      <c r="Q40" s="12">
        <v>27.65</v>
      </c>
      <c r="R40" s="13" t="s">
        <v>94</v>
      </c>
      <c r="S40" s="14" t="s">
        <v>146</v>
      </c>
    </row>
    <row r="41" spans="1:19" ht="33.75" x14ac:dyDescent="0.2">
      <c r="A41" s="10" t="s">
        <v>147</v>
      </c>
      <c r="B41" s="10" t="s">
        <v>148</v>
      </c>
      <c r="C41" s="10" t="s">
        <v>728</v>
      </c>
      <c r="D41" s="11">
        <v>169.1</v>
      </c>
      <c r="E41" s="11">
        <v>-39.700000000000003</v>
      </c>
      <c r="F41" s="11">
        <v>-42.4</v>
      </c>
      <c r="G41" s="11">
        <v>-48.8</v>
      </c>
      <c r="H41" s="15">
        <v>-0.51300000000000001</v>
      </c>
      <c r="I41" s="11">
        <v>249.2</v>
      </c>
      <c r="J41" s="11">
        <v>30.5</v>
      </c>
      <c r="K41" s="12">
        <v>16.440000000000001</v>
      </c>
      <c r="L41" s="12">
        <v>19.14</v>
      </c>
      <c r="M41" s="15">
        <v>0.154</v>
      </c>
      <c r="N41" s="11">
        <v>73.8</v>
      </c>
      <c r="O41" s="11">
        <v>38.799999999999997</v>
      </c>
      <c r="P41" s="11">
        <v>789.5</v>
      </c>
      <c r="Q41" s="12">
        <v>8.17</v>
      </c>
      <c r="R41" s="13" t="s">
        <v>94</v>
      </c>
      <c r="S41" s="14" t="s">
        <v>149</v>
      </c>
    </row>
    <row r="42" spans="1:19" ht="45" x14ac:dyDescent="0.2">
      <c r="A42" s="10" t="s">
        <v>150</v>
      </c>
      <c r="B42" s="10" t="s">
        <v>151</v>
      </c>
      <c r="C42" s="10" t="s">
        <v>729</v>
      </c>
      <c r="D42" s="11">
        <v>167.5</v>
      </c>
      <c r="E42" s="11">
        <v>67.8</v>
      </c>
      <c r="F42" s="11">
        <v>64.3</v>
      </c>
      <c r="G42" s="11">
        <v>55.2</v>
      </c>
      <c r="H42" s="15">
        <v>-0.8</v>
      </c>
      <c r="I42" s="12">
        <v>6.25</v>
      </c>
      <c r="J42" s="11">
        <v>-74.5</v>
      </c>
      <c r="K42" s="12">
        <v>-116</v>
      </c>
      <c r="L42" s="12">
        <v>-101.55</v>
      </c>
      <c r="M42" s="12">
        <v>-6.93</v>
      </c>
      <c r="N42" s="11">
        <v>29.2</v>
      </c>
      <c r="O42" s="11">
        <v>49.6</v>
      </c>
      <c r="P42" s="11">
        <v>471</v>
      </c>
      <c r="Q42" s="12">
        <v>10.76</v>
      </c>
      <c r="R42" s="13" t="s">
        <v>94</v>
      </c>
      <c r="S42" s="14" t="s">
        <v>152</v>
      </c>
    </row>
    <row r="43" spans="1:19" ht="101.25" x14ac:dyDescent="0.2">
      <c r="A43" s="10" t="s">
        <v>153</v>
      </c>
      <c r="B43" s="10" t="s">
        <v>154</v>
      </c>
      <c r="C43" s="10" t="s">
        <v>650</v>
      </c>
      <c r="D43" s="11">
        <v>167.1</v>
      </c>
      <c r="E43" s="11">
        <v>58.3</v>
      </c>
      <c r="F43" s="11">
        <v>23</v>
      </c>
      <c r="G43" s="12">
        <v>-4.03</v>
      </c>
      <c r="H43" s="15">
        <v>-0.22</v>
      </c>
      <c r="I43" s="11">
        <v>191.3</v>
      </c>
      <c r="J43" s="11">
        <v>122.3</v>
      </c>
      <c r="K43" s="12">
        <v>58.97</v>
      </c>
      <c r="L43" s="12">
        <v>124.7</v>
      </c>
      <c r="M43" s="12">
        <v>2.71</v>
      </c>
      <c r="N43" s="11">
        <v>256.2</v>
      </c>
      <c r="O43" s="12">
        <v>7.15</v>
      </c>
      <c r="P43" s="11">
        <v>2081.3000000000002</v>
      </c>
      <c r="Q43" s="12">
        <v>108.09</v>
      </c>
      <c r="R43" s="13" t="s">
        <v>94</v>
      </c>
      <c r="S43" s="14" t="s">
        <v>155</v>
      </c>
    </row>
    <row r="44" spans="1:19" ht="22.5" x14ac:dyDescent="0.2">
      <c r="A44" s="10" t="s">
        <v>156</v>
      </c>
      <c r="B44" s="10" t="s">
        <v>157</v>
      </c>
      <c r="C44" s="10" t="s">
        <v>730</v>
      </c>
      <c r="D44" s="11">
        <v>138.69999999999999</v>
      </c>
      <c r="E44" s="11">
        <v>70.5</v>
      </c>
      <c r="F44" s="11">
        <v>70</v>
      </c>
      <c r="G44" s="11">
        <v>59.2</v>
      </c>
      <c r="H44" s="15">
        <v>0.83099999999999996</v>
      </c>
      <c r="I44" s="11">
        <v>121.6</v>
      </c>
      <c r="J44" s="11">
        <v>55.4</v>
      </c>
      <c r="K44" s="12">
        <v>54.87</v>
      </c>
      <c r="L44" s="12">
        <v>47.55</v>
      </c>
      <c r="M44" s="15">
        <v>0.66</v>
      </c>
      <c r="N44" s="11">
        <v>155.4</v>
      </c>
      <c r="O44" s="12">
        <v>1.36</v>
      </c>
      <c r="P44" s="11">
        <v>409.3</v>
      </c>
      <c r="Q44" s="12">
        <v>5.73</v>
      </c>
      <c r="R44" s="13" t="s">
        <v>94</v>
      </c>
      <c r="S44" s="14" t="s">
        <v>158</v>
      </c>
    </row>
    <row r="45" spans="1:19" ht="78.75" x14ac:dyDescent="0.2">
      <c r="A45" s="10" t="s">
        <v>159</v>
      </c>
      <c r="B45" s="10" t="s">
        <v>160</v>
      </c>
      <c r="C45" s="10" t="s">
        <v>490</v>
      </c>
      <c r="D45" s="11">
        <v>125</v>
      </c>
      <c r="E45" s="12">
        <v>5.15</v>
      </c>
      <c r="F45" s="11">
        <v>-20.7</v>
      </c>
      <c r="G45" s="11">
        <v>-21.6</v>
      </c>
      <c r="H45" s="15">
        <v>-0.22700000000000001</v>
      </c>
      <c r="I45" s="11">
        <v>115.2</v>
      </c>
      <c r="J45" s="11">
        <v>12.2</v>
      </c>
      <c r="K45" s="12">
        <v>-14.73</v>
      </c>
      <c r="L45" s="12">
        <v>5.78</v>
      </c>
      <c r="M45" s="15">
        <v>-0.17799999999999999</v>
      </c>
      <c r="N45" s="11">
        <v>100.1</v>
      </c>
      <c r="O45" s="11">
        <v>40.299999999999997</v>
      </c>
      <c r="P45" s="11">
        <v>69.5</v>
      </c>
      <c r="Q45" s="15">
        <v>0.72599999999999998</v>
      </c>
      <c r="R45" s="13" t="s">
        <v>90</v>
      </c>
      <c r="S45" s="14" t="s">
        <v>161</v>
      </c>
    </row>
    <row r="46" spans="1:19" ht="67.5" x14ac:dyDescent="0.2">
      <c r="A46" s="10" t="s">
        <v>162</v>
      </c>
      <c r="B46" s="10" t="s">
        <v>163</v>
      </c>
      <c r="C46" s="10" t="s">
        <v>491</v>
      </c>
      <c r="D46" s="11">
        <v>98.4</v>
      </c>
      <c r="E46" s="11">
        <v>-125.5</v>
      </c>
      <c r="F46" s="11">
        <v>-129.9</v>
      </c>
      <c r="G46" s="11">
        <v>-119</v>
      </c>
      <c r="H46" s="15">
        <v>-0.57799999999999996</v>
      </c>
      <c r="I46" s="11">
        <v>62.6</v>
      </c>
      <c r="J46" s="11">
        <v>-144.4</v>
      </c>
      <c r="K46" s="12">
        <v>-126.94</v>
      </c>
      <c r="L46" s="12">
        <v>-163.88</v>
      </c>
      <c r="M46" s="15">
        <v>-0.65600000000000003</v>
      </c>
      <c r="N46" s="11">
        <v>255.2</v>
      </c>
      <c r="O46" s="11">
        <v>194.3</v>
      </c>
      <c r="P46" s="11">
        <v>149.19999999999999</v>
      </c>
      <c r="Q46" s="15">
        <v>0.80200000000000005</v>
      </c>
      <c r="R46" s="13" t="s">
        <v>94</v>
      </c>
      <c r="S46" s="14" t="s">
        <v>164</v>
      </c>
    </row>
    <row r="47" spans="1:19" ht="56.25" x14ac:dyDescent="0.2">
      <c r="A47" s="10" t="s">
        <v>165</v>
      </c>
      <c r="B47" s="10" t="s">
        <v>166</v>
      </c>
      <c r="C47" s="10" t="s">
        <v>731</v>
      </c>
      <c r="D47" s="11">
        <v>87.4</v>
      </c>
      <c r="E47" s="11">
        <v>-291</v>
      </c>
      <c r="F47" s="11">
        <v>-291.89999999999998</v>
      </c>
      <c r="G47" s="11">
        <v>-301.7</v>
      </c>
      <c r="H47" s="12">
        <v>-4.43</v>
      </c>
      <c r="I47" s="16">
        <v>0</v>
      </c>
      <c r="J47" s="11">
        <v>-129.9</v>
      </c>
      <c r="K47" s="12">
        <v>-162.06</v>
      </c>
      <c r="L47" s="12">
        <v>-130.18</v>
      </c>
      <c r="M47" s="12">
        <v>-2.0099999999999998</v>
      </c>
      <c r="N47" s="11">
        <v>176.5</v>
      </c>
      <c r="O47" s="12">
        <v>1.98</v>
      </c>
      <c r="P47" s="11">
        <v>337.6</v>
      </c>
      <c r="Q47" s="12">
        <v>3.81</v>
      </c>
      <c r="R47" s="13" t="s">
        <v>94</v>
      </c>
      <c r="S47" s="14" t="s">
        <v>167</v>
      </c>
    </row>
    <row r="48" spans="1:19" ht="67.5" x14ac:dyDescent="0.2">
      <c r="A48" s="10" t="s">
        <v>168</v>
      </c>
      <c r="B48" s="10" t="s">
        <v>169</v>
      </c>
      <c r="C48" s="10" t="s">
        <v>732</v>
      </c>
      <c r="D48" s="11">
        <v>80</v>
      </c>
      <c r="E48" s="11">
        <v>-18.2</v>
      </c>
      <c r="F48" s="11">
        <v>-19.8</v>
      </c>
      <c r="G48" s="12">
        <v>-9.73</v>
      </c>
      <c r="H48" s="15">
        <v>-0.157</v>
      </c>
      <c r="I48" s="16">
        <v>0</v>
      </c>
      <c r="J48" s="11">
        <v>-84.8</v>
      </c>
      <c r="K48" s="12">
        <v>-78.03</v>
      </c>
      <c r="L48" s="12">
        <v>-71.900000000000006</v>
      </c>
      <c r="M48" s="12">
        <v>-1.25</v>
      </c>
      <c r="N48" s="11">
        <v>241</v>
      </c>
      <c r="O48" s="12">
        <v>8.6300000000000008</v>
      </c>
      <c r="P48" s="11">
        <v>163</v>
      </c>
      <c r="Q48" s="12">
        <v>3.02</v>
      </c>
      <c r="R48" s="13" t="s">
        <v>94</v>
      </c>
      <c r="S48" s="14" t="s">
        <v>170</v>
      </c>
    </row>
    <row r="49" spans="1:19" ht="33.75" x14ac:dyDescent="0.2">
      <c r="A49" s="10" t="s">
        <v>171</v>
      </c>
      <c r="B49" s="10" t="s">
        <v>172</v>
      </c>
      <c r="C49" s="10" t="s">
        <v>733</v>
      </c>
      <c r="D49" s="11">
        <v>78.2</v>
      </c>
      <c r="E49" s="11">
        <v>-16</v>
      </c>
      <c r="F49" s="11">
        <v>-16.3</v>
      </c>
      <c r="G49" s="11">
        <v>-21.5</v>
      </c>
      <c r="H49" s="12">
        <v>-2.12</v>
      </c>
      <c r="I49" s="11">
        <v>118.2</v>
      </c>
      <c r="J49" s="17" t="s">
        <v>94</v>
      </c>
      <c r="K49" s="12">
        <v>-9.7799999999999994</v>
      </c>
      <c r="L49" s="12">
        <v>-12.1</v>
      </c>
      <c r="M49" s="12">
        <v>-2.52</v>
      </c>
      <c r="N49" s="11">
        <v>84.5</v>
      </c>
      <c r="O49" s="12">
        <v>6.33</v>
      </c>
      <c r="P49" s="11">
        <v>92.2</v>
      </c>
      <c r="Q49" s="12">
        <v>9.17</v>
      </c>
      <c r="R49" s="13" t="s">
        <v>94</v>
      </c>
      <c r="S49" s="14" t="s">
        <v>173</v>
      </c>
    </row>
    <row r="50" spans="1:19" ht="56.25" x14ac:dyDescent="0.2">
      <c r="A50" s="10" t="s">
        <v>174</v>
      </c>
      <c r="B50" s="10" t="s">
        <v>175</v>
      </c>
      <c r="C50" s="10" t="s">
        <v>492</v>
      </c>
      <c r="D50" s="11">
        <v>77.2</v>
      </c>
      <c r="E50" s="12">
        <v>2.44</v>
      </c>
      <c r="F50" s="12">
        <v>-4.96</v>
      </c>
      <c r="G50" s="12">
        <v>-5.24</v>
      </c>
      <c r="H50" s="12">
        <v>-1.24</v>
      </c>
      <c r="I50" s="11">
        <v>69.8</v>
      </c>
      <c r="J50" s="11">
        <v>20.5</v>
      </c>
      <c r="K50" s="12">
        <v>8.73</v>
      </c>
      <c r="L50" s="17" t="s">
        <v>94</v>
      </c>
      <c r="M50" s="12">
        <v>1.05</v>
      </c>
      <c r="N50" s="11">
        <v>20</v>
      </c>
      <c r="O50" s="11">
        <v>16.399999999999999</v>
      </c>
      <c r="P50" s="12">
        <v>7.62</v>
      </c>
      <c r="Q50" s="12">
        <v>1.24</v>
      </c>
      <c r="R50" s="13" t="s">
        <v>94</v>
      </c>
      <c r="S50" s="14" t="s">
        <v>176</v>
      </c>
    </row>
    <row r="51" spans="1:19" ht="56.25" x14ac:dyDescent="0.2">
      <c r="A51" s="10" t="s">
        <v>177</v>
      </c>
      <c r="B51" s="10" t="s">
        <v>178</v>
      </c>
      <c r="C51" s="10" t="s">
        <v>677</v>
      </c>
      <c r="D51" s="11">
        <v>63.7</v>
      </c>
      <c r="E51" s="11">
        <v>-169.6</v>
      </c>
      <c r="F51" s="11">
        <v>-173.4</v>
      </c>
      <c r="G51" s="11">
        <v>-193.5</v>
      </c>
      <c r="H51" s="12">
        <v>-1.22</v>
      </c>
      <c r="I51" s="11">
        <v>71</v>
      </c>
      <c r="J51" s="11">
        <v>1676.1</v>
      </c>
      <c r="K51" s="12">
        <v>-210.54</v>
      </c>
      <c r="L51" s="12">
        <v>-201.53</v>
      </c>
      <c r="M51" s="12">
        <v>-1.22</v>
      </c>
      <c r="N51" s="11">
        <v>392.1</v>
      </c>
      <c r="O51" s="11">
        <v>75.8</v>
      </c>
      <c r="P51" s="11">
        <v>1219.7</v>
      </c>
      <c r="Q51" s="12">
        <v>7.67</v>
      </c>
      <c r="R51" s="13" t="s">
        <v>94</v>
      </c>
      <c r="S51" s="14" t="s">
        <v>179</v>
      </c>
    </row>
    <row r="52" spans="1:19" ht="56.25" x14ac:dyDescent="0.2">
      <c r="A52" s="10" t="s">
        <v>180</v>
      </c>
      <c r="B52" s="10" t="s">
        <v>181</v>
      </c>
      <c r="C52" s="10" t="s">
        <v>734</v>
      </c>
      <c r="D52" s="11">
        <v>57.6</v>
      </c>
      <c r="E52" s="11">
        <v>-30</v>
      </c>
      <c r="F52" s="11">
        <v>-30.8</v>
      </c>
      <c r="G52" s="11">
        <v>-44.1</v>
      </c>
      <c r="H52" s="15">
        <v>-0.50900000000000001</v>
      </c>
      <c r="I52" s="11">
        <v>49.6</v>
      </c>
      <c r="J52" s="11">
        <v>-49.6</v>
      </c>
      <c r="K52" s="12">
        <v>-53.07</v>
      </c>
      <c r="L52" s="12">
        <v>-61.94</v>
      </c>
      <c r="M52" s="15">
        <v>-0.64</v>
      </c>
      <c r="N52" s="11">
        <v>71.5</v>
      </c>
      <c r="O52" s="11">
        <v>38</v>
      </c>
      <c r="P52" s="11">
        <v>308.5</v>
      </c>
      <c r="Q52" s="12">
        <v>3.12</v>
      </c>
      <c r="R52" s="13" t="s">
        <v>94</v>
      </c>
      <c r="S52" s="14" t="s">
        <v>182</v>
      </c>
    </row>
    <row r="53" spans="1:19" ht="78.75" x14ac:dyDescent="0.2">
      <c r="A53" s="10" t="s">
        <v>183</v>
      </c>
      <c r="B53" s="10" t="s">
        <v>184</v>
      </c>
      <c r="C53" s="10" t="s">
        <v>493</v>
      </c>
      <c r="D53" s="11">
        <v>56.1</v>
      </c>
      <c r="E53" s="12">
        <v>-7</v>
      </c>
      <c r="F53" s="11">
        <v>-10.3</v>
      </c>
      <c r="G53" s="11">
        <v>-14.7</v>
      </c>
      <c r="H53" s="15">
        <v>-0.71799999999999997</v>
      </c>
      <c r="I53" s="11">
        <v>71.400000000000006</v>
      </c>
      <c r="J53" s="12">
        <v>9.9600000000000009</v>
      </c>
      <c r="K53" s="12">
        <v>-11.4</v>
      </c>
      <c r="L53" s="17" t="s">
        <v>94</v>
      </c>
      <c r="M53" s="15">
        <v>-0.28000000000000003</v>
      </c>
      <c r="N53" s="11">
        <v>20.3</v>
      </c>
      <c r="O53" s="11">
        <v>25.7</v>
      </c>
      <c r="P53" s="11">
        <v>128.30000000000001</v>
      </c>
      <c r="Q53" s="12">
        <v>6.14</v>
      </c>
      <c r="R53" s="13" t="s">
        <v>94</v>
      </c>
      <c r="S53" s="14" t="s">
        <v>185</v>
      </c>
    </row>
    <row r="54" spans="1:19" ht="45" x14ac:dyDescent="0.2">
      <c r="A54" s="10" t="s">
        <v>186</v>
      </c>
      <c r="B54" s="10" t="s">
        <v>187</v>
      </c>
      <c r="C54" s="10" t="s">
        <v>735</v>
      </c>
      <c r="D54" s="11">
        <v>55.3</v>
      </c>
      <c r="E54" s="11">
        <v>-276.7</v>
      </c>
      <c r="F54" s="11">
        <v>-277.5</v>
      </c>
      <c r="G54" s="11">
        <v>-334.3</v>
      </c>
      <c r="H54" s="12">
        <v>-5.29</v>
      </c>
      <c r="I54" s="11">
        <v>163.69999999999999</v>
      </c>
      <c r="J54" s="11">
        <v>-234.8</v>
      </c>
      <c r="K54" s="12">
        <v>-243.39</v>
      </c>
      <c r="L54" s="12">
        <v>-284.25</v>
      </c>
      <c r="M54" s="12">
        <v>-4.17</v>
      </c>
      <c r="N54" s="11">
        <v>297.3</v>
      </c>
      <c r="O54" s="11">
        <v>554.9</v>
      </c>
      <c r="P54" s="11">
        <v>439</v>
      </c>
      <c r="Q54" s="12">
        <v>6.42</v>
      </c>
      <c r="R54" s="13" t="s">
        <v>94</v>
      </c>
      <c r="S54" s="14" t="s">
        <v>188</v>
      </c>
    </row>
    <row r="55" spans="1:19" ht="78.75" x14ac:dyDescent="0.2">
      <c r="A55" s="10" t="s">
        <v>189</v>
      </c>
      <c r="B55" s="10" t="s">
        <v>190</v>
      </c>
      <c r="C55" s="10" t="s">
        <v>494</v>
      </c>
      <c r="D55" s="11">
        <v>55.2</v>
      </c>
      <c r="E55" s="11">
        <v>-78.7</v>
      </c>
      <c r="F55" s="11">
        <v>-82.7</v>
      </c>
      <c r="G55" s="11">
        <v>-87.7</v>
      </c>
      <c r="H55" s="15">
        <v>-0.77500000000000002</v>
      </c>
      <c r="I55" s="11">
        <v>103</v>
      </c>
      <c r="J55" s="17" t="s">
        <v>94</v>
      </c>
      <c r="K55" s="12">
        <v>258.27999999999997</v>
      </c>
      <c r="L55" s="12">
        <v>234.03</v>
      </c>
      <c r="M55" s="15">
        <v>6.5000000000000002E-2</v>
      </c>
      <c r="N55" s="12">
        <v>3.92</v>
      </c>
      <c r="O55" s="11">
        <v>128.5</v>
      </c>
      <c r="P55" s="11">
        <v>46.5</v>
      </c>
      <c r="Q55" s="15">
        <v>0.254</v>
      </c>
      <c r="R55" s="13" t="s">
        <v>94</v>
      </c>
      <c r="S55" s="14" t="s">
        <v>191</v>
      </c>
    </row>
    <row r="56" spans="1:19" ht="33.75" x14ac:dyDescent="0.2">
      <c r="A56" s="10" t="s">
        <v>192</v>
      </c>
      <c r="B56" s="10" t="s">
        <v>193</v>
      </c>
      <c r="C56" s="10" t="s">
        <v>689</v>
      </c>
      <c r="D56" s="11">
        <v>43.5</v>
      </c>
      <c r="E56" s="11">
        <v>-22</v>
      </c>
      <c r="F56" s="11">
        <v>-22.4</v>
      </c>
      <c r="G56" s="11">
        <v>-17.899999999999999</v>
      </c>
      <c r="H56" s="15">
        <v>-0.30499999999999999</v>
      </c>
      <c r="I56" s="11">
        <v>124.8</v>
      </c>
      <c r="J56" s="11">
        <v>51.9</v>
      </c>
      <c r="K56" s="12">
        <v>34.130000000000003</v>
      </c>
      <c r="L56" s="12">
        <v>37.549999999999997</v>
      </c>
      <c r="M56" s="15">
        <v>0.55000000000000004</v>
      </c>
      <c r="N56" s="11">
        <v>51.7</v>
      </c>
      <c r="O56" s="15">
        <v>0.51700000000000002</v>
      </c>
      <c r="P56" s="11">
        <v>466.7</v>
      </c>
      <c r="Q56" s="12">
        <v>7.16</v>
      </c>
      <c r="R56" s="13" t="s">
        <v>94</v>
      </c>
      <c r="S56" s="14" t="s">
        <v>194</v>
      </c>
    </row>
    <row r="57" spans="1:19" ht="56.25" x14ac:dyDescent="0.2">
      <c r="A57" s="10" t="s">
        <v>195</v>
      </c>
      <c r="B57" s="10" t="s">
        <v>196</v>
      </c>
      <c r="C57" s="10" t="s">
        <v>704</v>
      </c>
      <c r="D57" s="11">
        <v>43.3</v>
      </c>
      <c r="E57" s="11">
        <v>-144.30000000000001</v>
      </c>
      <c r="F57" s="11">
        <v>-145.9</v>
      </c>
      <c r="G57" s="11">
        <v>-130.9</v>
      </c>
      <c r="H57" s="12">
        <v>-2.33</v>
      </c>
      <c r="I57" s="11">
        <v>29</v>
      </c>
      <c r="J57" s="11">
        <v>11.8</v>
      </c>
      <c r="K57" s="12">
        <v>-212.68</v>
      </c>
      <c r="L57" s="12">
        <v>-184.73</v>
      </c>
      <c r="M57" s="12">
        <v>-2.0499999999999998</v>
      </c>
      <c r="N57" s="11">
        <v>370.9</v>
      </c>
      <c r="O57" s="11">
        <v>23.1</v>
      </c>
      <c r="P57" s="11">
        <v>416.5</v>
      </c>
      <c r="Q57" s="12">
        <v>6.06</v>
      </c>
      <c r="R57" s="13" t="s">
        <v>94</v>
      </c>
      <c r="S57" s="14" t="s">
        <v>197</v>
      </c>
    </row>
    <row r="58" spans="1:19" ht="33.75" x14ac:dyDescent="0.2">
      <c r="A58" s="10" t="s">
        <v>198</v>
      </c>
      <c r="B58" s="10" t="s">
        <v>199</v>
      </c>
      <c r="C58" s="10" t="s">
        <v>736</v>
      </c>
      <c r="D58" s="11">
        <v>39</v>
      </c>
      <c r="E58" s="12">
        <v>-1.1100000000000001</v>
      </c>
      <c r="F58" s="12">
        <v>-2.1800000000000002</v>
      </c>
      <c r="G58" s="12">
        <v>-3.82</v>
      </c>
      <c r="H58" s="15">
        <v>-0.14799999999999999</v>
      </c>
      <c r="I58" s="11">
        <v>73.599999999999994</v>
      </c>
      <c r="J58" s="11">
        <v>19.100000000000001</v>
      </c>
      <c r="K58" s="12">
        <v>13.95</v>
      </c>
      <c r="L58" s="12">
        <v>10.75</v>
      </c>
      <c r="M58" s="15">
        <v>0.4</v>
      </c>
      <c r="N58" s="11">
        <v>14.9</v>
      </c>
      <c r="O58" s="11">
        <v>30</v>
      </c>
      <c r="P58" s="11">
        <v>358.8</v>
      </c>
      <c r="Q58" s="12">
        <v>13.38</v>
      </c>
      <c r="R58" s="13" t="s">
        <v>94</v>
      </c>
      <c r="S58" s="14" t="s">
        <v>200</v>
      </c>
    </row>
    <row r="59" spans="1:19" ht="78.75" x14ac:dyDescent="0.2">
      <c r="A59" s="10" t="s">
        <v>201</v>
      </c>
      <c r="B59" s="10" t="s">
        <v>202</v>
      </c>
      <c r="C59" s="10" t="s">
        <v>737</v>
      </c>
      <c r="D59" s="11">
        <v>37.9</v>
      </c>
      <c r="E59" s="12">
        <v>-1.53</v>
      </c>
      <c r="F59" s="12">
        <v>-6.43</v>
      </c>
      <c r="G59" s="12">
        <v>-6.48</v>
      </c>
      <c r="H59" s="15">
        <v>-0.46100000000000002</v>
      </c>
      <c r="I59" s="17" t="s">
        <v>94</v>
      </c>
      <c r="J59" s="17" t="s">
        <v>94</v>
      </c>
      <c r="K59" s="17" t="s">
        <v>94</v>
      </c>
      <c r="L59" s="17" t="s">
        <v>94</v>
      </c>
      <c r="M59" s="17" t="s">
        <v>94</v>
      </c>
      <c r="N59" s="11">
        <v>18</v>
      </c>
      <c r="O59" s="11">
        <v>20.6</v>
      </c>
      <c r="P59" s="11">
        <v>60.5</v>
      </c>
      <c r="Q59" s="12">
        <v>4.33</v>
      </c>
      <c r="R59" s="13" t="s">
        <v>94</v>
      </c>
      <c r="S59" s="14" t="s">
        <v>203</v>
      </c>
    </row>
    <row r="60" spans="1:19" ht="45" x14ac:dyDescent="0.2">
      <c r="A60" s="10" t="s">
        <v>204</v>
      </c>
      <c r="B60" s="10" t="s">
        <v>205</v>
      </c>
      <c r="C60" s="10" t="s">
        <v>495</v>
      </c>
      <c r="D60" s="11">
        <v>37.299999999999997</v>
      </c>
      <c r="E60" s="11">
        <v>-16.8</v>
      </c>
      <c r="F60" s="11">
        <v>-17.2</v>
      </c>
      <c r="G60" s="11">
        <v>-17.8</v>
      </c>
      <c r="H60" s="12">
        <v>-3.22</v>
      </c>
      <c r="I60" s="11">
        <v>43.4</v>
      </c>
      <c r="J60" s="12">
        <v>-6.9</v>
      </c>
      <c r="K60" s="12">
        <v>-6.28</v>
      </c>
      <c r="L60" s="12">
        <v>-8.3000000000000007</v>
      </c>
      <c r="M60" s="12">
        <v>-1.06</v>
      </c>
      <c r="N60" s="12">
        <v>5.91</v>
      </c>
      <c r="O60" s="12">
        <v>4.92</v>
      </c>
      <c r="P60" s="12">
        <v>7.85</v>
      </c>
      <c r="Q60" s="15">
        <v>0.88500000000000001</v>
      </c>
      <c r="R60" s="13" t="s">
        <v>94</v>
      </c>
      <c r="S60" s="14" t="s">
        <v>206</v>
      </c>
    </row>
    <row r="61" spans="1:19" ht="67.5" x14ac:dyDescent="0.2">
      <c r="A61" s="10" t="s">
        <v>207</v>
      </c>
      <c r="B61" s="10" t="s">
        <v>208</v>
      </c>
      <c r="C61" s="10" t="s">
        <v>738</v>
      </c>
      <c r="D61" s="11">
        <v>36.299999999999997</v>
      </c>
      <c r="E61" s="11">
        <v>-64.8</v>
      </c>
      <c r="F61" s="11">
        <v>-64.8</v>
      </c>
      <c r="G61" s="11">
        <v>-85.1</v>
      </c>
      <c r="H61" s="12">
        <v>-1.91</v>
      </c>
      <c r="I61" s="11">
        <v>76.2</v>
      </c>
      <c r="J61" s="11">
        <v>-41.8</v>
      </c>
      <c r="K61" s="12">
        <v>-44.4</v>
      </c>
      <c r="L61" s="12">
        <v>-49.45</v>
      </c>
      <c r="M61" s="15">
        <v>-0.91700000000000004</v>
      </c>
      <c r="N61" s="11">
        <v>76.7</v>
      </c>
      <c r="O61" s="11">
        <v>52.7</v>
      </c>
      <c r="P61" s="11">
        <v>151.4</v>
      </c>
      <c r="Q61" s="12">
        <v>3.01</v>
      </c>
      <c r="R61" s="13" t="s">
        <v>94</v>
      </c>
      <c r="S61" s="14" t="s">
        <v>209</v>
      </c>
    </row>
    <row r="62" spans="1:19" ht="67.5" x14ac:dyDescent="0.2">
      <c r="A62" s="10" t="s">
        <v>210</v>
      </c>
      <c r="B62" s="10" t="s">
        <v>211</v>
      </c>
      <c r="C62" s="10" t="s">
        <v>712</v>
      </c>
      <c r="D62" s="11">
        <v>23.6</v>
      </c>
      <c r="E62" s="11">
        <v>-80.599999999999994</v>
      </c>
      <c r="F62" s="11">
        <v>-87</v>
      </c>
      <c r="G62" s="11">
        <v>-105.5</v>
      </c>
      <c r="H62" s="12">
        <v>-2.2799999999999998</v>
      </c>
      <c r="I62" s="11">
        <v>85.1</v>
      </c>
      <c r="J62" s="11">
        <v>-30.2</v>
      </c>
      <c r="K62" s="12">
        <v>-20.57</v>
      </c>
      <c r="L62" s="12">
        <v>11.71</v>
      </c>
      <c r="M62" s="15">
        <v>7.5999999999999998E-2</v>
      </c>
      <c r="N62" s="11">
        <v>69.5</v>
      </c>
      <c r="O62" s="11">
        <v>60.3</v>
      </c>
      <c r="P62" s="11">
        <v>424.8</v>
      </c>
      <c r="Q62" s="12">
        <v>7.85</v>
      </c>
      <c r="R62" s="13" t="s">
        <v>94</v>
      </c>
      <c r="S62" s="14" t="s">
        <v>212</v>
      </c>
    </row>
    <row r="63" spans="1:19" ht="45" x14ac:dyDescent="0.2">
      <c r="A63" s="10" t="s">
        <v>213</v>
      </c>
      <c r="B63" s="10" t="s">
        <v>214</v>
      </c>
      <c r="C63" s="10" t="s">
        <v>739</v>
      </c>
      <c r="D63" s="11">
        <v>19.2</v>
      </c>
      <c r="E63" s="12">
        <v>-1.17</v>
      </c>
      <c r="F63" s="12">
        <v>-2.34</v>
      </c>
      <c r="G63" s="12">
        <v>-2.69</v>
      </c>
      <c r="H63" s="12">
        <v>-1.42</v>
      </c>
      <c r="I63" s="11">
        <v>22.1</v>
      </c>
      <c r="J63" s="17" t="s">
        <v>94</v>
      </c>
      <c r="K63" s="15">
        <v>-0.80700000000000005</v>
      </c>
      <c r="L63" s="17" t="s">
        <v>94</v>
      </c>
      <c r="M63" s="15">
        <v>-0.39800000000000002</v>
      </c>
      <c r="N63" s="12">
        <v>2.4500000000000002</v>
      </c>
      <c r="O63" s="12">
        <v>1.27</v>
      </c>
      <c r="P63" s="12">
        <v>1.61</v>
      </c>
      <c r="Q63" s="15">
        <v>0.25800000000000001</v>
      </c>
      <c r="R63" s="13" t="s">
        <v>94</v>
      </c>
      <c r="S63" s="14" t="s">
        <v>215</v>
      </c>
    </row>
    <row r="64" spans="1:19" ht="78.75" x14ac:dyDescent="0.2">
      <c r="A64" s="10" t="s">
        <v>216</v>
      </c>
      <c r="B64" s="10" t="s">
        <v>217</v>
      </c>
      <c r="C64" s="10" t="s">
        <v>740</v>
      </c>
      <c r="D64" s="11">
        <v>18.7</v>
      </c>
      <c r="E64" s="11">
        <v>-52.2</v>
      </c>
      <c r="F64" s="11">
        <v>-52.5</v>
      </c>
      <c r="G64" s="11">
        <v>-132.1</v>
      </c>
      <c r="H64" s="12">
        <v>-1.71</v>
      </c>
      <c r="I64" s="11">
        <v>18.899999999999999</v>
      </c>
      <c r="J64" s="17" t="s">
        <v>94</v>
      </c>
      <c r="K64" s="12">
        <v>-70.7</v>
      </c>
      <c r="L64" s="12">
        <v>-69.37</v>
      </c>
      <c r="M64" s="15">
        <v>-0.60799999999999998</v>
      </c>
      <c r="N64" s="11">
        <v>113.6</v>
      </c>
      <c r="O64" s="12">
        <v>2.6</v>
      </c>
      <c r="P64" s="11">
        <v>174.8</v>
      </c>
      <c r="Q64" s="12">
        <v>1.62</v>
      </c>
      <c r="R64" s="13" t="s">
        <v>94</v>
      </c>
      <c r="S64" s="14" t="s">
        <v>218</v>
      </c>
    </row>
    <row r="65" spans="1:19" ht="56.25" x14ac:dyDescent="0.2">
      <c r="A65" s="10" t="s">
        <v>219</v>
      </c>
      <c r="B65" s="10" t="s">
        <v>220</v>
      </c>
      <c r="C65" s="10" t="s">
        <v>496</v>
      </c>
      <c r="D65" s="11">
        <v>16.899999999999999</v>
      </c>
      <c r="E65" s="11">
        <v>-40.700000000000003</v>
      </c>
      <c r="F65" s="11">
        <v>-41</v>
      </c>
      <c r="G65" s="11">
        <v>-38.5</v>
      </c>
      <c r="H65" s="15">
        <v>-0.218</v>
      </c>
      <c r="I65" s="16">
        <v>0</v>
      </c>
      <c r="J65" s="17" t="s">
        <v>94</v>
      </c>
      <c r="K65" s="12">
        <v>-47.64</v>
      </c>
      <c r="L65" s="17" t="s">
        <v>94</v>
      </c>
      <c r="M65" s="15">
        <v>-0.23799999999999999</v>
      </c>
      <c r="N65" s="11">
        <v>24.9</v>
      </c>
      <c r="O65" s="11">
        <v>13.9</v>
      </c>
      <c r="P65" s="11">
        <v>77.5</v>
      </c>
      <c r="Q65" s="15">
        <v>0.52900000000000003</v>
      </c>
      <c r="R65" s="13" t="s">
        <v>94</v>
      </c>
      <c r="S65" s="14" t="s">
        <v>221</v>
      </c>
    </row>
    <row r="66" spans="1:19" ht="67.5" x14ac:dyDescent="0.2">
      <c r="A66" s="10" t="s">
        <v>222</v>
      </c>
      <c r="B66" s="10" t="s">
        <v>223</v>
      </c>
      <c r="C66" s="10" t="s">
        <v>497</v>
      </c>
      <c r="D66" s="11">
        <v>16</v>
      </c>
      <c r="E66" s="12">
        <v>5.6</v>
      </c>
      <c r="F66" s="12">
        <v>5.48</v>
      </c>
      <c r="G66" s="12">
        <v>3.6</v>
      </c>
      <c r="H66" s="15">
        <v>0.92800000000000005</v>
      </c>
      <c r="I66" s="12">
        <v>3</v>
      </c>
      <c r="J66" s="17" t="s">
        <v>94</v>
      </c>
      <c r="K66" s="12">
        <v>-12.35</v>
      </c>
      <c r="L66" s="12">
        <v>-12.2</v>
      </c>
      <c r="M66" s="12">
        <v>-2.5</v>
      </c>
      <c r="N66" s="11">
        <v>26.8</v>
      </c>
      <c r="O66" s="15">
        <v>5.7000000000000002E-2</v>
      </c>
      <c r="P66" s="12">
        <v>8.9700000000000006</v>
      </c>
      <c r="Q66" s="12">
        <v>2.99</v>
      </c>
      <c r="R66" s="13" t="s">
        <v>94</v>
      </c>
      <c r="S66" s="14" t="s">
        <v>224</v>
      </c>
    </row>
    <row r="67" spans="1:19" ht="45" x14ac:dyDescent="0.2">
      <c r="A67" s="10" t="s">
        <v>225</v>
      </c>
      <c r="B67" s="10" t="s">
        <v>226</v>
      </c>
      <c r="C67" s="10" t="s">
        <v>498</v>
      </c>
      <c r="D67" s="11">
        <v>14</v>
      </c>
      <c r="E67" s="11">
        <v>-119.7</v>
      </c>
      <c r="F67" s="11">
        <v>-121.3</v>
      </c>
      <c r="G67" s="11">
        <v>-130.4</v>
      </c>
      <c r="H67" s="12">
        <v>-1.66</v>
      </c>
      <c r="I67" s="11">
        <v>43.6</v>
      </c>
      <c r="J67" s="11">
        <v>-93.9</v>
      </c>
      <c r="K67" s="12">
        <v>-125.76</v>
      </c>
      <c r="L67" s="12">
        <v>-91.38</v>
      </c>
      <c r="M67" s="12">
        <v>-1.57</v>
      </c>
      <c r="N67" s="11">
        <v>176.5</v>
      </c>
      <c r="O67" s="11">
        <v>122.4</v>
      </c>
      <c r="P67" s="11">
        <v>1268.4000000000001</v>
      </c>
      <c r="Q67" s="12">
        <v>14.87</v>
      </c>
      <c r="R67" s="13" t="s">
        <v>94</v>
      </c>
      <c r="S67" s="14" t="s">
        <v>227</v>
      </c>
    </row>
    <row r="68" spans="1:19" ht="101.25" x14ac:dyDescent="0.2">
      <c r="A68" s="10" t="s">
        <v>228</v>
      </c>
      <c r="B68" s="10" t="s">
        <v>229</v>
      </c>
      <c r="C68" s="10" t="s">
        <v>499</v>
      </c>
      <c r="D68" s="11">
        <v>14</v>
      </c>
      <c r="E68" s="12">
        <v>-4.32</v>
      </c>
      <c r="F68" s="12">
        <v>-4.46</v>
      </c>
      <c r="G68" s="12">
        <v>-3.75</v>
      </c>
      <c r="H68" s="12">
        <v>-3.64</v>
      </c>
      <c r="I68" s="11">
        <v>18.3</v>
      </c>
      <c r="J68" s="17" t="s">
        <v>94</v>
      </c>
      <c r="K68" s="12">
        <v>-3.25</v>
      </c>
      <c r="L68" s="17" t="s">
        <v>94</v>
      </c>
      <c r="M68" s="12">
        <v>-2.11</v>
      </c>
      <c r="N68" s="12">
        <v>3.13</v>
      </c>
      <c r="O68" s="15">
        <v>0.60799999999999998</v>
      </c>
      <c r="P68" s="12">
        <v>5.07</v>
      </c>
      <c r="Q68" s="12">
        <v>3.14</v>
      </c>
      <c r="R68" s="13" t="s">
        <v>94</v>
      </c>
      <c r="S68" s="14" t="s">
        <v>230</v>
      </c>
    </row>
    <row r="69" spans="1:19" ht="56.25" x14ac:dyDescent="0.2">
      <c r="A69" s="10" t="s">
        <v>231</v>
      </c>
      <c r="B69" s="10" t="s">
        <v>232</v>
      </c>
      <c r="C69" s="10" t="s">
        <v>741</v>
      </c>
      <c r="D69" s="11">
        <v>13.8</v>
      </c>
      <c r="E69" s="12">
        <v>-5.4</v>
      </c>
      <c r="F69" s="12">
        <v>-5.59</v>
      </c>
      <c r="G69" s="11">
        <v>-10.1</v>
      </c>
      <c r="H69" s="11">
        <v>-12.1</v>
      </c>
      <c r="I69" s="11">
        <v>11.5</v>
      </c>
      <c r="J69" s="12">
        <v>-2.7</v>
      </c>
      <c r="K69" s="12">
        <v>-4.2</v>
      </c>
      <c r="L69" s="12">
        <v>-4.5999999999999996</v>
      </c>
      <c r="M69" s="15">
        <v>-0.9</v>
      </c>
      <c r="N69" s="12">
        <v>3.13</v>
      </c>
      <c r="O69" s="12">
        <v>2.74</v>
      </c>
      <c r="P69" s="12">
        <v>2.98</v>
      </c>
      <c r="Q69" s="15">
        <v>0.61</v>
      </c>
      <c r="R69" s="13" t="s">
        <v>94</v>
      </c>
      <c r="S69" s="14" t="s">
        <v>233</v>
      </c>
    </row>
    <row r="70" spans="1:19" ht="56.25" x14ac:dyDescent="0.2">
      <c r="A70" s="10" t="s">
        <v>234</v>
      </c>
      <c r="B70" s="10" t="s">
        <v>235</v>
      </c>
      <c r="C70" s="10" t="s">
        <v>500</v>
      </c>
      <c r="D70" s="11">
        <v>12.8</v>
      </c>
      <c r="E70" s="11">
        <v>-27.9</v>
      </c>
      <c r="F70" s="11">
        <v>-35.4</v>
      </c>
      <c r="G70" s="11">
        <v>-27.8</v>
      </c>
      <c r="H70" s="12">
        <v>-1.5</v>
      </c>
      <c r="I70" s="11">
        <v>15.5</v>
      </c>
      <c r="J70" s="17" t="s">
        <v>94</v>
      </c>
      <c r="K70" s="12">
        <v>-14.88</v>
      </c>
      <c r="L70" s="12">
        <v>-14.53</v>
      </c>
      <c r="M70" s="15">
        <v>-0.68</v>
      </c>
      <c r="N70" s="12">
        <v>4.74</v>
      </c>
      <c r="O70" s="11">
        <v>21.4</v>
      </c>
      <c r="P70" s="11">
        <v>14.5</v>
      </c>
      <c r="Q70" s="15">
        <v>0.48</v>
      </c>
      <c r="R70" s="13" t="s">
        <v>94</v>
      </c>
      <c r="S70" s="14" t="s">
        <v>236</v>
      </c>
    </row>
    <row r="71" spans="1:19" ht="67.5" x14ac:dyDescent="0.2">
      <c r="A71" s="10" t="s">
        <v>237</v>
      </c>
      <c r="B71" s="10" t="s">
        <v>238</v>
      </c>
      <c r="C71" s="10" t="s">
        <v>501</v>
      </c>
      <c r="D71" s="11">
        <v>11.2</v>
      </c>
      <c r="E71" s="12">
        <v>-1.1100000000000001</v>
      </c>
      <c r="F71" s="12">
        <v>-1.1599999999999999</v>
      </c>
      <c r="G71" s="15">
        <v>8.0000000000000002E-3</v>
      </c>
      <c r="H71" s="15">
        <v>2E-3</v>
      </c>
      <c r="I71" s="12">
        <v>1.5</v>
      </c>
      <c r="J71" s="17" t="s">
        <v>94</v>
      </c>
      <c r="K71" s="12">
        <v>-11.1</v>
      </c>
      <c r="L71" s="17" t="s">
        <v>94</v>
      </c>
      <c r="M71" s="12">
        <v>-1.85</v>
      </c>
      <c r="N71" s="11">
        <v>21.6</v>
      </c>
      <c r="O71" s="15">
        <v>0.439</v>
      </c>
      <c r="P71" s="11">
        <v>18.600000000000001</v>
      </c>
      <c r="Q71" s="12">
        <v>3.47</v>
      </c>
      <c r="R71" s="13" t="s">
        <v>94</v>
      </c>
      <c r="S71" s="14" t="s">
        <v>239</v>
      </c>
    </row>
    <row r="72" spans="1:19" ht="67.5" x14ac:dyDescent="0.2">
      <c r="A72" s="10" t="s">
        <v>240</v>
      </c>
      <c r="B72" s="10" t="s">
        <v>241</v>
      </c>
      <c r="C72" s="10" t="s">
        <v>502</v>
      </c>
      <c r="D72" s="11">
        <v>10.5</v>
      </c>
      <c r="E72" s="11">
        <v>-27.9</v>
      </c>
      <c r="F72" s="11">
        <v>-29.9</v>
      </c>
      <c r="G72" s="11">
        <v>-37.700000000000003</v>
      </c>
      <c r="H72" s="11">
        <v>-205.6</v>
      </c>
      <c r="I72" s="11">
        <v>14.6</v>
      </c>
      <c r="J72" s="17" t="s">
        <v>94</v>
      </c>
      <c r="K72" s="12">
        <v>-25.38</v>
      </c>
      <c r="L72" s="12">
        <v>-27.68</v>
      </c>
      <c r="M72" s="11">
        <v>-62.5</v>
      </c>
      <c r="N72" s="12">
        <v>6.47</v>
      </c>
      <c r="O72" s="11">
        <v>37.1</v>
      </c>
      <c r="P72" s="12">
        <v>2.69</v>
      </c>
      <c r="Q72" s="12">
        <v>5.13</v>
      </c>
      <c r="R72" s="13" t="s">
        <v>94</v>
      </c>
      <c r="S72" s="14" t="s">
        <v>242</v>
      </c>
    </row>
    <row r="73" spans="1:19" ht="33.75" x14ac:dyDescent="0.2">
      <c r="A73" s="10" t="s">
        <v>243</v>
      </c>
      <c r="B73" s="10" t="s">
        <v>244</v>
      </c>
      <c r="C73" s="10" t="s">
        <v>503</v>
      </c>
      <c r="D73" s="11">
        <v>10.199999999999999</v>
      </c>
      <c r="E73" s="16">
        <v>0</v>
      </c>
      <c r="F73" s="12">
        <v>-5.2</v>
      </c>
      <c r="G73" s="12">
        <v>-5.35</v>
      </c>
      <c r="H73" s="12">
        <v>-2.81</v>
      </c>
      <c r="I73" s="11">
        <v>16</v>
      </c>
      <c r="J73" s="17" t="s">
        <v>94</v>
      </c>
      <c r="K73" s="12">
        <v>-3.25</v>
      </c>
      <c r="L73" s="12">
        <v>-3.46</v>
      </c>
      <c r="M73" s="15">
        <v>-0.81</v>
      </c>
      <c r="N73" s="11">
        <v>13.6</v>
      </c>
      <c r="O73" s="12">
        <v>5.16</v>
      </c>
      <c r="P73" s="12">
        <v>5.97</v>
      </c>
      <c r="Q73" s="12">
        <v>2.88</v>
      </c>
      <c r="R73" s="13" t="s">
        <v>94</v>
      </c>
      <c r="S73" s="14" t="s">
        <v>245</v>
      </c>
    </row>
    <row r="74" spans="1:19" ht="45" x14ac:dyDescent="0.2">
      <c r="A74" s="10" t="s">
        <v>246</v>
      </c>
      <c r="B74" s="10" t="s">
        <v>247</v>
      </c>
      <c r="C74" s="10" t="s">
        <v>504</v>
      </c>
      <c r="D74" s="12">
        <v>8.3800000000000008</v>
      </c>
      <c r="E74" s="11">
        <v>-29.5</v>
      </c>
      <c r="F74" s="11">
        <v>-29.5</v>
      </c>
      <c r="G74" s="11">
        <v>-27.2</v>
      </c>
      <c r="H74" s="12">
        <v>-1.0900000000000001</v>
      </c>
      <c r="I74" s="11">
        <v>12.4</v>
      </c>
      <c r="J74" s="17" t="s">
        <v>94</v>
      </c>
      <c r="K74" s="12">
        <v>-31.33</v>
      </c>
      <c r="L74" s="12">
        <v>-32.14</v>
      </c>
      <c r="M74" s="12">
        <v>-1.1499999999999999</v>
      </c>
      <c r="N74" s="11">
        <v>50.5</v>
      </c>
      <c r="O74" s="16">
        <v>0</v>
      </c>
      <c r="P74" s="11">
        <v>46.3</v>
      </c>
      <c r="Q74" s="12">
        <v>1.03</v>
      </c>
      <c r="R74" s="13" t="s">
        <v>94</v>
      </c>
      <c r="S74" s="14" t="s">
        <v>248</v>
      </c>
    </row>
    <row r="75" spans="1:19" ht="45" x14ac:dyDescent="0.2">
      <c r="A75" s="10" t="s">
        <v>249</v>
      </c>
      <c r="B75" s="10" t="s">
        <v>250</v>
      </c>
      <c r="C75" s="10" t="s">
        <v>487</v>
      </c>
      <c r="D75" s="12">
        <v>7.87</v>
      </c>
      <c r="E75" s="11">
        <v>-166.9</v>
      </c>
      <c r="F75" s="11">
        <v>-167.6</v>
      </c>
      <c r="G75" s="11">
        <v>-567.9</v>
      </c>
      <c r="H75" s="12">
        <v>-2.11</v>
      </c>
      <c r="I75" s="11">
        <v>13.6</v>
      </c>
      <c r="J75" s="17" t="s">
        <v>94</v>
      </c>
      <c r="K75" s="12">
        <v>-240.41</v>
      </c>
      <c r="L75" s="12">
        <v>-173.87</v>
      </c>
      <c r="M75" s="15">
        <v>-0.65300000000000002</v>
      </c>
      <c r="N75" s="11">
        <v>502.7</v>
      </c>
      <c r="O75" s="12">
        <v>8.92</v>
      </c>
      <c r="P75" s="11">
        <v>636.70000000000005</v>
      </c>
      <c r="Q75" s="12">
        <v>1.88</v>
      </c>
      <c r="R75" s="13" t="s">
        <v>94</v>
      </c>
      <c r="S75" s="14" t="s">
        <v>251</v>
      </c>
    </row>
    <row r="76" spans="1:19" ht="56.25" x14ac:dyDescent="0.2">
      <c r="A76" s="10" t="s">
        <v>252</v>
      </c>
      <c r="B76" s="10" t="s">
        <v>253</v>
      </c>
      <c r="C76" s="10" t="s">
        <v>505</v>
      </c>
      <c r="D76" s="12">
        <v>7.81</v>
      </c>
      <c r="E76" s="12">
        <v>-7</v>
      </c>
      <c r="F76" s="12">
        <v>-7.15</v>
      </c>
      <c r="G76" s="12">
        <v>-9.56</v>
      </c>
      <c r="H76" s="12">
        <v>-2.62</v>
      </c>
      <c r="I76" s="17" t="s">
        <v>94</v>
      </c>
      <c r="J76" s="17" t="s">
        <v>94</v>
      </c>
      <c r="K76" s="17" t="s">
        <v>94</v>
      </c>
      <c r="L76" s="17" t="s">
        <v>94</v>
      </c>
      <c r="M76" s="17" t="s">
        <v>94</v>
      </c>
      <c r="N76" s="12">
        <v>9.52</v>
      </c>
      <c r="O76" s="16">
        <v>0</v>
      </c>
      <c r="P76" s="11">
        <v>24.6</v>
      </c>
      <c r="Q76" s="12">
        <v>6.73</v>
      </c>
      <c r="R76" s="13" t="s">
        <v>94</v>
      </c>
      <c r="S76" s="14" t="s">
        <v>254</v>
      </c>
    </row>
    <row r="77" spans="1:19" ht="33.75" x14ac:dyDescent="0.2">
      <c r="A77" s="10" t="s">
        <v>255</v>
      </c>
      <c r="B77" s="10" t="s">
        <v>256</v>
      </c>
      <c r="C77" s="10" t="s">
        <v>742</v>
      </c>
      <c r="D77" s="12">
        <v>7.7</v>
      </c>
      <c r="E77" s="11">
        <v>-24.5</v>
      </c>
      <c r="F77" s="11">
        <v>-24.6</v>
      </c>
      <c r="G77" s="11">
        <v>-31.9</v>
      </c>
      <c r="H77" s="15">
        <v>-0.45300000000000001</v>
      </c>
      <c r="I77" s="15">
        <v>0.59399999999999997</v>
      </c>
      <c r="J77" s="17" t="s">
        <v>94</v>
      </c>
      <c r="K77" s="12">
        <v>-36.22</v>
      </c>
      <c r="L77" s="12">
        <v>-44.05</v>
      </c>
      <c r="M77" s="15">
        <v>-0.39800000000000002</v>
      </c>
      <c r="N77" s="11">
        <v>28.9</v>
      </c>
      <c r="O77" s="11">
        <v>43</v>
      </c>
      <c r="P77" s="11">
        <v>77.400000000000006</v>
      </c>
      <c r="Q77" s="12">
        <v>1.02</v>
      </c>
      <c r="R77" s="13" t="s">
        <v>94</v>
      </c>
      <c r="S77" s="14" t="s">
        <v>257</v>
      </c>
    </row>
    <row r="78" spans="1:19" ht="67.5" x14ac:dyDescent="0.2">
      <c r="A78" s="10" t="s">
        <v>258</v>
      </c>
      <c r="B78" s="10" t="s">
        <v>259</v>
      </c>
      <c r="C78" s="10" t="s">
        <v>743</v>
      </c>
      <c r="D78" s="12">
        <v>7.57</v>
      </c>
      <c r="E78" s="11">
        <v>-64.099999999999994</v>
      </c>
      <c r="F78" s="11">
        <v>-65</v>
      </c>
      <c r="G78" s="11">
        <v>-76.599999999999994</v>
      </c>
      <c r="H78" s="12">
        <v>-1.48</v>
      </c>
      <c r="I78" s="11">
        <v>16.2</v>
      </c>
      <c r="J78" s="17" t="s">
        <v>94</v>
      </c>
      <c r="K78" s="12">
        <v>-26.89</v>
      </c>
      <c r="L78" s="12">
        <v>-33.44</v>
      </c>
      <c r="M78" s="15">
        <v>-0.41399999999999998</v>
      </c>
      <c r="N78" s="11">
        <v>46.3</v>
      </c>
      <c r="O78" s="11">
        <v>45.9</v>
      </c>
      <c r="P78" s="11">
        <v>40.799999999999997</v>
      </c>
      <c r="Q78" s="15">
        <v>0.44500000000000001</v>
      </c>
      <c r="R78" s="13" t="s">
        <v>94</v>
      </c>
      <c r="S78" s="14" t="s">
        <v>260</v>
      </c>
    </row>
    <row r="79" spans="1:19" ht="56.25" x14ac:dyDescent="0.2">
      <c r="A79" s="10" t="s">
        <v>261</v>
      </c>
      <c r="B79" s="10" t="s">
        <v>262</v>
      </c>
      <c r="C79" s="10" t="s">
        <v>506</v>
      </c>
      <c r="D79" s="12">
        <v>7.14</v>
      </c>
      <c r="E79" s="11">
        <v>-55.6</v>
      </c>
      <c r="F79" s="11">
        <v>-55.8</v>
      </c>
      <c r="G79" s="11">
        <v>-70.900000000000006</v>
      </c>
      <c r="H79" s="11">
        <v>-15.5</v>
      </c>
      <c r="I79" s="17" t="s">
        <v>94</v>
      </c>
      <c r="J79" s="17" t="s">
        <v>94</v>
      </c>
      <c r="K79" s="17" t="s">
        <v>94</v>
      </c>
      <c r="L79" s="17" t="s">
        <v>94</v>
      </c>
      <c r="M79" s="17" t="s">
        <v>94</v>
      </c>
      <c r="N79" s="11">
        <v>37.9</v>
      </c>
      <c r="O79" s="11">
        <v>44.4</v>
      </c>
      <c r="P79" s="11">
        <v>25.3</v>
      </c>
      <c r="Q79" s="12">
        <v>5.53</v>
      </c>
      <c r="R79" s="13" t="s">
        <v>94</v>
      </c>
      <c r="S79" s="14" t="s">
        <v>263</v>
      </c>
    </row>
    <row r="80" spans="1:19" ht="33.75" x14ac:dyDescent="0.2">
      <c r="A80" s="10" t="s">
        <v>264</v>
      </c>
      <c r="B80" s="10" t="s">
        <v>265</v>
      </c>
      <c r="C80" s="10" t="s">
        <v>507</v>
      </c>
      <c r="D80" s="12">
        <v>7.11</v>
      </c>
      <c r="E80" s="12">
        <v>-5.09</v>
      </c>
      <c r="F80" s="12">
        <v>-7.77</v>
      </c>
      <c r="G80" s="11">
        <v>-20.2</v>
      </c>
      <c r="H80" s="12">
        <v>-2.13</v>
      </c>
      <c r="I80" s="17" t="s">
        <v>94</v>
      </c>
      <c r="J80" s="17" t="s">
        <v>94</v>
      </c>
      <c r="K80" s="17" t="s">
        <v>94</v>
      </c>
      <c r="L80" s="17" t="s">
        <v>94</v>
      </c>
      <c r="M80" s="17" t="s">
        <v>94</v>
      </c>
      <c r="N80" s="15">
        <v>5.0000000000000001E-3</v>
      </c>
      <c r="O80" s="15">
        <v>0.70699999999999996</v>
      </c>
      <c r="P80" s="11">
        <v>64.2</v>
      </c>
      <c r="Q80" s="12">
        <v>4.5599999999999996</v>
      </c>
      <c r="R80" s="13" t="s">
        <v>94</v>
      </c>
      <c r="S80" s="14" t="s">
        <v>266</v>
      </c>
    </row>
    <row r="81" spans="1:19" ht="101.25" x14ac:dyDescent="0.2">
      <c r="A81" s="10" t="s">
        <v>267</v>
      </c>
      <c r="B81" s="10" t="s">
        <v>268</v>
      </c>
      <c r="C81" s="10" t="s">
        <v>744</v>
      </c>
      <c r="D81" s="12">
        <v>5.55</v>
      </c>
      <c r="E81" s="12">
        <v>-1.71</v>
      </c>
      <c r="F81" s="12">
        <v>-4.58</v>
      </c>
      <c r="G81" s="12">
        <v>-4.74</v>
      </c>
      <c r="H81" s="15">
        <v>-0.35099999999999998</v>
      </c>
      <c r="I81" s="17" t="s">
        <v>94</v>
      </c>
      <c r="J81" s="17" t="s">
        <v>94</v>
      </c>
      <c r="K81" s="17" t="s">
        <v>94</v>
      </c>
      <c r="L81" s="17" t="s">
        <v>94</v>
      </c>
      <c r="M81" s="17" t="s">
        <v>94</v>
      </c>
      <c r="N81" s="12">
        <v>1.42</v>
      </c>
      <c r="O81" s="12">
        <v>4.63</v>
      </c>
      <c r="P81" s="12">
        <v>5.08</v>
      </c>
      <c r="Q81" s="15">
        <v>0.26400000000000001</v>
      </c>
      <c r="R81" s="13" t="s">
        <v>94</v>
      </c>
      <c r="S81" s="14" t="s">
        <v>269</v>
      </c>
    </row>
    <row r="82" spans="1:19" ht="45" x14ac:dyDescent="0.2">
      <c r="A82" s="10" t="s">
        <v>270</v>
      </c>
      <c r="B82" s="10" t="s">
        <v>271</v>
      </c>
      <c r="C82" s="10" t="s">
        <v>508</v>
      </c>
      <c r="D82" s="12">
        <v>4.0199999999999996</v>
      </c>
      <c r="E82" s="11">
        <v>-10.6</v>
      </c>
      <c r="F82" s="11">
        <v>-13.6</v>
      </c>
      <c r="G82" s="12">
        <v>-4.7300000000000004</v>
      </c>
      <c r="H82" s="12">
        <v>-3.26</v>
      </c>
      <c r="I82" s="17" t="s">
        <v>94</v>
      </c>
      <c r="J82" s="17" t="s">
        <v>94</v>
      </c>
      <c r="K82" s="17" t="s">
        <v>94</v>
      </c>
      <c r="L82" s="17" t="s">
        <v>94</v>
      </c>
      <c r="M82" s="17" t="s">
        <v>94</v>
      </c>
      <c r="N82" s="11">
        <v>13.3</v>
      </c>
      <c r="O82" s="12">
        <v>8.2799999999999994</v>
      </c>
      <c r="P82" s="12">
        <v>4.04</v>
      </c>
      <c r="Q82" s="15">
        <v>0.13500000000000001</v>
      </c>
      <c r="R82" s="13" t="s">
        <v>94</v>
      </c>
      <c r="S82" s="14" t="s">
        <v>272</v>
      </c>
    </row>
    <row r="83" spans="1:19" ht="56.25" x14ac:dyDescent="0.2">
      <c r="A83" s="10" t="s">
        <v>273</v>
      </c>
      <c r="B83" s="10" t="s">
        <v>274</v>
      </c>
      <c r="C83" s="10" t="s">
        <v>745</v>
      </c>
      <c r="D83" s="12">
        <v>3.75</v>
      </c>
      <c r="E83" s="11">
        <v>-36.5</v>
      </c>
      <c r="F83" s="11">
        <v>-37.1</v>
      </c>
      <c r="G83" s="11">
        <v>-21.3</v>
      </c>
      <c r="H83" s="15">
        <v>-0.439</v>
      </c>
      <c r="I83" s="11">
        <v>24.3</v>
      </c>
      <c r="J83" s="17" t="s">
        <v>94</v>
      </c>
      <c r="K83" s="12">
        <v>-18.579999999999998</v>
      </c>
      <c r="L83" s="12">
        <v>-19.059999999999999</v>
      </c>
      <c r="M83" s="15">
        <v>-0.29699999999999999</v>
      </c>
      <c r="N83" s="11">
        <v>59.3</v>
      </c>
      <c r="O83" s="11">
        <v>16.3</v>
      </c>
      <c r="P83" s="11">
        <v>38.700000000000003</v>
      </c>
      <c r="Q83" s="15">
        <v>0.99399999999999999</v>
      </c>
      <c r="R83" s="13" t="s">
        <v>94</v>
      </c>
      <c r="S83" s="14" t="s">
        <v>275</v>
      </c>
    </row>
    <row r="84" spans="1:19" ht="56.25" x14ac:dyDescent="0.2">
      <c r="A84" s="10" t="s">
        <v>276</v>
      </c>
      <c r="B84" s="10" t="s">
        <v>277</v>
      </c>
      <c r="C84" s="10" t="s">
        <v>509</v>
      </c>
      <c r="D84" s="12">
        <v>2.0299999999999998</v>
      </c>
      <c r="E84" s="11">
        <v>-18.399999999999999</v>
      </c>
      <c r="F84" s="11">
        <v>-18.5</v>
      </c>
      <c r="G84" s="12">
        <v>-7.87</v>
      </c>
      <c r="H84" s="15">
        <v>-0.58099999999999996</v>
      </c>
      <c r="I84" s="12">
        <v>2.2799999999999998</v>
      </c>
      <c r="J84" s="17" t="s">
        <v>94</v>
      </c>
      <c r="K84" s="12">
        <v>-18.97</v>
      </c>
      <c r="L84" s="12">
        <v>-19.04</v>
      </c>
      <c r="M84" s="15">
        <v>-0.54200000000000004</v>
      </c>
      <c r="N84" s="11">
        <v>11.8</v>
      </c>
      <c r="O84" s="12">
        <v>2.21</v>
      </c>
      <c r="P84" s="11">
        <v>25</v>
      </c>
      <c r="Q84" s="15">
        <v>0.80600000000000005</v>
      </c>
      <c r="R84" s="13" t="s">
        <v>94</v>
      </c>
      <c r="S84" s="14" t="s">
        <v>278</v>
      </c>
    </row>
    <row r="85" spans="1:19" ht="33.75" x14ac:dyDescent="0.2">
      <c r="A85" s="10" t="s">
        <v>279</v>
      </c>
      <c r="B85" s="10" t="s">
        <v>280</v>
      </c>
      <c r="C85" s="10" t="s">
        <v>510</v>
      </c>
      <c r="D85" s="12">
        <v>2.02</v>
      </c>
      <c r="E85" s="12">
        <v>-5.75</v>
      </c>
      <c r="F85" s="12">
        <v>-6.03</v>
      </c>
      <c r="G85" s="12">
        <v>-6.85</v>
      </c>
      <c r="H85" s="15">
        <v>-0.69099999999999995</v>
      </c>
      <c r="I85" s="12">
        <v>2.97</v>
      </c>
      <c r="J85" s="17" t="s">
        <v>94</v>
      </c>
      <c r="K85" s="12">
        <v>-7.92</v>
      </c>
      <c r="L85" s="12">
        <v>-7.76</v>
      </c>
      <c r="M85" s="15">
        <v>-0.6</v>
      </c>
      <c r="N85" s="15">
        <v>0.49299999999999999</v>
      </c>
      <c r="O85" s="15">
        <v>0.24099999999999999</v>
      </c>
      <c r="P85" s="11">
        <v>73.400000000000006</v>
      </c>
      <c r="Q85" s="12">
        <v>6.61</v>
      </c>
      <c r="R85" s="13" t="s">
        <v>94</v>
      </c>
      <c r="S85" s="14" t="s">
        <v>281</v>
      </c>
    </row>
    <row r="86" spans="1:19" ht="101.25" x14ac:dyDescent="0.2">
      <c r="A86" s="10" t="s">
        <v>282</v>
      </c>
      <c r="B86" s="10" t="s">
        <v>283</v>
      </c>
      <c r="C86" s="10" t="s">
        <v>511</v>
      </c>
      <c r="D86" s="12">
        <v>1.88</v>
      </c>
      <c r="E86" s="11">
        <v>-23</v>
      </c>
      <c r="F86" s="11">
        <v>-23</v>
      </c>
      <c r="G86" s="12">
        <v>-3.61</v>
      </c>
      <c r="H86" s="15">
        <v>-0.433</v>
      </c>
      <c r="I86" s="12">
        <v>1</v>
      </c>
      <c r="J86" s="17" t="s">
        <v>94</v>
      </c>
      <c r="K86" s="12">
        <v>-21.22</v>
      </c>
      <c r="L86" s="12">
        <v>-21.03</v>
      </c>
      <c r="M86" s="12">
        <v>-2.15</v>
      </c>
      <c r="N86" s="11">
        <v>10.5</v>
      </c>
      <c r="O86" s="12">
        <v>1.4</v>
      </c>
      <c r="P86" s="11">
        <v>25.1</v>
      </c>
      <c r="Q86" s="12">
        <v>2.88</v>
      </c>
      <c r="R86" s="13" t="s">
        <v>94</v>
      </c>
      <c r="S86" s="14" t="s">
        <v>284</v>
      </c>
    </row>
    <row r="87" spans="1:19" ht="22.5" x14ac:dyDescent="0.2">
      <c r="A87" s="10" t="s">
        <v>285</v>
      </c>
      <c r="B87" s="10" t="s">
        <v>286</v>
      </c>
      <c r="C87" s="10" t="s">
        <v>512</v>
      </c>
      <c r="D87" s="12">
        <v>1.86</v>
      </c>
      <c r="E87" s="12">
        <v>-6.09</v>
      </c>
      <c r="F87" s="12">
        <v>-6.25</v>
      </c>
      <c r="G87" s="12">
        <v>-6.18</v>
      </c>
      <c r="H87" s="12">
        <v>-8.86</v>
      </c>
      <c r="I87" s="12">
        <v>4.2</v>
      </c>
      <c r="J87" s="12">
        <v>-4.26</v>
      </c>
      <c r="K87" s="12">
        <v>-5.49</v>
      </c>
      <c r="L87" s="17" t="s">
        <v>94</v>
      </c>
      <c r="M87" s="12">
        <v>-6.24</v>
      </c>
      <c r="N87" s="12">
        <v>1.31</v>
      </c>
      <c r="O87" s="15">
        <v>0.26200000000000001</v>
      </c>
      <c r="P87" s="12">
        <v>3.6</v>
      </c>
      <c r="Q87" s="12">
        <v>2.06</v>
      </c>
      <c r="R87" s="13" t="s">
        <v>94</v>
      </c>
      <c r="S87" s="14" t="s">
        <v>287</v>
      </c>
    </row>
    <row r="88" spans="1:19" ht="33.75" x14ac:dyDescent="0.2">
      <c r="A88" s="10" t="s">
        <v>288</v>
      </c>
      <c r="B88" s="10" t="s">
        <v>289</v>
      </c>
      <c r="C88" s="10" t="s">
        <v>746</v>
      </c>
      <c r="D88" s="12">
        <v>1.6</v>
      </c>
      <c r="E88" s="12">
        <v>-4.55</v>
      </c>
      <c r="F88" s="12">
        <v>-4.79</v>
      </c>
      <c r="G88" s="12">
        <v>-3.32</v>
      </c>
      <c r="H88" s="15">
        <v>-0.34799999999999998</v>
      </c>
      <c r="I88" s="17" t="s">
        <v>94</v>
      </c>
      <c r="J88" s="17" t="s">
        <v>94</v>
      </c>
      <c r="K88" s="17" t="s">
        <v>94</v>
      </c>
      <c r="L88" s="17" t="s">
        <v>94</v>
      </c>
      <c r="M88" s="17" t="s">
        <v>94</v>
      </c>
      <c r="N88" s="12">
        <v>4.33</v>
      </c>
      <c r="O88" s="12">
        <v>8.01</v>
      </c>
      <c r="P88" s="11">
        <v>11.6</v>
      </c>
      <c r="Q88" s="12">
        <v>1.01</v>
      </c>
      <c r="R88" s="13" t="s">
        <v>94</v>
      </c>
      <c r="S88" s="14" t="s">
        <v>290</v>
      </c>
    </row>
    <row r="89" spans="1:19" ht="56.25" x14ac:dyDescent="0.2">
      <c r="A89" s="10" t="s">
        <v>291</v>
      </c>
      <c r="B89" s="10" t="s">
        <v>292</v>
      </c>
      <c r="C89" s="10" t="s">
        <v>513</v>
      </c>
      <c r="D89" s="12">
        <v>1.53</v>
      </c>
      <c r="E89" s="11">
        <v>-60.3</v>
      </c>
      <c r="F89" s="11">
        <v>-60.7</v>
      </c>
      <c r="G89" s="11">
        <v>-93.4</v>
      </c>
      <c r="H89" s="12">
        <v>-1.44</v>
      </c>
      <c r="I89" s="15">
        <v>0.86</v>
      </c>
      <c r="J89" s="17" t="s">
        <v>94</v>
      </c>
      <c r="K89" s="12">
        <v>-60.73</v>
      </c>
      <c r="L89" s="12">
        <v>-105.5</v>
      </c>
      <c r="M89" s="15">
        <v>-0.70799999999999996</v>
      </c>
      <c r="N89" s="11">
        <v>40.6</v>
      </c>
      <c r="O89" s="11">
        <v>34.4</v>
      </c>
      <c r="P89" s="11">
        <v>10.3</v>
      </c>
      <c r="Q89" s="15">
        <v>0.156</v>
      </c>
      <c r="R89" s="13" t="s">
        <v>94</v>
      </c>
      <c r="S89" s="14" t="s">
        <v>293</v>
      </c>
    </row>
    <row r="90" spans="1:19" ht="33.75" x14ac:dyDescent="0.2">
      <c r="A90" s="10" t="s">
        <v>294</v>
      </c>
      <c r="B90" s="10" t="s">
        <v>295</v>
      </c>
      <c r="C90" s="10" t="s">
        <v>747</v>
      </c>
      <c r="D90" s="12">
        <v>1.24</v>
      </c>
      <c r="E90" s="12">
        <v>-8.27</v>
      </c>
      <c r="F90" s="12">
        <v>-8.9</v>
      </c>
      <c r="G90" s="12">
        <v>-8.81</v>
      </c>
      <c r="H90" s="15">
        <v>-0.121</v>
      </c>
      <c r="I90" s="12">
        <v>1.43</v>
      </c>
      <c r="J90" s="17" t="s">
        <v>94</v>
      </c>
      <c r="K90" s="12">
        <v>-8.43</v>
      </c>
      <c r="L90" s="12">
        <v>-8.42</v>
      </c>
      <c r="M90" s="15">
        <v>-9.5000000000000001E-2</v>
      </c>
      <c r="N90" s="12">
        <v>1.2</v>
      </c>
      <c r="O90" s="15">
        <v>0.34499999999999997</v>
      </c>
      <c r="P90" s="11">
        <v>24.7</v>
      </c>
      <c r="Q90" s="15">
        <v>0.31</v>
      </c>
      <c r="R90" s="13" t="s">
        <v>94</v>
      </c>
      <c r="S90" s="14" t="s">
        <v>296</v>
      </c>
    </row>
    <row r="91" spans="1:19" ht="45" x14ac:dyDescent="0.2">
      <c r="A91" s="10" t="s">
        <v>297</v>
      </c>
      <c r="B91" s="10" t="s">
        <v>298</v>
      </c>
      <c r="C91" s="10" t="s">
        <v>748</v>
      </c>
      <c r="D91" s="15">
        <v>0.98099999999999998</v>
      </c>
      <c r="E91" s="11">
        <v>-68.2</v>
      </c>
      <c r="F91" s="11">
        <v>-69.400000000000006</v>
      </c>
      <c r="G91" s="11">
        <v>-16.2</v>
      </c>
      <c r="H91" s="12">
        <v>-8.69</v>
      </c>
      <c r="I91" s="16">
        <v>0</v>
      </c>
      <c r="J91" s="17" t="s">
        <v>94</v>
      </c>
      <c r="K91" s="12">
        <v>-94.6</v>
      </c>
      <c r="L91" s="12">
        <v>-82.91</v>
      </c>
      <c r="M91" s="12">
        <v>-1.86</v>
      </c>
      <c r="N91" s="11">
        <v>88.5</v>
      </c>
      <c r="O91" s="11">
        <v>12.6</v>
      </c>
      <c r="P91" s="11">
        <v>272.60000000000002</v>
      </c>
      <c r="Q91" s="12">
        <v>6.14</v>
      </c>
      <c r="R91" s="13" t="s">
        <v>94</v>
      </c>
      <c r="S91" s="14" t="s">
        <v>299</v>
      </c>
    </row>
    <row r="92" spans="1:19" ht="45" x14ac:dyDescent="0.2">
      <c r="A92" s="10" t="s">
        <v>300</v>
      </c>
      <c r="B92" s="10" t="s">
        <v>301</v>
      </c>
      <c r="C92" s="10" t="s">
        <v>514</v>
      </c>
      <c r="D92" s="15">
        <v>0.501</v>
      </c>
      <c r="E92" s="11">
        <v>-43.6</v>
      </c>
      <c r="F92" s="11">
        <v>-43.6</v>
      </c>
      <c r="G92" s="11">
        <v>-39.799999999999997</v>
      </c>
      <c r="H92" s="15">
        <v>-0.93500000000000005</v>
      </c>
      <c r="I92" s="15">
        <v>0.2</v>
      </c>
      <c r="J92" s="11">
        <v>-56.6</v>
      </c>
      <c r="K92" s="12">
        <v>-55.15</v>
      </c>
      <c r="L92" s="17" t="s">
        <v>94</v>
      </c>
      <c r="M92" s="12">
        <v>-1.18</v>
      </c>
      <c r="N92" s="11">
        <v>61.5</v>
      </c>
      <c r="O92" s="15">
        <v>9.9000000000000005E-2</v>
      </c>
      <c r="P92" s="11">
        <v>25.4</v>
      </c>
      <c r="Q92" s="12">
        <v>1.71</v>
      </c>
      <c r="R92" s="13" t="s">
        <v>94</v>
      </c>
      <c r="S92" s="14" t="s">
        <v>302</v>
      </c>
    </row>
    <row r="93" spans="1:19" ht="78.75" x14ac:dyDescent="0.2">
      <c r="A93" s="10" t="s">
        <v>303</v>
      </c>
      <c r="B93" s="10" t="s">
        <v>304</v>
      </c>
      <c r="C93" s="10" t="s">
        <v>515</v>
      </c>
      <c r="D93" s="15">
        <v>0.497</v>
      </c>
      <c r="E93" s="12">
        <v>-7.17</v>
      </c>
      <c r="F93" s="12">
        <v>-7.25</v>
      </c>
      <c r="G93" s="12">
        <v>-7.32</v>
      </c>
      <c r="H93" s="15">
        <v>-0.51200000000000001</v>
      </c>
      <c r="I93" s="15">
        <v>0.51100000000000001</v>
      </c>
      <c r="J93" s="17" t="s">
        <v>94</v>
      </c>
      <c r="K93" s="12">
        <v>-10.52</v>
      </c>
      <c r="L93" s="17" t="s">
        <v>94</v>
      </c>
      <c r="M93" s="15">
        <v>-0.55000000000000004</v>
      </c>
      <c r="N93" s="12">
        <v>6.56</v>
      </c>
      <c r="O93" s="15">
        <v>0.13700000000000001</v>
      </c>
      <c r="P93" s="11">
        <v>31.5</v>
      </c>
      <c r="Q93" s="12">
        <v>1.8</v>
      </c>
      <c r="R93" s="13" t="s">
        <v>94</v>
      </c>
      <c r="S93" s="14" t="s">
        <v>305</v>
      </c>
    </row>
    <row r="94" spans="1:19" ht="45" x14ac:dyDescent="0.2">
      <c r="A94" s="10" t="s">
        <v>306</v>
      </c>
      <c r="B94" s="10" t="s">
        <v>307</v>
      </c>
      <c r="C94" s="10" t="s">
        <v>516</v>
      </c>
      <c r="D94" s="15">
        <v>0.46300000000000002</v>
      </c>
      <c r="E94" s="12">
        <v>-9.49</v>
      </c>
      <c r="F94" s="12">
        <v>-9.5299999999999994</v>
      </c>
      <c r="G94" s="12">
        <v>-7.91</v>
      </c>
      <c r="H94" s="11">
        <v>-34.1</v>
      </c>
      <c r="I94" s="12">
        <v>1.42</v>
      </c>
      <c r="J94" s="17" t="s">
        <v>94</v>
      </c>
      <c r="K94" s="12">
        <v>-7.8</v>
      </c>
      <c r="L94" s="12">
        <v>-6.5</v>
      </c>
      <c r="M94" s="11">
        <v>-13.4</v>
      </c>
      <c r="N94" s="12">
        <v>2.14</v>
      </c>
      <c r="O94" s="15">
        <v>0.17299999999999999</v>
      </c>
      <c r="P94" s="12">
        <v>2.77</v>
      </c>
      <c r="Q94" s="12">
        <v>1.88</v>
      </c>
      <c r="R94" s="13" t="s">
        <v>94</v>
      </c>
      <c r="S94" s="14" t="s">
        <v>308</v>
      </c>
    </row>
    <row r="95" spans="1:19" ht="45" x14ac:dyDescent="0.2">
      <c r="A95" s="10" t="s">
        <v>309</v>
      </c>
      <c r="B95" s="10" t="s">
        <v>310</v>
      </c>
      <c r="C95" s="10" t="s">
        <v>749</v>
      </c>
      <c r="D95" s="15">
        <v>0.28100000000000003</v>
      </c>
      <c r="E95" s="11">
        <v>-16.5</v>
      </c>
      <c r="F95" s="11">
        <v>-16.5</v>
      </c>
      <c r="G95" s="11">
        <v>-15.7</v>
      </c>
      <c r="H95" s="15">
        <v>-0.65500000000000003</v>
      </c>
      <c r="I95" s="16">
        <v>0</v>
      </c>
      <c r="J95" s="17" t="s">
        <v>94</v>
      </c>
      <c r="K95" s="12">
        <v>-26.22</v>
      </c>
      <c r="L95" s="12">
        <v>-26.13</v>
      </c>
      <c r="M95" s="15">
        <v>-0.96</v>
      </c>
      <c r="N95" s="12">
        <v>9.3800000000000008</v>
      </c>
      <c r="O95" s="16">
        <v>0</v>
      </c>
      <c r="P95" s="11">
        <v>10.9</v>
      </c>
      <c r="Q95" s="15">
        <v>0.64</v>
      </c>
      <c r="R95" s="13" t="s">
        <v>94</v>
      </c>
      <c r="S95" s="14" t="s">
        <v>311</v>
      </c>
    </row>
    <row r="96" spans="1:19" ht="56.25" x14ac:dyDescent="0.2">
      <c r="A96" s="10" t="s">
        <v>312</v>
      </c>
      <c r="B96" s="10" t="s">
        <v>313</v>
      </c>
      <c r="C96" s="10" t="s">
        <v>517</v>
      </c>
      <c r="D96" s="15">
        <v>0.22600000000000001</v>
      </c>
      <c r="E96" s="11">
        <v>-24.1</v>
      </c>
      <c r="F96" s="11">
        <v>-24.1</v>
      </c>
      <c r="G96" s="11">
        <v>-140.80000000000001</v>
      </c>
      <c r="H96" s="11">
        <v>-141.80000000000001</v>
      </c>
      <c r="I96" s="17" t="s">
        <v>94</v>
      </c>
      <c r="J96" s="17" t="s">
        <v>94</v>
      </c>
      <c r="K96" s="17" t="s">
        <v>94</v>
      </c>
      <c r="L96" s="17" t="s">
        <v>94</v>
      </c>
      <c r="M96" s="17" t="s">
        <v>94</v>
      </c>
      <c r="N96" s="11">
        <v>20.8</v>
      </c>
      <c r="O96" s="16">
        <v>0</v>
      </c>
      <c r="P96" s="12">
        <v>9.24</v>
      </c>
      <c r="Q96" s="12">
        <v>2.5299999999999998</v>
      </c>
      <c r="R96" s="13" t="s">
        <v>94</v>
      </c>
      <c r="S96" s="14" t="s">
        <v>314</v>
      </c>
    </row>
    <row r="97" spans="1:19" ht="45" x14ac:dyDescent="0.2">
      <c r="A97" s="10" t="s">
        <v>315</v>
      </c>
      <c r="B97" s="10" t="s">
        <v>316</v>
      </c>
      <c r="C97" s="10" t="s">
        <v>750</v>
      </c>
      <c r="D97" s="15">
        <v>9.8000000000000004E-2</v>
      </c>
      <c r="E97" s="11">
        <v>-21.8</v>
      </c>
      <c r="F97" s="11">
        <v>-22</v>
      </c>
      <c r="G97" s="11">
        <v>-23.8</v>
      </c>
      <c r="H97" s="12">
        <v>-1.4</v>
      </c>
      <c r="I97" s="15">
        <v>0.39400000000000002</v>
      </c>
      <c r="J97" s="11">
        <v>-30.5</v>
      </c>
      <c r="K97" s="12">
        <v>-44.22</v>
      </c>
      <c r="L97" s="17" t="s">
        <v>94</v>
      </c>
      <c r="M97" s="12">
        <v>-1.86</v>
      </c>
      <c r="N97" s="12">
        <v>5.86</v>
      </c>
      <c r="O97" s="15">
        <v>0.373</v>
      </c>
      <c r="P97" s="11">
        <v>19.899999999999999</v>
      </c>
      <c r="Q97" s="15">
        <v>0.72099999999999997</v>
      </c>
      <c r="R97" s="13" t="s">
        <v>94</v>
      </c>
      <c r="S97" s="14" t="s">
        <v>317</v>
      </c>
    </row>
    <row r="98" spans="1:19" ht="78.75" x14ac:dyDescent="0.2">
      <c r="A98" s="10" t="s">
        <v>318</v>
      </c>
      <c r="B98" s="10" t="s">
        <v>319</v>
      </c>
      <c r="C98" s="10" t="s">
        <v>518</v>
      </c>
      <c r="D98" s="15">
        <v>3.2000000000000001E-2</v>
      </c>
      <c r="E98" s="11">
        <v>-35.6</v>
      </c>
      <c r="F98" s="11">
        <v>-36.799999999999997</v>
      </c>
      <c r="G98" s="11">
        <v>-37.799999999999997</v>
      </c>
      <c r="H98" s="11">
        <v>-55.3</v>
      </c>
      <c r="I98" s="12">
        <v>3.28</v>
      </c>
      <c r="J98" s="17" t="s">
        <v>94</v>
      </c>
      <c r="K98" s="12">
        <v>-32.61</v>
      </c>
      <c r="L98" s="12">
        <v>-34.67</v>
      </c>
      <c r="M98" s="11">
        <v>-24.5</v>
      </c>
      <c r="N98" s="11">
        <v>14.8</v>
      </c>
      <c r="O98" s="11">
        <v>16.100000000000001</v>
      </c>
      <c r="P98" s="12">
        <v>2.64</v>
      </c>
      <c r="Q98" s="12">
        <v>1.26</v>
      </c>
      <c r="R98" s="13" t="s">
        <v>94</v>
      </c>
      <c r="S98" s="14" t="s">
        <v>320</v>
      </c>
    </row>
    <row r="99" spans="1:19" ht="33.75" x14ac:dyDescent="0.2">
      <c r="A99" s="10" t="s">
        <v>321</v>
      </c>
      <c r="B99" s="10" t="s">
        <v>322</v>
      </c>
      <c r="C99" s="10" t="s">
        <v>519</v>
      </c>
      <c r="D99" s="16">
        <v>0</v>
      </c>
      <c r="E99" s="12">
        <v>-8.2799999999999994</v>
      </c>
      <c r="F99" s="12">
        <v>-8.2799999999999994</v>
      </c>
      <c r="G99" s="11">
        <v>-13.2</v>
      </c>
      <c r="H99" s="12">
        <v>-2.72</v>
      </c>
      <c r="I99" s="16">
        <v>0</v>
      </c>
      <c r="J99" s="17" t="s">
        <v>94</v>
      </c>
      <c r="K99" s="12">
        <v>-12.24</v>
      </c>
      <c r="L99" s="12">
        <v>-12.18</v>
      </c>
      <c r="M99" s="12">
        <v>-1.75</v>
      </c>
      <c r="N99" s="12">
        <v>3.75</v>
      </c>
      <c r="O99" s="16">
        <v>0</v>
      </c>
      <c r="P99" s="12">
        <v>4.6100000000000003</v>
      </c>
      <c r="Q99" s="15">
        <v>0.70099999999999996</v>
      </c>
      <c r="R99" s="13" t="s">
        <v>94</v>
      </c>
      <c r="S99" s="14" t="s">
        <v>323</v>
      </c>
    </row>
    <row r="100" spans="1:19" ht="56.25" x14ac:dyDescent="0.2">
      <c r="A100" s="10" t="s">
        <v>324</v>
      </c>
      <c r="B100" s="10" t="s">
        <v>325</v>
      </c>
      <c r="C100" s="10" t="s">
        <v>488</v>
      </c>
      <c r="D100" s="16">
        <v>0</v>
      </c>
      <c r="E100" s="11">
        <v>-68.2</v>
      </c>
      <c r="F100" s="11">
        <v>-68.599999999999994</v>
      </c>
      <c r="G100" s="11">
        <v>-61.4</v>
      </c>
      <c r="H100" s="12">
        <v>-2.5</v>
      </c>
      <c r="I100" s="16">
        <v>0</v>
      </c>
      <c r="J100" s="17" t="s">
        <v>94</v>
      </c>
      <c r="K100" s="12">
        <v>-80.489999999999995</v>
      </c>
      <c r="L100" s="17" t="s">
        <v>94</v>
      </c>
      <c r="M100" s="12">
        <v>-2.86</v>
      </c>
      <c r="N100" s="11">
        <v>181.7</v>
      </c>
      <c r="O100" s="11">
        <v>15.5</v>
      </c>
      <c r="P100" s="11">
        <v>67.400000000000006</v>
      </c>
      <c r="Q100" s="12">
        <v>2.5</v>
      </c>
      <c r="R100" s="13" t="s">
        <v>94</v>
      </c>
      <c r="S100" s="14" t="s">
        <v>326</v>
      </c>
    </row>
    <row r="101" spans="1:19" ht="45" x14ac:dyDescent="0.2">
      <c r="A101" s="10" t="s">
        <v>327</v>
      </c>
      <c r="B101" s="10" t="s">
        <v>328</v>
      </c>
      <c r="C101" s="10" t="s">
        <v>751</v>
      </c>
      <c r="D101" s="16">
        <v>0</v>
      </c>
      <c r="E101" s="11">
        <v>-297.60000000000002</v>
      </c>
      <c r="F101" s="11">
        <v>-300.8</v>
      </c>
      <c r="G101" s="11">
        <v>-294.2</v>
      </c>
      <c r="H101" s="11">
        <v>-10.4</v>
      </c>
      <c r="I101" s="16">
        <v>0</v>
      </c>
      <c r="J101" s="11">
        <v>-282</v>
      </c>
      <c r="K101" s="12">
        <v>-309.08</v>
      </c>
      <c r="L101" s="12">
        <v>-307.62</v>
      </c>
      <c r="M101" s="12">
        <v>-4.1500000000000004</v>
      </c>
      <c r="N101" s="11">
        <v>288.3</v>
      </c>
      <c r="O101" s="11">
        <v>30.7</v>
      </c>
      <c r="P101" s="11">
        <v>267.7</v>
      </c>
      <c r="Q101" s="12">
        <v>4.92</v>
      </c>
      <c r="R101" s="13" t="s">
        <v>94</v>
      </c>
      <c r="S101" s="14" t="s">
        <v>329</v>
      </c>
    </row>
    <row r="102" spans="1:19" ht="33.75" x14ac:dyDescent="0.2">
      <c r="A102" s="10" t="s">
        <v>330</v>
      </c>
      <c r="B102" s="10" t="s">
        <v>331</v>
      </c>
      <c r="C102" s="10" t="s">
        <v>520</v>
      </c>
      <c r="D102" s="16">
        <v>0</v>
      </c>
      <c r="E102" s="16">
        <v>0</v>
      </c>
      <c r="F102" s="12">
        <v>-8.01</v>
      </c>
      <c r="G102" s="12">
        <v>-7.67</v>
      </c>
      <c r="H102" s="15">
        <v>-0.29099999999999998</v>
      </c>
      <c r="I102" s="17" t="s">
        <v>94</v>
      </c>
      <c r="J102" s="17" t="s">
        <v>94</v>
      </c>
      <c r="K102" s="17" t="s">
        <v>94</v>
      </c>
      <c r="L102" s="17" t="s">
        <v>94</v>
      </c>
      <c r="M102" s="17" t="s">
        <v>94</v>
      </c>
      <c r="N102" s="12">
        <v>3.09</v>
      </c>
      <c r="O102" s="16">
        <v>0</v>
      </c>
      <c r="P102" s="11">
        <v>63.7</v>
      </c>
      <c r="Q102" s="12">
        <v>1.55</v>
      </c>
      <c r="R102" s="13" t="s">
        <v>94</v>
      </c>
      <c r="S102" s="14" t="s">
        <v>332</v>
      </c>
    </row>
    <row r="103" spans="1:19" ht="56.25" x14ac:dyDescent="0.2">
      <c r="A103" s="10" t="s">
        <v>333</v>
      </c>
      <c r="B103" s="10" t="s">
        <v>334</v>
      </c>
      <c r="C103" s="10" t="s">
        <v>521</v>
      </c>
      <c r="D103" s="16">
        <v>0</v>
      </c>
      <c r="E103" s="16">
        <v>0</v>
      </c>
      <c r="F103" s="11">
        <v>-10.1</v>
      </c>
      <c r="G103" s="12">
        <v>-9.83</v>
      </c>
      <c r="H103" s="12">
        <v>-3.05</v>
      </c>
      <c r="I103" s="16">
        <v>0</v>
      </c>
      <c r="J103" s="17" t="s">
        <v>94</v>
      </c>
      <c r="K103" s="12">
        <v>-10.5</v>
      </c>
      <c r="L103" s="12">
        <v>-10.5</v>
      </c>
      <c r="M103" s="12">
        <v>-1.1599999999999999</v>
      </c>
      <c r="N103" s="12">
        <v>2.34</v>
      </c>
      <c r="O103" s="15">
        <v>0.104</v>
      </c>
      <c r="P103" s="12">
        <v>3.19</v>
      </c>
      <c r="Q103" s="15">
        <v>0.97099999999999997</v>
      </c>
      <c r="R103" s="13" t="s">
        <v>94</v>
      </c>
      <c r="S103" s="14" t="s">
        <v>335</v>
      </c>
    </row>
    <row r="104" spans="1:19" ht="33.75" x14ac:dyDescent="0.2">
      <c r="A104" s="10" t="s">
        <v>336</v>
      </c>
      <c r="B104" s="10" t="s">
        <v>337</v>
      </c>
      <c r="C104" s="10" t="s">
        <v>752</v>
      </c>
      <c r="D104" s="16">
        <v>0</v>
      </c>
      <c r="E104" s="16">
        <v>0</v>
      </c>
      <c r="F104" s="15">
        <v>-0.64700000000000002</v>
      </c>
      <c r="G104" s="15">
        <v>-0.64800000000000002</v>
      </c>
      <c r="H104" s="15">
        <v>-1E-3</v>
      </c>
      <c r="I104" s="17" t="s">
        <v>94</v>
      </c>
      <c r="J104" s="17" t="s">
        <v>94</v>
      </c>
      <c r="K104" s="17" t="s">
        <v>94</v>
      </c>
      <c r="L104" s="17" t="s">
        <v>94</v>
      </c>
      <c r="M104" s="17" t="s">
        <v>94</v>
      </c>
      <c r="N104" s="15">
        <v>1.0999999999999999E-2</v>
      </c>
      <c r="O104" s="15">
        <v>0.36099999999999999</v>
      </c>
      <c r="P104" s="11">
        <v>29.8</v>
      </c>
      <c r="Q104" s="15">
        <v>0.64</v>
      </c>
      <c r="R104" s="13" t="s">
        <v>94</v>
      </c>
      <c r="S104" s="14" t="s">
        <v>338</v>
      </c>
    </row>
    <row r="105" spans="1:19" ht="33.75" x14ac:dyDescent="0.2">
      <c r="A105" s="10" t="s">
        <v>339</v>
      </c>
      <c r="B105" s="10" t="s">
        <v>340</v>
      </c>
      <c r="C105" s="10" t="s">
        <v>753</v>
      </c>
      <c r="D105" s="16">
        <v>0</v>
      </c>
      <c r="E105" s="11">
        <v>-131.80000000000001</v>
      </c>
      <c r="F105" s="11">
        <v>-132.19999999999999</v>
      </c>
      <c r="G105" s="11">
        <v>-168.4</v>
      </c>
      <c r="H105" s="12">
        <v>-2</v>
      </c>
      <c r="I105" s="16">
        <v>0</v>
      </c>
      <c r="J105" s="11">
        <v>-162.19999999999999</v>
      </c>
      <c r="K105" s="12">
        <v>-158.22</v>
      </c>
      <c r="L105" s="12">
        <v>-145.54</v>
      </c>
      <c r="M105" s="12">
        <v>-1.69</v>
      </c>
      <c r="N105" s="11">
        <v>454.7</v>
      </c>
      <c r="O105" s="12">
        <v>1.64</v>
      </c>
      <c r="P105" s="11">
        <v>272</v>
      </c>
      <c r="Q105" s="12">
        <v>3.18</v>
      </c>
      <c r="R105" s="13" t="s">
        <v>94</v>
      </c>
      <c r="S105" s="14" t="s">
        <v>341</v>
      </c>
    </row>
    <row r="106" spans="1:19" ht="33.75" x14ac:dyDescent="0.2">
      <c r="A106" s="10" t="s">
        <v>342</v>
      </c>
      <c r="B106" s="10" t="s">
        <v>343</v>
      </c>
      <c r="C106" s="10" t="s">
        <v>754</v>
      </c>
      <c r="D106" s="16">
        <v>0</v>
      </c>
      <c r="E106" s="11">
        <v>-95.8</v>
      </c>
      <c r="F106" s="11">
        <v>-96.8</v>
      </c>
      <c r="G106" s="11">
        <v>-96.9</v>
      </c>
      <c r="H106" s="12">
        <v>-2.52</v>
      </c>
      <c r="I106" s="16">
        <v>0</v>
      </c>
      <c r="J106" s="17" t="s">
        <v>94</v>
      </c>
      <c r="K106" s="12">
        <v>-25.9</v>
      </c>
      <c r="L106" s="17" t="s">
        <v>94</v>
      </c>
      <c r="M106" s="15">
        <v>-0.73799999999999999</v>
      </c>
      <c r="N106" s="11">
        <v>51.3</v>
      </c>
      <c r="O106" s="12">
        <v>1.22</v>
      </c>
      <c r="P106" s="11">
        <v>12.3</v>
      </c>
      <c r="Q106" s="15">
        <v>0.314</v>
      </c>
      <c r="R106" s="13" t="s">
        <v>94</v>
      </c>
      <c r="S106" s="14" t="s">
        <v>344</v>
      </c>
    </row>
    <row r="107" spans="1:19" ht="45" x14ac:dyDescent="0.2">
      <c r="A107" s="10" t="s">
        <v>345</v>
      </c>
      <c r="B107" s="10" t="s">
        <v>346</v>
      </c>
      <c r="C107" s="10" t="s">
        <v>755</v>
      </c>
      <c r="D107" s="16">
        <v>0</v>
      </c>
      <c r="E107" s="11">
        <v>-78</v>
      </c>
      <c r="F107" s="11">
        <v>-78.2</v>
      </c>
      <c r="G107" s="11">
        <v>-71.099999999999994</v>
      </c>
      <c r="H107" s="12">
        <v>-6.63</v>
      </c>
      <c r="I107" s="12">
        <v>2.23</v>
      </c>
      <c r="J107" s="11">
        <v>-101.1</v>
      </c>
      <c r="K107" s="12">
        <v>-79.209999999999994</v>
      </c>
      <c r="L107" s="12">
        <v>-72.150000000000006</v>
      </c>
      <c r="M107" s="12">
        <v>-2.0699999999999998</v>
      </c>
      <c r="N107" s="11">
        <v>354.3</v>
      </c>
      <c r="O107" s="12">
        <v>8.6999999999999993</v>
      </c>
      <c r="P107" s="11">
        <v>143</v>
      </c>
      <c r="Q107" s="12">
        <v>3.99</v>
      </c>
      <c r="R107" s="13" t="s">
        <v>94</v>
      </c>
      <c r="S107" s="14" t="s">
        <v>347</v>
      </c>
    </row>
    <row r="108" spans="1:19" ht="33.75" x14ac:dyDescent="0.2">
      <c r="A108" s="10" t="s">
        <v>348</v>
      </c>
      <c r="B108" s="10" t="s">
        <v>349</v>
      </c>
      <c r="C108" s="10" t="s">
        <v>522</v>
      </c>
      <c r="D108" s="16">
        <v>0</v>
      </c>
      <c r="E108" s="11">
        <v>-11</v>
      </c>
      <c r="F108" s="11">
        <v>-11</v>
      </c>
      <c r="G108" s="11">
        <v>-10.7</v>
      </c>
      <c r="H108" s="12">
        <v>-8.73</v>
      </c>
      <c r="I108" s="16">
        <v>0</v>
      </c>
      <c r="J108" s="11">
        <v>-11.5</v>
      </c>
      <c r="K108" s="12">
        <v>-10.1</v>
      </c>
      <c r="L108" s="12">
        <v>-11.4</v>
      </c>
      <c r="M108" s="12">
        <v>-5.76</v>
      </c>
      <c r="N108" s="11">
        <v>10</v>
      </c>
      <c r="O108" s="16">
        <v>0</v>
      </c>
      <c r="P108" s="11">
        <v>34.700000000000003</v>
      </c>
      <c r="Q108" s="12">
        <v>18.45</v>
      </c>
      <c r="R108" s="13" t="s">
        <v>94</v>
      </c>
      <c r="S108" s="14" t="s">
        <v>350</v>
      </c>
    </row>
    <row r="109" spans="1:19" ht="33.75" x14ac:dyDescent="0.2">
      <c r="A109" s="10" t="s">
        <v>351</v>
      </c>
      <c r="B109" s="10" t="s">
        <v>352</v>
      </c>
      <c r="C109" s="10" t="s">
        <v>523</v>
      </c>
      <c r="D109" s="16">
        <v>0</v>
      </c>
      <c r="E109" s="11">
        <v>-22.3</v>
      </c>
      <c r="F109" s="11">
        <v>-22.4</v>
      </c>
      <c r="G109" s="11">
        <v>-13.6</v>
      </c>
      <c r="H109" s="12">
        <v>-1.44</v>
      </c>
      <c r="I109" s="16">
        <v>0</v>
      </c>
      <c r="J109" s="11">
        <v>-28.7</v>
      </c>
      <c r="K109" s="12">
        <v>-27.75</v>
      </c>
      <c r="L109" s="17" t="s">
        <v>94</v>
      </c>
      <c r="M109" s="12">
        <v>-1.47</v>
      </c>
      <c r="N109" s="11">
        <v>11.2</v>
      </c>
      <c r="O109" s="16">
        <v>0</v>
      </c>
      <c r="P109" s="11">
        <v>26.8</v>
      </c>
      <c r="Q109" s="12">
        <v>1.99</v>
      </c>
      <c r="R109" s="13" t="s">
        <v>94</v>
      </c>
      <c r="S109" s="14" t="s">
        <v>353</v>
      </c>
    </row>
    <row r="110" spans="1:19" ht="33.75" x14ac:dyDescent="0.2">
      <c r="A110" s="10" t="s">
        <v>354</v>
      </c>
      <c r="B110" s="10" t="s">
        <v>355</v>
      </c>
      <c r="C110" s="10" t="s">
        <v>524</v>
      </c>
      <c r="D110" s="16">
        <v>0</v>
      </c>
      <c r="E110" s="11">
        <v>-140.30000000000001</v>
      </c>
      <c r="F110" s="11">
        <v>-141.4</v>
      </c>
      <c r="G110" s="11">
        <v>-24.3</v>
      </c>
      <c r="H110" s="15">
        <v>-0.52500000000000002</v>
      </c>
      <c r="I110" s="16">
        <v>0</v>
      </c>
      <c r="J110" s="17" t="s">
        <v>94</v>
      </c>
      <c r="K110" s="12">
        <v>-35.700000000000003</v>
      </c>
      <c r="L110" s="12">
        <v>-26.6</v>
      </c>
      <c r="M110" s="15">
        <v>-0.55000000000000004</v>
      </c>
      <c r="N110" s="11">
        <v>128.6</v>
      </c>
      <c r="O110" s="16">
        <v>0</v>
      </c>
      <c r="P110" s="11">
        <v>84.5</v>
      </c>
      <c r="Q110" s="12">
        <v>1.75</v>
      </c>
      <c r="R110" s="13" t="s">
        <v>94</v>
      </c>
      <c r="S110" s="14" t="s">
        <v>356</v>
      </c>
    </row>
    <row r="111" spans="1:19" ht="33.75" x14ac:dyDescent="0.2">
      <c r="A111" s="10" t="s">
        <v>357</v>
      </c>
      <c r="B111" s="10" t="s">
        <v>358</v>
      </c>
      <c r="C111" s="10" t="s">
        <v>525</v>
      </c>
      <c r="D111" s="16">
        <v>0</v>
      </c>
      <c r="E111" s="11">
        <v>-42.7</v>
      </c>
      <c r="F111" s="11">
        <v>-42.7</v>
      </c>
      <c r="G111" s="11">
        <v>-39.700000000000003</v>
      </c>
      <c r="H111" s="12">
        <v>-5.81</v>
      </c>
      <c r="I111" s="11">
        <v>28.5</v>
      </c>
      <c r="J111" s="17" t="s">
        <v>94</v>
      </c>
      <c r="K111" s="12">
        <v>-8.93</v>
      </c>
      <c r="L111" s="12">
        <v>11.07</v>
      </c>
      <c r="M111" s="12">
        <v>1.76</v>
      </c>
      <c r="N111" s="12">
        <v>3.25</v>
      </c>
      <c r="O111" s="15">
        <v>0.26300000000000001</v>
      </c>
      <c r="P111" s="11">
        <v>11.7</v>
      </c>
      <c r="Q111" s="12">
        <v>1.36</v>
      </c>
      <c r="R111" s="13" t="s">
        <v>94</v>
      </c>
      <c r="S111" s="14" t="s">
        <v>359</v>
      </c>
    </row>
    <row r="112" spans="1:19" ht="33.75" x14ac:dyDescent="0.2">
      <c r="A112" s="10" t="s">
        <v>360</v>
      </c>
      <c r="B112" s="10" t="s">
        <v>361</v>
      </c>
      <c r="C112" s="10" t="s">
        <v>526</v>
      </c>
      <c r="D112" s="16">
        <v>0</v>
      </c>
      <c r="E112" s="11">
        <v>-17.100000000000001</v>
      </c>
      <c r="F112" s="11">
        <v>-17.100000000000001</v>
      </c>
      <c r="G112" s="11">
        <v>-17.100000000000001</v>
      </c>
      <c r="H112" s="11">
        <v>-149.30000000000001</v>
      </c>
      <c r="I112" s="16">
        <v>0</v>
      </c>
      <c r="J112" s="17" t="s">
        <v>94</v>
      </c>
      <c r="K112" s="12">
        <v>-18.350000000000001</v>
      </c>
      <c r="L112" s="17" t="s">
        <v>94</v>
      </c>
      <c r="M112" s="11">
        <v>-13.3</v>
      </c>
      <c r="N112" s="15">
        <v>0.54900000000000004</v>
      </c>
      <c r="O112" s="15">
        <v>0.30099999999999999</v>
      </c>
      <c r="P112" s="12">
        <v>1.62</v>
      </c>
      <c r="Q112" s="12">
        <v>1.41</v>
      </c>
      <c r="R112" s="13" t="s">
        <v>94</v>
      </c>
      <c r="S112" s="14" t="s">
        <v>362</v>
      </c>
    </row>
    <row r="113" spans="1:19" ht="56.25" x14ac:dyDescent="0.2">
      <c r="A113" s="10" t="s">
        <v>363</v>
      </c>
      <c r="B113" s="10" t="s">
        <v>364</v>
      </c>
      <c r="C113" s="10" t="s">
        <v>527</v>
      </c>
      <c r="D113" s="16">
        <v>0</v>
      </c>
      <c r="E113" s="11">
        <v>-20.2</v>
      </c>
      <c r="F113" s="11">
        <v>-20.3</v>
      </c>
      <c r="G113" s="11">
        <v>-18.7</v>
      </c>
      <c r="H113" s="12">
        <v>-1.84</v>
      </c>
      <c r="I113" s="16">
        <v>0</v>
      </c>
      <c r="J113" s="17" t="s">
        <v>94</v>
      </c>
      <c r="K113" s="12">
        <v>-22.27</v>
      </c>
      <c r="L113" s="12">
        <v>-22.16</v>
      </c>
      <c r="M113" s="12">
        <v>-2.12</v>
      </c>
      <c r="N113" s="11">
        <v>26.4</v>
      </c>
      <c r="O113" s="12">
        <v>1.85</v>
      </c>
      <c r="P113" s="11">
        <v>15.3</v>
      </c>
      <c r="Q113" s="12">
        <v>1.5</v>
      </c>
      <c r="R113" s="13" t="s">
        <v>94</v>
      </c>
      <c r="S113" s="14" t="s">
        <v>365</v>
      </c>
    </row>
    <row r="114" spans="1:19" ht="33.75" x14ac:dyDescent="0.2">
      <c r="A114" s="10" t="s">
        <v>366</v>
      </c>
      <c r="B114" s="10" t="s">
        <v>367</v>
      </c>
      <c r="C114" s="10" t="s">
        <v>528</v>
      </c>
      <c r="D114" s="16">
        <v>0</v>
      </c>
      <c r="E114" s="11">
        <v>-53.9</v>
      </c>
      <c r="F114" s="11">
        <v>-54</v>
      </c>
      <c r="G114" s="11">
        <v>-34</v>
      </c>
      <c r="H114" s="15">
        <v>-0.85499999999999998</v>
      </c>
      <c r="I114" s="16">
        <v>0</v>
      </c>
      <c r="J114" s="17" t="s">
        <v>94</v>
      </c>
      <c r="K114" s="12">
        <v>-43.22</v>
      </c>
      <c r="L114" s="12">
        <v>-27.82</v>
      </c>
      <c r="M114" s="15">
        <v>-0.40600000000000003</v>
      </c>
      <c r="N114" s="11">
        <v>25</v>
      </c>
      <c r="O114" s="15">
        <v>0.81399999999999995</v>
      </c>
      <c r="P114" s="11">
        <v>27.4</v>
      </c>
      <c r="Q114" s="15">
        <v>0.442</v>
      </c>
      <c r="R114" s="13" t="s">
        <v>94</v>
      </c>
      <c r="S114" s="14" t="s">
        <v>368</v>
      </c>
    </row>
    <row r="115" spans="1:19" ht="33.75" x14ac:dyDescent="0.2">
      <c r="A115" s="10" t="s">
        <v>369</v>
      </c>
      <c r="B115" s="10" t="s">
        <v>370</v>
      </c>
      <c r="C115" s="10" t="s">
        <v>529</v>
      </c>
      <c r="D115" s="16">
        <v>0</v>
      </c>
      <c r="E115" s="11">
        <v>-29.9</v>
      </c>
      <c r="F115" s="11">
        <v>-29.9</v>
      </c>
      <c r="G115" s="11">
        <v>-26.7</v>
      </c>
      <c r="H115" s="15">
        <v>-0.45700000000000002</v>
      </c>
      <c r="I115" s="16">
        <v>0</v>
      </c>
      <c r="J115" s="17" t="s">
        <v>94</v>
      </c>
      <c r="K115" s="12">
        <v>-25.31</v>
      </c>
      <c r="L115" s="12">
        <v>-23.72</v>
      </c>
      <c r="M115" s="15">
        <v>-0.26500000000000001</v>
      </c>
      <c r="N115" s="11">
        <v>94.4</v>
      </c>
      <c r="O115" s="15">
        <v>0.219</v>
      </c>
      <c r="P115" s="11">
        <v>70.900000000000006</v>
      </c>
      <c r="Q115" s="15">
        <v>0.79100000000000004</v>
      </c>
      <c r="R115" s="13" t="s">
        <v>94</v>
      </c>
      <c r="S115" s="14" t="s">
        <v>371</v>
      </c>
    </row>
    <row r="116" spans="1:19" ht="56.25" x14ac:dyDescent="0.2">
      <c r="A116" s="10" t="s">
        <v>372</v>
      </c>
      <c r="B116" s="10" t="s">
        <v>373</v>
      </c>
      <c r="C116" s="10" t="s">
        <v>756</v>
      </c>
      <c r="D116" s="16">
        <v>0</v>
      </c>
      <c r="E116" s="11">
        <v>-50.6</v>
      </c>
      <c r="F116" s="11">
        <v>-50.9</v>
      </c>
      <c r="G116" s="11">
        <v>-42.3</v>
      </c>
      <c r="H116" s="12">
        <v>-2.1800000000000002</v>
      </c>
      <c r="I116" s="12">
        <v>7.5</v>
      </c>
      <c r="J116" s="11">
        <v>-58.6</v>
      </c>
      <c r="K116" s="12">
        <v>-62.5</v>
      </c>
      <c r="L116" s="12">
        <v>-54.77</v>
      </c>
      <c r="M116" s="12">
        <v>-2.16</v>
      </c>
      <c r="N116" s="11">
        <v>204.8</v>
      </c>
      <c r="O116" s="12">
        <v>6.26</v>
      </c>
      <c r="P116" s="11">
        <v>188.3</v>
      </c>
      <c r="Q116" s="12">
        <v>7.28</v>
      </c>
      <c r="R116" s="13" t="s">
        <v>94</v>
      </c>
      <c r="S116" s="14" t="s">
        <v>374</v>
      </c>
    </row>
    <row r="117" spans="1:19" ht="45" x14ac:dyDescent="0.2">
      <c r="A117" s="10" t="s">
        <v>375</v>
      </c>
      <c r="B117" s="10" t="s">
        <v>376</v>
      </c>
      <c r="C117" s="10" t="s">
        <v>646</v>
      </c>
      <c r="D117" s="16">
        <v>0</v>
      </c>
      <c r="E117" s="11">
        <v>-156.80000000000001</v>
      </c>
      <c r="F117" s="11">
        <v>-158.80000000000001</v>
      </c>
      <c r="G117" s="11">
        <v>-133.80000000000001</v>
      </c>
      <c r="H117" s="12">
        <v>-1.45</v>
      </c>
      <c r="I117" s="16">
        <v>0</v>
      </c>
      <c r="J117" s="11">
        <v>-190.8</v>
      </c>
      <c r="K117" s="12">
        <v>-207.63</v>
      </c>
      <c r="L117" s="12">
        <v>-188.55</v>
      </c>
      <c r="M117" s="12">
        <v>-1.97</v>
      </c>
      <c r="N117" s="11">
        <v>470.2</v>
      </c>
      <c r="O117" s="12">
        <v>4.74</v>
      </c>
      <c r="P117" s="11">
        <v>2119.3000000000002</v>
      </c>
      <c r="Q117" s="12">
        <v>22.26</v>
      </c>
      <c r="R117" s="13" t="s">
        <v>94</v>
      </c>
      <c r="S117" s="14" t="s">
        <v>377</v>
      </c>
    </row>
    <row r="118" spans="1:19" ht="33.75" x14ac:dyDescent="0.2">
      <c r="A118" s="10" t="s">
        <v>378</v>
      </c>
      <c r="B118" s="10" t="s">
        <v>379</v>
      </c>
      <c r="C118" s="10" t="s">
        <v>696</v>
      </c>
      <c r="D118" s="16">
        <v>0</v>
      </c>
      <c r="E118" s="11">
        <v>-104.2</v>
      </c>
      <c r="F118" s="11">
        <v>-104.6</v>
      </c>
      <c r="G118" s="11">
        <v>-89</v>
      </c>
      <c r="H118" s="12">
        <v>-1.89</v>
      </c>
      <c r="I118" s="15">
        <v>7.0000000000000001E-3</v>
      </c>
      <c r="J118" s="11">
        <v>-135</v>
      </c>
      <c r="K118" s="12">
        <v>-123.17</v>
      </c>
      <c r="L118" s="17" t="s">
        <v>94</v>
      </c>
      <c r="M118" s="12">
        <v>-2.2200000000000002</v>
      </c>
      <c r="N118" s="11">
        <v>313.39999999999998</v>
      </c>
      <c r="O118" s="16">
        <v>0</v>
      </c>
      <c r="P118" s="11">
        <v>1008.5</v>
      </c>
      <c r="Q118" s="12">
        <v>20.58</v>
      </c>
      <c r="R118" s="13" t="s">
        <v>94</v>
      </c>
      <c r="S118" s="14" t="s">
        <v>380</v>
      </c>
    </row>
    <row r="119" spans="1:19" ht="33.75" x14ac:dyDescent="0.2">
      <c r="A119" s="10" t="s">
        <v>381</v>
      </c>
      <c r="B119" s="10" t="s">
        <v>382</v>
      </c>
      <c r="C119" s="10" t="s">
        <v>530</v>
      </c>
      <c r="D119" s="16">
        <v>0</v>
      </c>
      <c r="E119" s="12">
        <v>-8.5</v>
      </c>
      <c r="F119" s="12">
        <v>-8.84</v>
      </c>
      <c r="G119" s="12">
        <v>-9.86</v>
      </c>
      <c r="H119" s="11">
        <v>-26.2</v>
      </c>
      <c r="I119" s="16">
        <v>0</v>
      </c>
      <c r="J119" s="17" t="s">
        <v>94</v>
      </c>
      <c r="K119" s="12">
        <v>-9.6</v>
      </c>
      <c r="L119" s="17" t="s">
        <v>94</v>
      </c>
      <c r="M119" s="15">
        <v>-0.93500000000000005</v>
      </c>
      <c r="N119" s="12">
        <v>2.29</v>
      </c>
      <c r="O119" s="16">
        <v>0</v>
      </c>
      <c r="P119" s="12">
        <v>3.09</v>
      </c>
      <c r="Q119" s="12">
        <v>1.62</v>
      </c>
      <c r="R119" s="13" t="s">
        <v>94</v>
      </c>
      <c r="S119" s="14" t="s">
        <v>383</v>
      </c>
    </row>
    <row r="120" spans="1:19" ht="45" x14ac:dyDescent="0.2">
      <c r="A120" s="10" t="s">
        <v>384</v>
      </c>
      <c r="B120" s="10" t="s">
        <v>385</v>
      </c>
      <c r="C120" s="10" t="s">
        <v>757</v>
      </c>
      <c r="D120" s="16">
        <v>0</v>
      </c>
      <c r="E120" s="11">
        <v>-50.2</v>
      </c>
      <c r="F120" s="11">
        <v>-50.2</v>
      </c>
      <c r="G120" s="11">
        <v>-39</v>
      </c>
      <c r="H120" s="15">
        <v>-0.749</v>
      </c>
      <c r="I120" s="16">
        <v>0</v>
      </c>
      <c r="J120" s="11">
        <v>-57.6</v>
      </c>
      <c r="K120" s="12">
        <v>-66.290000000000006</v>
      </c>
      <c r="L120" s="12">
        <v>-55.17</v>
      </c>
      <c r="M120" s="15">
        <v>-0.91300000000000003</v>
      </c>
      <c r="N120" s="11">
        <v>149.30000000000001</v>
      </c>
      <c r="O120" s="15">
        <v>0.624</v>
      </c>
      <c r="P120" s="11">
        <v>748.1</v>
      </c>
      <c r="Q120" s="12">
        <v>12.06</v>
      </c>
      <c r="R120" s="13" t="s">
        <v>94</v>
      </c>
      <c r="S120" s="14" t="s">
        <v>386</v>
      </c>
    </row>
    <row r="121" spans="1:19" ht="33.75" x14ac:dyDescent="0.2">
      <c r="A121" s="10" t="s">
        <v>387</v>
      </c>
      <c r="B121" s="10" t="s">
        <v>388</v>
      </c>
      <c r="C121" s="10" t="s">
        <v>531</v>
      </c>
      <c r="D121" s="16">
        <v>0</v>
      </c>
      <c r="E121" s="11">
        <v>-16.7</v>
      </c>
      <c r="F121" s="11">
        <v>-16.7</v>
      </c>
      <c r="G121" s="11">
        <v>-13.4</v>
      </c>
      <c r="H121" s="12">
        <v>-1.1599999999999999</v>
      </c>
      <c r="I121" s="16">
        <v>0</v>
      </c>
      <c r="J121" s="11">
        <v>-16.3</v>
      </c>
      <c r="K121" s="12">
        <v>-15.39</v>
      </c>
      <c r="L121" s="12">
        <v>-14.99</v>
      </c>
      <c r="M121" s="15">
        <v>-0.97199999999999998</v>
      </c>
      <c r="N121" s="11">
        <v>23</v>
      </c>
      <c r="O121" s="16">
        <v>0</v>
      </c>
      <c r="P121" s="11">
        <v>33.1</v>
      </c>
      <c r="Q121" s="12">
        <v>2.41</v>
      </c>
      <c r="R121" s="13" t="s">
        <v>94</v>
      </c>
      <c r="S121" s="14" t="s">
        <v>389</v>
      </c>
    </row>
    <row r="122" spans="1:19" ht="45" x14ac:dyDescent="0.2">
      <c r="A122" s="10" t="s">
        <v>390</v>
      </c>
      <c r="B122" s="10" t="s">
        <v>391</v>
      </c>
      <c r="C122" s="10" t="s">
        <v>532</v>
      </c>
      <c r="D122" s="16">
        <v>0</v>
      </c>
      <c r="E122" s="11">
        <v>-25.3</v>
      </c>
      <c r="F122" s="11">
        <v>-25.4</v>
      </c>
      <c r="G122" s="11">
        <v>-22.7</v>
      </c>
      <c r="H122" s="11">
        <v>-206.2</v>
      </c>
      <c r="I122" s="17" t="s">
        <v>94</v>
      </c>
      <c r="J122" s="17" t="s">
        <v>94</v>
      </c>
      <c r="K122" s="17" t="s">
        <v>94</v>
      </c>
      <c r="L122" s="17" t="s">
        <v>94</v>
      </c>
      <c r="M122" s="17" t="s">
        <v>94</v>
      </c>
      <c r="N122" s="11">
        <v>14.8</v>
      </c>
      <c r="O122" s="15">
        <v>0.20899999999999999</v>
      </c>
      <c r="P122" s="15">
        <v>0.14499999999999999</v>
      </c>
      <c r="Q122" s="15">
        <v>0.68500000000000005</v>
      </c>
      <c r="R122" s="13" t="s">
        <v>94</v>
      </c>
      <c r="S122" s="14" t="s">
        <v>392</v>
      </c>
    </row>
    <row r="123" spans="1:19" ht="67.5" x14ac:dyDescent="0.2">
      <c r="A123" s="10" t="s">
        <v>393</v>
      </c>
      <c r="B123" s="10" t="s">
        <v>394</v>
      </c>
      <c r="C123" s="10" t="s">
        <v>533</v>
      </c>
      <c r="D123" s="16">
        <v>0</v>
      </c>
      <c r="E123" s="16">
        <v>0</v>
      </c>
      <c r="F123" s="12">
        <v>-7.53</v>
      </c>
      <c r="G123" s="12">
        <v>-7.51</v>
      </c>
      <c r="H123" s="12">
        <v>-1.33</v>
      </c>
      <c r="I123" s="16">
        <v>0</v>
      </c>
      <c r="J123" s="17" t="s">
        <v>94</v>
      </c>
      <c r="K123" s="12">
        <v>-11.59</v>
      </c>
      <c r="L123" s="12">
        <v>-11.88</v>
      </c>
      <c r="M123" s="12">
        <v>-1.21</v>
      </c>
      <c r="N123" s="12">
        <v>9.2899999999999991</v>
      </c>
      <c r="O123" s="15">
        <v>5.5E-2</v>
      </c>
      <c r="P123" s="12">
        <v>7.04</v>
      </c>
      <c r="Q123" s="12">
        <v>1.02</v>
      </c>
      <c r="R123" s="13" t="s">
        <v>94</v>
      </c>
      <c r="S123" s="14" t="s">
        <v>395</v>
      </c>
    </row>
    <row r="124" spans="1:19" ht="22.5" x14ac:dyDescent="0.2">
      <c r="A124" s="10" t="s">
        <v>396</v>
      </c>
      <c r="B124" s="10" t="s">
        <v>397</v>
      </c>
      <c r="C124" s="10" t="s">
        <v>758</v>
      </c>
      <c r="D124" s="16">
        <v>0</v>
      </c>
      <c r="E124" s="11">
        <v>-54.1</v>
      </c>
      <c r="F124" s="11">
        <v>-54.6</v>
      </c>
      <c r="G124" s="11">
        <v>-49.2</v>
      </c>
      <c r="H124" s="12">
        <v>-1.02</v>
      </c>
      <c r="I124" s="16">
        <v>0</v>
      </c>
      <c r="J124" s="17" t="s">
        <v>94</v>
      </c>
      <c r="K124" s="12">
        <v>-35.25</v>
      </c>
      <c r="L124" s="17" t="s">
        <v>94</v>
      </c>
      <c r="M124" s="15">
        <v>-0.81299999999999994</v>
      </c>
      <c r="N124" s="11">
        <v>124.4</v>
      </c>
      <c r="O124" s="12">
        <v>7.52</v>
      </c>
      <c r="P124" s="11">
        <v>62.7</v>
      </c>
      <c r="Q124" s="12">
        <v>1.3</v>
      </c>
      <c r="R124" s="13" t="s">
        <v>94</v>
      </c>
      <c r="S124" s="14" t="s">
        <v>398</v>
      </c>
    </row>
    <row r="125" spans="1:19" ht="56.25" x14ac:dyDescent="0.2">
      <c r="A125" s="10" t="s">
        <v>399</v>
      </c>
      <c r="B125" s="10" t="s">
        <v>400</v>
      </c>
      <c r="C125" s="10" t="s">
        <v>759</v>
      </c>
      <c r="D125" s="16">
        <v>0</v>
      </c>
      <c r="E125" s="12">
        <v>-3.66</v>
      </c>
      <c r="F125" s="12">
        <v>-3.66</v>
      </c>
      <c r="G125" s="12">
        <v>1.17</v>
      </c>
      <c r="H125" s="15">
        <v>7.5999999999999998E-2</v>
      </c>
      <c r="I125" s="17" t="s">
        <v>94</v>
      </c>
      <c r="J125" s="17" t="s">
        <v>94</v>
      </c>
      <c r="K125" s="17" t="s">
        <v>94</v>
      </c>
      <c r="L125" s="17" t="s">
        <v>94</v>
      </c>
      <c r="M125" s="17" t="s">
        <v>94</v>
      </c>
      <c r="N125" s="15">
        <v>1E-3</v>
      </c>
      <c r="O125" s="11">
        <v>12.1</v>
      </c>
      <c r="P125" s="11">
        <v>25.3</v>
      </c>
      <c r="Q125" s="12">
        <v>2.2000000000000002</v>
      </c>
      <c r="R125" s="13" t="s">
        <v>94</v>
      </c>
      <c r="S125" s="14" t="s">
        <v>401</v>
      </c>
    </row>
    <row r="126" spans="1:19" ht="45" x14ac:dyDescent="0.2">
      <c r="A126" s="10" t="s">
        <v>402</v>
      </c>
      <c r="B126" s="10" t="s">
        <v>403</v>
      </c>
      <c r="C126" s="10" t="s">
        <v>534</v>
      </c>
      <c r="D126" s="16">
        <v>0</v>
      </c>
      <c r="E126" s="11">
        <v>-18.399999999999999</v>
      </c>
      <c r="F126" s="11">
        <v>-18.7</v>
      </c>
      <c r="G126" s="11">
        <v>-24.8</v>
      </c>
      <c r="H126" s="12">
        <v>-1.26</v>
      </c>
      <c r="I126" s="11">
        <v>11.7</v>
      </c>
      <c r="J126" s="17" t="s">
        <v>94</v>
      </c>
      <c r="K126" s="12">
        <v>-18.5</v>
      </c>
      <c r="L126" s="17" t="s">
        <v>94</v>
      </c>
      <c r="M126" s="15">
        <v>-0.64</v>
      </c>
      <c r="N126" s="11">
        <v>24.1</v>
      </c>
      <c r="O126" s="11">
        <v>45.6</v>
      </c>
      <c r="P126" s="11">
        <v>46</v>
      </c>
      <c r="Q126" s="12">
        <v>1.33</v>
      </c>
      <c r="R126" s="13" t="s">
        <v>94</v>
      </c>
      <c r="S126" s="14" t="s">
        <v>404</v>
      </c>
    </row>
    <row r="127" spans="1:19" ht="67.5" x14ac:dyDescent="0.2">
      <c r="A127" s="10" t="s">
        <v>405</v>
      </c>
      <c r="B127" s="10" t="s">
        <v>406</v>
      </c>
      <c r="C127" s="10" t="s">
        <v>535</v>
      </c>
      <c r="D127" s="16">
        <v>0</v>
      </c>
      <c r="E127" s="16">
        <v>0</v>
      </c>
      <c r="F127" s="12">
        <v>-2.17</v>
      </c>
      <c r="G127" s="12">
        <v>-1.34</v>
      </c>
      <c r="H127" s="15">
        <v>-4.9000000000000002E-2</v>
      </c>
      <c r="I127" s="16">
        <v>0</v>
      </c>
      <c r="J127" s="17" t="s">
        <v>94</v>
      </c>
      <c r="K127" s="12">
        <v>-5.47</v>
      </c>
      <c r="L127" s="12">
        <v>-5.47</v>
      </c>
      <c r="M127" s="15">
        <v>-0.16</v>
      </c>
      <c r="N127" s="15">
        <v>2.8000000000000001E-2</v>
      </c>
      <c r="O127" s="12">
        <v>2.25</v>
      </c>
      <c r="P127" s="11">
        <v>24.8</v>
      </c>
      <c r="Q127" s="15">
        <v>0.749</v>
      </c>
      <c r="R127" s="13" t="s">
        <v>94</v>
      </c>
      <c r="S127" s="14" t="s">
        <v>407</v>
      </c>
    </row>
    <row r="128" spans="1:19" ht="45" x14ac:dyDescent="0.2">
      <c r="A128" s="10" t="s">
        <v>408</v>
      </c>
      <c r="B128" s="10" t="s">
        <v>409</v>
      </c>
      <c r="C128" s="10" t="s">
        <v>760</v>
      </c>
      <c r="D128" s="16">
        <v>0</v>
      </c>
      <c r="E128" s="11">
        <v>-68</v>
      </c>
      <c r="F128" s="11">
        <v>-68.2</v>
      </c>
      <c r="G128" s="11">
        <v>-61.9</v>
      </c>
      <c r="H128" s="12">
        <v>-5.82</v>
      </c>
      <c r="I128" s="16">
        <v>0</v>
      </c>
      <c r="J128" s="11">
        <v>-106.5</v>
      </c>
      <c r="K128" s="12">
        <v>-107.16</v>
      </c>
      <c r="L128" s="12">
        <v>-96.06</v>
      </c>
      <c r="M128" s="12">
        <v>-2.86</v>
      </c>
      <c r="N128" s="11">
        <v>262.10000000000002</v>
      </c>
      <c r="O128" s="15">
        <v>0.17100000000000001</v>
      </c>
      <c r="P128" s="11">
        <v>259</v>
      </c>
      <c r="Q128" s="12">
        <v>7.75</v>
      </c>
      <c r="R128" s="13" t="s">
        <v>94</v>
      </c>
      <c r="S128" s="14" t="s">
        <v>410</v>
      </c>
    </row>
    <row r="129" spans="1:19" ht="45" x14ac:dyDescent="0.2">
      <c r="A129" s="10" t="s">
        <v>411</v>
      </c>
      <c r="B129" s="10" t="s">
        <v>412</v>
      </c>
      <c r="C129" s="10" t="s">
        <v>536</v>
      </c>
      <c r="D129" s="16">
        <v>0</v>
      </c>
      <c r="E129" s="16">
        <v>0</v>
      </c>
      <c r="F129" s="12">
        <v>-8.64</v>
      </c>
      <c r="G129" s="11">
        <v>-11.2</v>
      </c>
      <c r="H129" s="15">
        <v>-0.57199999999999995</v>
      </c>
      <c r="I129" s="16">
        <v>0</v>
      </c>
      <c r="J129" s="17" t="s">
        <v>94</v>
      </c>
      <c r="K129" s="17" t="s">
        <v>94</v>
      </c>
      <c r="L129" s="12">
        <v>-8.48</v>
      </c>
      <c r="M129" s="15">
        <v>-0.66</v>
      </c>
      <c r="N129" s="12">
        <v>4.5999999999999996</v>
      </c>
      <c r="O129" s="15">
        <v>5.0000000000000001E-3</v>
      </c>
      <c r="P129" s="11">
        <v>19</v>
      </c>
      <c r="Q129" s="12">
        <v>1.1499999999999999</v>
      </c>
      <c r="R129" s="13" t="s">
        <v>94</v>
      </c>
      <c r="S129" s="14" t="s">
        <v>413</v>
      </c>
    </row>
    <row r="130" spans="1:19" ht="56.25" x14ac:dyDescent="0.2">
      <c r="A130" s="10" t="s">
        <v>414</v>
      </c>
      <c r="B130" s="10" t="s">
        <v>415</v>
      </c>
      <c r="C130" s="10" t="s">
        <v>761</v>
      </c>
      <c r="D130" s="16">
        <v>0</v>
      </c>
      <c r="E130" s="11">
        <v>-262.8</v>
      </c>
      <c r="F130" s="11">
        <v>-263.5</v>
      </c>
      <c r="G130" s="11">
        <v>-243.8</v>
      </c>
      <c r="H130" s="12">
        <v>-1.53</v>
      </c>
      <c r="I130" s="16">
        <v>0</v>
      </c>
      <c r="J130" s="11">
        <v>-255.4</v>
      </c>
      <c r="K130" s="12">
        <v>-263.49</v>
      </c>
      <c r="L130" s="12">
        <v>-260.51</v>
      </c>
      <c r="M130" s="12">
        <v>-1.52</v>
      </c>
      <c r="N130" s="11">
        <v>307.60000000000002</v>
      </c>
      <c r="O130" s="12">
        <v>1.85</v>
      </c>
      <c r="P130" s="11">
        <v>176.6</v>
      </c>
      <c r="Q130" s="12">
        <v>1.0900000000000001</v>
      </c>
      <c r="R130" s="13" t="s">
        <v>94</v>
      </c>
      <c r="S130" s="14" t="s">
        <v>416</v>
      </c>
    </row>
    <row r="131" spans="1:19" ht="56.25" x14ac:dyDescent="0.2">
      <c r="A131" s="10" t="s">
        <v>417</v>
      </c>
      <c r="B131" s="10" t="s">
        <v>418</v>
      </c>
      <c r="C131" s="10" t="s">
        <v>537</v>
      </c>
      <c r="D131" s="16">
        <v>0</v>
      </c>
      <c r="E131" s="11">
        <v>-19.7</v>
      </c>
      <c r="F131" s="11">
        <v>-19.7</v>
      </c>
      <c r="G131" s="11">
        <v>-25.1</v>
      </c>
      <c r="H131" s="12">
        <v>-2.36</v>
      </c>
      <c r="I131" s="11">
        <v>68.5</v>
      </c>
      <c r="J131" s="17" t="s">
        <v>94</v>
      </c>
      <c r="K131" s="12">
        <v>-1.45</v>
      </c>
      <c r="L131" s="12">
        <v>-1.1000000000000001</v>
      </c>
      <c r="M131" s="15">
        <v>-0.06</v>
      </c>
      <c r="N131" s="12">
        <v>1.44</v>
      </c>
      <c r="O131" s="12">
        <v>6.26</v>
      </c>
      <c r="P131" s="11">
        <v>35</v>
      </c>
      <c r="Q131" s="12">
        <v>2.0699999999999998</v>
      </c>
      <c r="R131" s="13" t="s">
        <v>94</v>
      </c>
      <c r="S131" s="14" t="s">
        <v>419</v>
      </c>
    </row>
    <row r="132" spans="1:19" ht="78.75" x14ac:dyDescent="0.2">
      <c r="A132" s="10" t="s">
        <v>420</v>
      </c>
      <c r="B132" s="10" t="s">
        <v>421</v>
      </c>
      <c r="C132" s="10" t="s">
        <v>685</v>
      </c>
      <c r="D132" s="16">
        <v>0</v>
      </c>
      <c r="E132" s="11">
        <v>-172.5</v>
      </c>
      <c r="F132" s="11">
        <v>-173.4</v>
      </c>
      <c r="G132" s="11">
        <v>-134.5</v>
      </c>
      <c r="H132" s="12">
        <v>-3.13</v>
      </c>
      <c r="I132" s="12">
        <v>5.33</v>
      </c>
      <c r="J132" s="17" t="s">
        <v>94</v>
      </c>
      <c r="K132" s="12">
        <v>-154.32</v>
      </c>
      <c r="L132" s="12">
        <v>-141.09</v>
      </c>
      <c r="M132" s="12">
        <v>-2.12</v>
      </c>
      <c r="N132" s="11">
        <v>171.8</v>
      </c>
      <c r="O132" s="11">
        <v>361.6</v>
      </c>
      <c r="P132" s="11">
        <v>493.7</v>
      </c>
      <c r="Q132" s="12">
        <v>8.52</v>
      </c>
      <c r="R132" s="13" t="s">
        <v>94</v>
      </c>
      <c r="S132" s="14" t="s">
        <v>422</v>
      </c>
    </row>
    <row r="133" spans="1:19" ht="45" x14ac:dyDescent="0.2">
      <c r="A133" s="10" t="s">
        <v>423</v>
      </c>
      <c r="B133" s="10" t="s">
        <v>424</v>
      </c>
      <c r="C133" s="10" t="s">
        <v>538</v>
      </c>
      <c r="D133" s="16">
        <v>0</v>
      </c>
      <c r="E133" s="11">
        <v>-12.8</v>
      </c>
      <c r="F133" s="11">
        <v>-13.1</v>
      </c>
      <c r="G133" s="12">
        <v>4.47</v>
      </c>
      <c r="H133" s="15">
        <v>0.109</v>
      </c>
      <c r="I133" s="16">
        <v>0</v>
      </c>
      <c r="J133" s="17" t="s">
        <v>94</v>
      </c>
      <c r="K133" s="12">
        <v>-15.9</v>
      </c>
      <c r="L133" s="17" t="s">
        <v>94</v>
      </c>
      <c r="M133" s="17" t="s">
        <v>94</v>
      </c>
      <c r="N133" s="11">
        <v>162</v>
      </c>
      <c r="O133" s="11">
        <v>51.6</v>
      </c>
      <c r="P133" s="11">
        <v>95.1</v>
      </c>
      <c r="Q133" s="12">
        <v>2.36</v>
      </c>
      <c r="R133" s="13" t="s">
        <v>94</v>
      </c>
      <c r="S133" s="14" t="s">
        <v>425</v>
      </c>
    </row>
    <row r="134" spans="1:19" ht="45" x14ac:dyDescent="0.2">
      <c r="A134" s="10" t="s">
        <v>426</v>
      </c>
      <c r="B134" s="10" t="s">
        <v>427</v>
      </c>
      <c r="C134" s="10" t="s">
        <v>762</v>
      </c>
      <c r="D134" s="16">
        <v>0</v>
      </c>
      <c r="E134" s="11">
        <v>-226.2</v>
      </c>
      <c r="F134" s="11">
        <v>-228.4</v>
      </c>
      <c r="G134" s="11">
        <v>-210.3</v>
      </c>
      <c r="H134" s="12">
        <v>-3.47</v>
      </c>
      <c r="I134" s="12">
        <v>2.92</v>
      </c>
      <c r="J134" s="11">
        <v>-146.30000000000001</v>
      </c>
      <c r="K134" s="12">
        <v>-151.47999999999999</v>
      </c>
      <c r="L134" s="12">
        <v>-141.13999999999999</v>
      </c>
      <c r="M134" s="12">
        <v>-2.29</v>
      </c>
      <c r="N134" s="11">
        <v>355.7</v>
      </c>
      <c r="O134" s="11">
        <v>60.2</v>
      </c>
      <c r="P134" s="11">
        <v>90</v>
      </c>
      <c r="Q134" s="12">
        <v>1.47</v>
      </c>
      <c r="R134" s="13" t="s">
        <v>94</v>
      </c>
      <c r="S134" s="14" t="s">
        <v>428</v>
      </c>
    </row>
    <row r="135" spans="1:19" ht="67.5" x14ac:dyDescent="0.2">
      <c r="A135" s="10" t="s">
        <v>429</v>
      </c>
      <c r="B135" s="10" t="s">
        <v>430</v>
      </c>
      <c r="C135" s="10" t="s">
        <v>539</v>
      </c>
      <c r="D135" s="16">
        <v>0</v>
      </c>
      <c r="E135" s="11">
        <v>-12.1</v>
      </c>
      <c r="F135" s="11">
        <v>-12.1</v>
      </c>
      <c r="G135" s="11">
        <v>-11.9</v>
      </c>
      <c r="H135" s="12">
        <v>-3.87</v>
      </c>
      <c r="I135" s="16">
        <v>0</v>
      </c>
      <c r="J135" s="17" t="s">
        <v>94</v>
      </c>
      <c r="K135" s="12">
        <v>-9.64</v>
      </c>
      <c r="L135" s="12">
        <v>-12.53</v>
      </c>
      <c r="M135" s="12">
        <v>-2.16</v>
      </c>
      <c r="N135" s="12">
        <v>1.19</v>
      </c>
      <c r="O135" s="15">
        <v>7.3999999999999996E-2</v>
      </c>
      <c r="P135" s="12">
        <v>2.06</v>
      </c>
      <c r="Q135" s="15">
        <v>0.39200000000000002</v>
      </c>
      <c r="R135" s="13" t="s">
        <v>94</v>
      </c>
      <c r="S135" s="14" t="s">
        <v>431</v>
      </c>
    </row>
    <row r="136" spans="1:19" ht="56.25" x14ac:dyDescent="0.2">
      <c r="A136" s="10" t="s">
        <v>432</v>
      </c>
      <c r="B136" s="10" t="s">
        <v>433</v>
      </c>
      <c r="C136" s="10" t="s">
        <v>763</v>
      </c>
      <c r="D136" s="16">
        <v>0</v>
      </c>
      <c r="E136" s="11">
        <v>-50.8</v>
      </c>
      <c r="F136" s="11">
        <v>-51.8</v>
      </c>
      <c r="G136" s="11">
        <v>-28.2</v>
      </c>
      <c r="H136" s="12">
        <v>-1.05</v>
      </c>
      <c r="I136" s="16">
        <v>0</v>
      </c>
      <c r="J136" s="11">
        <v>-61.2</v>
      </c>
      <c r="K136" s="12">
        <v>-53.33</v>
      </c>
      <c r="L136" s="12">
        <v>-31.85</v>
      </c>
      <c r="M136" s="15">
        <v>-0.77800000000000002</v>
      </c>
      <c r="N136" s="11">
        <v>48.5</v>
      </c>
      <c r="O136" s="11">
        <v>30.1</v>
      </c>
      <c r="P136" s="11">
        <v>47.6</v>
      </c>
      <c r="Q136" s="12">
        <v>1.43</v>
      </c>
      <c r="R136" s="13" t="s">
        <v>94</v>
      </c>
      <c r="S136" s="14" t="s">
        <v>434</v>
      </c>
    </row>
    <row r="137" spans="1:19" ht="56.25" x14ac:dyDescent="0.2">
      <c r="A137" s="10" t="s">
        <v>435</v>
      </c>
      <c r="B137" s="10" t="s">
        <v>436</v>
      </c>
      <c r="C137" s="10" t="s">
        <v>764</v>
      </c>
      <c r="D137" s="16">
        <v>0</v>
      </c>
      <c r="E137" s="11">
        <v>-82.2</v>
      </c>
      <c r="F137" s="11">
        <v>-83.1</v>
      </c>
      <c r="G137" s="11">
        <v>-78.3</v>
      </c>
      <c r="H137" s="12">
        <v>-3.78</v>
      </c>
      <c r="I137" s="16">
        <v>0</v>
      </c>
      <c r="J137" s="11">
        <v>-138.19999999999999</v>
      </c>
      <c r="K137" s="12">
        <v>-140.85</v>
      </c>
      <c r="L137" s="12">
        <v>-138.78</v>
      </c>
      <c r="M137" s="12">
        <v>-3.58</v>
      </c>
      <c r="N137" s="11">
        <v>305.3</v>
      </c>
      <c r="O137" s="12">
        <v>1.48</v>
      </c>
      <c r="P137" s="11">
        <v>354</v>
      </c>
      <c r="Q137" s="12">
        <v>9.6999999999999993</v>
      </c>
      <c r="R137" s="13" t="s">
        <v>94</v>
      </c>
      <c r="S137" s="14" t="s">
        <v>437</v>
      </c>
    </row>
    <row r="138" spans="1:19" ht="33.75" x14ac:dyDescent="0.2">
      <c r="A138" s="10" t="s">
        <v>438</v>
      </c>
      <c r="B138" s="10" t="s">
        <v>439</v>
      </c>
      <c r="C138" s="10" t="s">
        <v>765</v>
      </c>
      <c r="D138" s="16">
        <v>0</v>
      </c>
      <c r="E138" s="16">
        <v>0</v>
      </c>
      <c r="F138" s="11">
        <v>-91.6</v>
      </c>
      <c r="G138" s="11">
        <v>-86.5</v>
      </c>
      <c r="H138" s="12">
        <v>-2.87</v>
      </c>
      <c r="I138" s="16">
        <v>0</v>
      </c>
      <c r="J138" s="17" t="s">
        <v>94</v>
      </c>
      <c r="K138" s="12">
        <v>-68.3</v>
      </c>
      <c r="L138" s="12">
        <v>-51.83</v>
      </c>
      <c r="M138" s="12">
        <v>-1.38</v>
      </c>
      <c r="N138" s="11">
        <v>96.3</v>
      </c>
      <c r="O138" s="16">
        <v>0</v>
      </c>
      <c r="P138" s="12">
        <v>9.26</v>
      </c>
      <c r="Q138" s="15">
        <v>0.307</v>
      </c>
      <c r="R138" s="13" t="s">
        <v>94</v>
      </c>
      <c r="S138" s="14" t="s">
        <v>440</v>
      </c>
    </row>
    <row r="139" spans="1:19" ht="56.25" x14ac:dyDescent="0.2">
      <c r="A139" s="10" t="s">
        <v>441</v>
      </c>
      <c r="B139" s="10" t="s">
        <v>442</v>
      </c>
      <c r="C139" s="10" t="s">
        <v>540</v>
      </c>
      <c r="D139" s="16">
        <v>0</v>
      </c>
      <c r="E139" s="16">
        <v>0</v>
      </c>
      <c r="F139" s="11">
        <v>-34.1</v>
      </c>
      <c r="G139" s="11">
        <v>-33</v>
      </c>
      <c r="H139" s="12">
        <v>-1.0900000000000001</v>
      </c>
      <c r="I139" s="16">
        <v>0</v>
      </c>
      <c r="J139" s="17" t="s">
        <v>94</v>
      </c>
      <c r="K139" s="12">
        <v>-37.6</v>
      </c>
      <c r="L139" s="12">
        <v>-37.57</v>
      </c>
      <c r="M139" s="15">
        <v>-0.89200000000000002</v>
      </c>
      <c r="N139" s="11">
        <v>23.4</v>
      </c>
      <c r="O139" s="16">
        <v>0</v>
      </c>
      <c r="P139" s="11">
        <v>50.8</v>
      </c>
      <c r="Q139" s="12">
        <v>1.0900000000000001</v>
      </c>
      <c r="R139" s="13" t="s">
        <v>94</v>
      </c>
      <c r="S139" s="14" t="s">
        <v>443</v>
      </c>
    </row>
    <row r="140" spans="1:19" ht="56.25" x14ac:dyDescent="0.2">
      <c r="A140" s="10" t="s">
        <v>444</v>
      </c>
      <c r="B140" s="10" t="s">
        <v>445</v>
      </c>
      <c r="C140" s="10" t="s">
        <v>541</v>
      </c>
      <c r="D140" s="16">
        <v>0</v>
      </c>
      <c r="E140" s="16">
        <v>0</v>
      </c>
      <c r="F140" s="11">
        <v>-12.2</v>
      </c>
      <c r="G140" s="11">
        <v>-16.5</v>
      </c>
      <c r="H140" s="15">
        <v>-0.56000000000000005</v>
      </c>
      <c r="I140" s="16">
        <v>0</v>
      </c>
      <c r="J140" s="17" t="s">
        <v>94</v>
      </c>
      <c r="K140" s="17" t="s">
        <v>94</v>
      </c>
      <c r="L140" s="17" t="s">
        <v>94</v>
      </c>
      <c r="M140" s="15">
        <v>-0.4</v>
      </c>
      <c r="N140" s="12">
        <v>1.27</v>
      </c>
      <c r="O140" s="15">
        <v>9.2999999999999999E-2</v>
      </c>
      <c r="P140" s="11">
        <v>122.6</v>
      </c>
      <c r="Q140" s="12">
        <v>4.12</v>
      </c>
      <c r="R140" s="13" t="s">
        <v>94</v>
      </c>
      <c r="S140" s="14" t="s">
        <v>446</v>
      </c>
    </row>
    <row r="141" spans="1:19" ht="45" x14ac:dyDescent="0.2">
      <c r="A141" s="10" t="s">
        <v>447</v>
      </c>
      <c r="B141" s="10" t="s">
        <v>448</v>
      </c>
      <c r="C141" s="10" t="s">
        <v>766</v>
      </c>
      <c r="D141" s="16">
        <v>0</v>
      </c>
      <c r="E141" s="11">
        <v>-101.6</v>
      </c>
      <c r="F141" s="11">
        <v>-101.9</v>
      </c>
      <c r="G141" s="11">
        <v>-88.9</v>
      </c>
      <c r="H141" s="12">
        <v>-1.1200000000000001</v>
      </c>
      <c r="I141" s="16">
        <v>0</v>
      </c>
      <c r="J141" s="11">
        <v>-126</v>
      </c>
      <c r="K141" s="12">
        <v>-117.71</v>
      </c>
      <c r="L141" s="12">
        <v>-112.64</v>
      </c>
      <c r="M141" s="12">
        <v>-1.2</v>
      </c>
      <c r="N141" s="11">
        <v>358.2</v>
      </c>
      <c r="O141" s="12">
        <v>1.35</v>
      </c>
      <c r="P141" s="11">
        <v>270.60000000000002</v>
      </c>
      <c r="Q141" s="12">
        <v>3.1</v>
      </c>
      <c r="R141" s="13" t="s">
        <v>94</v>
      </c>
      <c r="S141" s="14" t="s">
        <v>449</v>
      </c>
    </row>
    <row r="142" spans="1:19" ht="33.75" x14ac:dyDescent="0.2">
      <c r="A142" s="10" t="s">
        <v>450</v>
      </c>
      <c r="B142" s="10" t="s">
        <v>451</v>
      </c>
      <c r="C142" s="10" t="s">
        <v>542</v>
      </c>
      <c r="D142" s="16">
        <v>0</v>
      </c>
      <c r="E142" s="12">
        <v>-4.55</v>
      </c>
      <c r="F142" s="12">
        <v>-4.5599999999999996</v>
      </c>
      <c r="G142" s="12">
        <v>-4.71</v>
      </c>
      <c r="H142" s="12">
        <v>-5.24</v>
      </c>
      <c r="I142" s="17" t="s">
        <v>94</v>
      </c>
      <c r="J142" s="17" t="s">
        <v>94</v>
      </c>
      <c r="K142" s="17" t="s">
        <v>94</v>
      </c>
      <c r="L142" s="17" t="s">
        <v>94</v>
      </c>
      <c r="M142" s="17" t="s">
        <v>94</v>
      </c>
      <c r="N142" s="12">
        <v>2.83</v>
      </c>
      <c r="O142" s="16">
        <v>0</v>
      </c>
      <c r="P142" s="12">
        <v>3.18</v>
      </c>
      <c r="Q142" s="12">
        <v>3.48</v>
      </c>
      <c r="R142" s="13" t="s">
        <v>94</v>
      </c>
      <c r="S142" s="14" t="s">
        <v>452</v>
      </c>
    </row>
    <row r="143" spans="1:19" ht="56.25" x14ac:dyDescent="0.2">
      <c r="A143" s="10" t="s">
        <v>453</v>
      </c>
      <c r="B143" s="10" t="s">
        <v>454</v>
      </c>
      <c r="C143" s="10" t="s">
        <v>543</v>
      </c>
      <c r="D143" s="16">
        <v>0</v>
      </c>
      <c r="E143" s="16">
        <v>0</v>
      </c>
      <c r="F143" s="11">
        <v>-11.4</v>
      </c>
      <c r="G143" s="11">
        <v>-23.7</v>
      </c>
      <c r="H143" s="11">
        <v>-13.3</v>
      </c>
      <c r="I143" s="17" t="s">
        <v>94</v>
      </c>
      <c r="J143" s="17" t="s">
        <v>94</v>
      </c>
      <c r="K143" s="17" t="s">
        <v>94</v>
      </c>
      <c r="L143" s="17" t="s">
        <v>94</v>
      </c>
      <c r="M143" s="17" t="s">
        <v>94</v>
      </c>
      <c r="N143" s="12">
        <v>4.92</v>
      </c>
      <c r="O143" s="15">
        <v>4.9000000000000002E-2</v>
      </c>
      <c r="P143" s="15">
        <v>0.98899999999999999</v>
      </c>
      <c r="Q143" s="15">
        <v>0.35899999999999999</v>
      </c>
      <c r="R143" s="13" t="s">
        <v>94</v>
      </c>
      <c r="S143" s="14" t="s">
        <v>455</v>
      </c>
    </row>
    <row r="144" spans="1:19" ht="45" x14ac:dyDescent="0.2">
      <c r="A144" s="10" t="s">
        <v>456</v>
      </c>
      <c r="B144" s="10" t="s">
        <v>457</v>
      </c>
      <c r="C144" s="10" t="s">
        <v>767</v>
      </c>
      <c r="D144" s="16">
        <v>0</v>
      </c>
      <c r="E144" s="11">
        <v>-51.4</v>
      </c>
      <c r="F144" s="11">
        <v>-51.5</v>
      </c>
      <c r="G144" s="11">
        <v>-47.9</v>
      </c>
      <c r="H144" s="15">
        <v>-0.47</v>
      </c>
      <c r="I144" s="16">
        <v>0</v>
      </c>
      <c r="J144" s="11">
        <v>-63.7</v>
      </c>
      <c r="K144" s="12">
        <v>-67.16</v>
      </c>
      <c r="L144" s="12">
        <v>-62.57</v>
      </c>
      <c r="M144" s="15">
        <v>-0.53700000000000003</v>
      </c>
      <c r="N144" s="11">
        <v>107.6</v>
      </c>
      <c r="O144" s="12">
        <v>1.03</v>
      </c>
      <c r="P144" s="11">
        <v>625.5</v>
      </c>
      <c r="Q144" s="12">
        <v>6.47</v>
      </c>
      <c r="R144" s="13" t="s">
        <v>94</v>
      </c>
      <c r="S144" s="14" t="s">
        <v>458</v>
      </c>
    </row>
    <row r="145" spans="1:19" ht="45" x14ac:dyDescent="0.2">
      <c r="A145" s="10" t="s">
        <v>459</v>
      </c>
      <c r="B145" s="10" t="s">
        <v>460</v>
      </c>
      <c r="C145" s="10" t="s">
        <v>768</v>
      </c>
      <c r="D145" s="16">
        <v>0</v>
      </c>
      <c r="E145" s="11">
        <v>-148.19999999999999</v>
      </c>
      <c r="F145" s="11">
        <v>-148.5</v>
      </c>
      <c r="G145" s="11">
        <v>-135.1</v>
      </c>
      <c r="H145" s="12">
        <v>-1.97</v>
      </c>
      <c r="I145" s="16">
        <v>0</v>
      </c>
      <c r="J145" s="11">
        <v>-154.5</v>
      </c>
      <c r="K145" s="12">
        <v>-161.25</v>
      </c>
      <c r="L145" s="12">
        <v>-152.56</v>
      </c>
      <c r="M145" s="12">
        <v>-2.06</v>
      </c>
      <c r="N145" s="11">
        <v>217.3</v>
      </c>
      <c r="O145" s="11">
        <v>10.8</v>
      </c>
      <c r="P145" s="11">
        <v>86.8</v>
      </c>
      <c r="Q145" s="12">
        <v>1.22</v>
      </c>
      <c r="R145" s="13" t="s">
        <v>94</v>
      </c>
      <c r="S145" s="14" t="s">
        <v>461</v>
      </c>
    </row>
    <row r="146" spans="1:19" ht="56.25" x14ac:dyDescent="0.2">
      <c r="A146" s="10" t="s">
        <v>462</v>
      </c>
      <c r="B146" s="10" t="s">
        <v>463</v>
      </c>
      <c r="C146" s="10" t="s">
        <v>544</v>
      </c>
      <c r="D146" s="16">
        <v>0</v>
      </c>
      <c r="E146" s="16">
        <v>0</v>
      </c>
      <c r="F146" s="11">
        <v>-12.1</v>
      </c>
      <c r="G146" s="11">
        <v>-12.1</v>
      </c>
      <c r="H146" s="11">
        <v>-70.900000000000006</v>
      </c>
      <c r="I146" s="16">
        <v>0</v>
      </c>
      <c r="J146" s="17" t="s">
        <v>94</v>
      </c>
      <c r="K146" s="12">
        <v>-8.99</v>
      </c>
      <c r="L146" s="17" t="s">
        <v>94</v>
      </c>
      <c r="M146" s="11">
        <v>-15.5</v>
      </c>
      <c r="N146" s="12">
        <v>1.51</v>
      </c>
      <c r="O146" s="16">
        <v>0</v>
      </c>
      <c r="P146" s="12">
        <v>1.65</v>
      </c>
      <c r="Q146" s="12">
        <v>1.55</v>
      </c>
      <c r="R146" s="13" t="s">
        <v>94</v>
      </c>
      <c r="S146" s="14" t="s">
        <v>464</v>
      </c>
    </row>
    <row r="147" spans="1:19" ht="56.25" x14ac:dyDescent="0.2">
      <c r="A147" s="10" t="s">
        <v>465</v>
      </c>
      <c r="B147" s="10" t="s">
        <v>466</v>
      </c>
      <c r="C147" s="10" t="s">
        <v>769</v>
      </c>
      <c r="D147" s="17" t="s">
        <v>94</v>
      </c>
      <c r="E147" s="17" t="s">
        <v>94</v>
      </c>
      <c r="F147" s="11">
        <v>-54.6</v>
      </c>
      <c r="G147" s="11">
        <v>-51.3</v>
      </c>
      <c r="H147" s="12">
        <v>-1.72</v>
      </c>
      <c r="I147" s="16">
        <v>0</v>
      </c>
      <c r="J147" s="17" t="s">
        <v>94</v>
      </c>
      <c r="K147" s="12">
        <v>-28</v>
      </c>
      <c r="L147" s="12">
        <v>-28</v>
      </c>
      <c r="M147" s="12">
        <v>-1.08</v>
      </c>
      <c r="N147" s="11">
        <v>83.6</v>
      </c>
      <c r="O147" s="16">
        <v>0</v>
      </c>
      <c r="P147" s="11">
        <v>45.4</v>
      </c>
      <c r="Q147" s="12">
        <v>1.52</v>
      </c>
      <c r="R147" s="13" t="s">
        <v>94</v>
      </c>
      <c r="S147" s="14" t="s">
        <v>467</v>
      </c>
    </row>
    <row r="148" spans="1:19" ht="33.75" x14ac:dyDescent="0.2">
      <c r="A148" s="10" t="s">
        <v>468</v>
      </c>
      <c r="B148" s="10" t="s">
        <v>469</v>
      </c>
      <c r="C148" s="10" t="s">
        <v>545</v>
      </c>
      <c r="D148" s="17" t="s">
        <v>94</v>
      </c>
      <c r="E148" s="11">
        <v>-15</v>
      </c>
      <c r="F148" s="11">
        <v>-15.6</v>
      </c>
      <c r="G148" s="11">
        <v>-15.5</v>
      </c>
      <c r="H148" s="12">
        <v>-5.1100000000000003</v>
      </c>
      <c r="I148" s="16">
        <v>0</v>
      </c>
      <c r="J148" s="17" t="s">
        <v>94</v>
      </c>
      <c r="K148" s="12">
        <v>-12.69</v>
      </c>
      <c r="L148" s="12">
        <v>-12.82</v>
      </c>
      <c r="M148" s="12">
        <v>-4.51</v>
      </c>
      <c r="N148" s="11">
        <v>10</v>
      </c>
      <c r="O148" s="15">
        <v>0.23400000000000001</v>
      </c>
      <c r="P148" s="11">
        <v>13.7</v>
      </c>
      <c r="Q148" s="12">
        <v>4.1399999999999997</v>
      </c>
      <c r="R148" s="13" t="s">
        <v>94</v>
      </c>
      <c r="S148" s="14" t="s">
        <v>470</v>
      </c>
    </row>
    <row r="149" spans="1:19" ht="33.75" x14ac:dyDescent="0.2">
      <c r="A149" s="10" t="s">
        <v>471</v>
      </c>
      <c r="B149" s="10" t="s">
        <v>472</v>
      </c>
      <c r="C149" s="10" t="s">
        <v>770</v>
      </c>
      <c r="D149" s="17" t="s">
        <v>94</v>
      </c>
      <c r="E149" s="11">
        <v>-58.8</v>
      </c>
      <c r="F149" s="11">
        <v>-58.9</v>
      </c>
      <c r="G149" s="11">
        <v>-45.5</v>
      </c>
      <c r="H149" s="12">
        <v>-1.0900000000000001</v>
      </c>
      <c r="I149" s="16">
        <v>0</v>
      </c>
      <c r="J149" s="11">
        <v>-57.6</v>
      </c>
      <c r="K149" s="12">
        <v>-54.58</v>
      </c>
      <c r="L149" s="12">
        <v>-43.08</v>
      </c>
      <c r="M149" s="15">
        <v>-0.96</v>
      </c>
      <c r="N149" s="11">
        <v>285.10000000000002</v>
      </c>
      <c r="O149" s="12">
        <v>3.21</v>
      </c>
      <c r="P149" s="11">
        <v>159.1</v>
      </c>
      <c r="Q149" s="12">
        <v>3.53</v>
      </c>
      <c r="R149" s="13" t="s">
        <v>94</v>
      </c>
      <c r="S149" s="14" t="s">
        <v>473</v>
      </c>
    </row>
    <row r="151" spans="1:19" x14ac:dyDescent="0.2">
      <c r="A151" s="18" t="s">
        <v>474</v>
      </c>
    </row>
  </sheetData>
  <autoFilter ref="A8:S8" xr:uid="{5BF9EC03-2A48-48DF-B990-E317BBAED9E2}"/>
  <pageMargins left="0.2" right="0.2" top="0.5" bottom="0.5" header="0.5" footer="0.5"/>
  <pageSetup fitToWidth="0" fitToHeight="0" orientation="landscape"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465CC-E2BA-40D5-9689-DA0A44DA3A41}">
  <sheetPr>
    <tabColor rgb="FFFFFF00"/>
  </sheetPr>
  <dimension ref="A1:L144"/>
  <sheetViews>
    <sheetView zoomScaleNormal="100" workbookViewId="0">
      <selection activeCell="AA34" sqref="AA34"/>
    </sheetView>
  </sheetViews>
  <sheetFormatPr defaultColWidth="9.140625" defaultRowHeight="15" x14ac:dyDescent="0.25"/>
  <cols>
    <col min="1" max="1" width="31" style="20" bestFit="1" customWidth="1"/>
    <col min="2" max="2" width="14" style="20" customWidth="1"/>
    <col min="3" max="3" width="12" style="20" customWidth="1"/>
    <col min="4" max="4" width="9" style="20" customWidth="1"/>
    <col min="5" max="5" width="12" style="20" customWidth="1"/>
    <col min="6" max="6" width="13" style="20" customWidth="1"/>
    <col min="7" max="7" width="18" style="20" customWidth="1"/>
    <col min="8" max="8" width="16" style="20" customWidth="1"/>
    <col min="9" max="9" width="57.42578125" style="20" customWidth="1"/>
    <col min="10" max="16384" width="9.140625" style="20"/>
  </cols>
  <sheetData>
    <row r="1" spans="1:8" x14ac:dyDescent="0.25">
      <c r="A1" s="20" t="s">
        <v>546</v>
      </c>
      <c r="B1" s="20" t="s">
        <v>547</v>
      </c>
    </row>
    <row r="2" spans="1:8" x14ac:dyDescent="0.25">
      <c r="A2" s="20" t="s">
        <v>548</v>
      </c>
      <c r="B2" s="20" t="s">
        <v>549</v>
      </c>
    </row>
    <row r="3" spans="1:8" x14ac:dyDescent="0.25">
      <c r="A3" s="20" t="s">
        <v>550</v>
      </c>
      <c r="B3" s="20" t="s">
        <v>551</v>
      </c>
    </row>
    <row r="5" spans="1:8" x14ac:dyDescent="0.25">
      <c r="A5" s="21" t="s">
        <v>552</v>
      </c>
      <c r="B5" s="21" t="s">
        <v>476</v>
      </c>
      <c r="C5" s="21" t="s">
        <v>553</v>
      </c>
      <c r="D5" s="21" t="s">
        <v>554</v>
      </c>
      <c r="E5" s="21" t="s">
        <v>555</v>
      </c>
      <c r="F5" s="21" t="s">
        <v>556</v>
      </c>
      <c r="G5" s="21" t="s">
        <v>557</v>
      </c>
      <c r="H5" s="21" t="s">
        <v>558</v>
      </c>
    </row>
    <row r="6" spans="1:8" x14ac:dyDescent="0.25">
      <c r="A6" s="21" t="s">
        <v>559</v>
      </c>
      <c r="B6" s="21" t="s">
        <v>489</v>
      </c>
      <c r="C6" s="21" t="s">
        <v>560</v>
      </c>
      <c r="D6" s="21" t="s">
        <v>561</v>
      </c>
      <c r="E6" s="22">
        <v>5.7185040000000003</v>
      </c>
      <c r="F6" s="21" t="s">
        <v>94</v>
      </c>
      <c r="G6" s="23">
        <v>109787</v>
      </c>
      <c r="H6" s="21" t="s">
        <v>562</v>
      </c>
    </row>
    <row r="7" spans="1:8" x14ac:dyDescent="0.25">
      <c r="A7" s="21" t="s">
        <v>563</v>
      </c>
      <c r="B7" s="21" t="s">
        <v>485</v>
      </c>
      <c r="C7" s="21" t="s">
        <v>564</v>
      </c>
      <c r="D7" s="21" t="s">
        <v>565</v>
      </c>
      <c r="E7" s="22">
        <v>4.0446689999999998</v>
      </c>
      <c r="F7" s="21" t="s">
        <v>94</v>
      </c>
      <c r="G7" s="23">
        <v>219733</v>
      </c>
      <c r="H7" s="21" t="s">
        <v>562</v>
      </c>
    </row>
    <row r="8" spans="1:8" x14ac:dyDescent="0.25">
      <c r="A8" s="21" t="s">
        <v>566</v>
      </c>
      <c r="B8" s="21" t="s">
        <v>567</v>
      </c>
      <c r="C8" s="21" t="s">
        <v>568</v>
      </c>
      <c r="D8" s="21" t="s">
        <v>569</v>
      </c>
      <c r="E8" s="22">
        <v>4.0096860000000003</v>
      </c>
      <c r="F8" s="21" t="s">
        <v>94</v>
      </c>
      <c r="G8" s="23">
        <v>121888</v>
      </c>
      <c r="H8" s="21" t="s">
        <v>562</v>
      </c>
    </row>
    <row r="9" spans="1:8" x14ac:dyDescent="0.25">
      <c r="A9" s="21" t="s">
        <v>570</v>
      </c>
      <c r="B9" s="21" t="s">
        <v>571</v>
      </c>
      <c r="C9" s="21" t="s">
        <v>572</v>
      </c>
      <c r="D9" s="21" t="s">
        <v>573</v>
      </c>
      <c r="E9" s="22">
        <v>4.0007869999999999</v>
      </c>
      <c r="F9" s="21" t="s">
        <v>94</v>
      </c>
      <c r="G9" s="23">
        <v>183814</v>
      </c>
      <c r="H9" s="21" t="s">
        <v>562</v>
      </c>
    </row>
    <row r="10" spans="1:8" x14ac:dyDescent="0.25">
      <c r="A10" s="21" t="s">
        <v>574</v>
      </c>
      <c r="B10" s="21" t="s">
        <v>486</v>
      </c>
      <c r="C10" s="21" t="s">
        <v>575</v>
      </c>
      <c r="D10" s="21" t="s">
        <v>576</v>
      </c>
      <c r="E10" s="22">
        <v>3.985382</v>
      </c>
      <c r="F10" s="21" t="s">
        <v>94</v>
      </c>
      <c r="G10" s="23">
        <v>68756</v>
      </c>
      <c r="H10" s="21" t="s">
        <v>562</v>
      </c>
    </row>
    <row r="11" spans="1:8" x14ac:dyDescent="0.25">
      <c r="A11" s="21" t="s">
        <v>577</v>
      </c>
      <c r="B11" s="21" t="s">
        <v>477</v>
      </c>
      <c r="C11" s="21" t="s">
        <v>578</v>
      </c>
      <c r="D11" s="21" t="s">
        <v>579</v>
      </c>
      <c r="E11" s="22">
        <v>3.9752730000000001</v>
      </c>
      <c r="F11" s="21" t="s">
        <v>94</v>
      </c>
      <c r="G11" s="23">
        <v>37079</v>
      </c>
      <c r="H11" s="21" t="s">
        <v>562</v>
      </c>
    </row>
    <row r="12" spans="1:8" x14ac:dyDescent="0.25">
      <c r="A12" s="21" t="s">
        <v>580</v>
      </c>
      <c r="B12" s="21" t="s">
        <v>482</v>
      </c>
      <c r="C12" s="21" t="s">
        <v>581</v>
      </c>
      <c r="D12" s="21" t="s">
        <v>582</v>
      </c>
      <c r="E12" s="22">
        <v>3.9646569999999999</v>
      </c>
      <c r="F12" s="21" t="s">
        <v>94</v>
      </c>
      <c r="G12" s="23">
        <v>37348</v>
      </c>
      <c r="H12" s="21" t="s">
        <v>562</v>
      </c>
    </row>
    <row r="13" spans="1:8" x14ac:dyDescent="0.25">
      <c r="A13" s="21" t="s">
        <v>583</v>
      </c>
      <c r="B13" s="21" t="s">
        <v>480</v>
      </c>
      <c r="C13" s="21" t="s">
        <v>584</v>
      </c>
      <c r="D13" s="21" t="s">
        <v>585</v>
      </c>
      <c r="E13" s="22">
        <v>3.9060039999999998</v>
      </c>
      <c r="F13" s="21" t="s">
        <v>94</v>
      </c>
      <c r="G13" s="23">
        <v>100958</v>
      </c>
      <c r="H13" s="21" t="s">
        <v>562</v>
      </c>
    </row>
    <row r="14" spans="1:8" x14ac:dyDescent="0.25">
      <c r="A14" s="21" t="s">
        <v>586</v>
      </c>
      <c r="B14" s="21" t="s">
        <v>481</v>
      </c>
      <c r="C14" s="21" t="s">
        <v>587</v>
      </c>
      <c r="D14" s="21" t="s">
        <v>588</v>
      </c>
      <c r="E14" s="22">
        <v>3.7950360000000001</v>
      </c>
      <c r="F14" s="21" t="s">
        <v>94</v>
      </c>
      <c r="G14" s="23">
        <v>7348</v>
      </c>
      <c r="H14" s="21" t="s">
        <v>562</v>
      </c>
    </row>
    <row r="15" spans="1:8" x14ac:dyDescent="0.25">
      <c r="A15" s="21" t="s">
        <v>589</v>
      </c>
      <c r="B15" s="21" t="s">
        <v>479</v>
      </c>
      <c r="C15" s="21" t="s">
        <v>590</v>
      </c>
      <c r="D15" s="21" t="s">
        <v>591</v>
      </c>
      <c r="E15" s="22">
        <v>3.7743199999999999</v>
      </c>
      <c r="F15" s="21" t="s">
        <v>94</v>
      </c>
      <c r="G15" s="23">
        <v>234861</v>
      </c>
      <c r="H15" s="21" t="s">
        <v>562</v>
      </c>
    </row>
    <row r="16" spans="1:8" x14ac:dyDescent="0.25">
      <c r="A16" s="21" t="s">
        <v>592</v>
      </c>
      <c r="B16" s="21" t="s">
        <v>484</v>
      </c>
      <c r="C16" s="21" t="s">
        <v>593</v>
      </c>
      <c r="D16" s="21" t="s">
        <v>594</v>
      </c>
      <c r="E16" s="22">
        <v>3.720361</v>
      </c>
      <c r="F16" s="21" t="s">
        <v>94</v>
      </c>
      <c r="G16" s="23">
        <v>581162</v>
      </c>
      <c r="H16" s="21" t="s">
        <v>562</v>
      </c>
    </row>
    <row r="17" spans="1:8" x14ac:dyDescent="0.25">
      <c r="A17" s="21" t="s">
        <v>595</v>
      </c>
      <c r="B17" s="21" t="s">
        <v>478</v>
      </c>
      <c r="C17" s="21" t="s">
        <v>596</v>
      </c>
      <c r="D17" s="21" t="s">
        <v>597</v>
      </c>
      <c r="E17" s="22">
        <v>3.686957</v>
      </c>
      <c r="F17" s="21" t="s">
        <v>94</v>
      </c>
      <c r="G17" s="23">
        <v>64685</v>
      </c>
      <c r="H17" s="21" t="s">
        <v>562</v>
      </c>
    </row>
    <row r="18" spans="1:8" x14ac:dyDescent="0.25">
      <c r="A18" s="21" t="s">
        <v>598</v>
      </c>
      <c r="B18" s="21" t="s">
        <v>483</v>
      </c>
      <c r="C18" s="21" t="s">
        <v>599</v>
      </c>
      <c r="D18" s="21" t="s">
        <v>600</v>
      </c>
      <c r="E18" s="22">
        <v>3.6753550000000001</v>
      </c>
      <c r="F18" s="21" t="s">
        <v>94</v>
      </c>
      <c r="G18" s="23">
        <v>402552</v>
      </c>
      <c r="H18" s="21" t="s">
        <v>562</v>
      </c>
    </row>
    <row r="19" spans="1:8" x14ac:dyDescent="0.25">
      <c r="A19" s="21" t="s">
        <v>601</v>
      </c>
      <c r="B19" s="21" t="s">
        <v>602</v>
      </c>
      <c r="C19" s="21" t="s">
        <v>603</v>
      </c>
      <c r="D19" s="21" t="s">
        <v>604</v>
      </c>
      <c r="E19" s="22">
        <v>3.4963679999999999</v>
      </c>
      <c r="F19" s="21" t="s">
        <v>94</v>
      </c>
      <c r="G19" s="23">
        <v>50551</v>
      </c>
      <c r="H19" s="21" t="s">
        <v>562</v>
      </c>
    </row>
    <row r="20" spans="1:8" x14ac:dyDescent="0.25">
      <c r="A20" s="21" t="s">
        <v>605</v>
      </c>
      <c r="B20" s="21" t="s">
        <v>606</v>
      </c>
      <c r="C20" s="21" t="s">
        <v>607</v>
      </c>
      <c r="D20" s="21" t="s">
        <v>608</v>
      </c>
      <c r="E20" s="22">
        <v>3.4838819999999999</v>
      </c>
      <c r="F20" s="21" t="s">
        <v>94</v>
      </c>
      <c r="G20" s="23">
        <v>653494</v>
      </c>
      <c r="H20" s="21" t="s">
        <v>562</v>
      </c>
    </row>
    <row r="21" spans="1:8" x14ac:dyDescent="0.25">
      <c r="A21" s="21" t="s">
        <v>609</v>
      </c>
      <c r="B21" s="21" t="s">
        <v>610</v>
      </c>
      <c r="C21" s="21" t="s">
        <v>611</v>
      </c>
      <c r="D21" s="21" t="s">
        <v>612</v>
      </c>
      <c r="E21" s="22">
        <v>3.4650310000000002</v>
      </c>
      <c r="F21" s="21" t="s">
        <v>94</v>
      </c>
      <c r="G21" s="23">
        <v>45008</v>
      </c>
      <c r="H21" s="21" t="s">
        <v>562</v>
      </c>
    </row>
    <row r="22" spans="1:8" x14ac:dyDescent="0.25">
      <c r="A22" s="21" t="s">
        <v>613</v>
      </c>
      <c r="B22" s="21" t="s">
        <v>614</v>
      </c>
      <c r="C22" s="21" t="s">
        <v>615</v>
      </c>
      <c r="D22" s="21" t="s">
        <v>616</v>
      </c>
      <c r="E22" s="22">
        <v>3.0211619999999999</v>
      </c>
      <c r="F22" s="21" t="s">
        <v>94</v>
      </c>
      <c r="G22" s="23">
        <v>186937</v>
      </c>
      <c r="H22" s="21" t="s">
        <v>562</v>
      </c>
    </row>
    <row r="23" spans="1:8" x14ac:dyDescent="0.25">
      <c r="A23" s="21" t="s">
        <v>617</v>
      </c>
      <c r="B23" s="21" t="s">
        <v>618</v>
      </c>
      <c r="C23" s="21" t="s">
        <v>619</v>
      </c>
      <c r="D23" s="21" t="s">
        <v>620</v>
      </c>
      <c r="E23" s="22">
        <v>2.8611629999999999</v>
      </c>
      <c r="F23" s="21" t="s">
        <v>94</v>
      </c>
      <c r="G23" s="23">
        <v>139766</v>
      </c>
      <c r="H23" s="21" t="s">
        <v>562</v>
      </c>
    </row>
    <row r="24" spans="1:8" x14ac:dyDescent="0.25">
      <c r="A24" s="21" t="s">
        <v>621</v>
      </c>
      <c r="B24" s="21" t="s">
        <v>622</v>
      </c>
      <c r="C24" s="21" t="s">
        <v>623</v>
      </c>
      <c r="D24" s="21" t="s">
        <v>624</v>
      </c>
      <c r="E24" s="22">
        <v>2.8024300000000002</v>
      </c>
      <c r="F24" s="21" t="s">
        <v>94</v>
      </c>
      <c r="G24" s="23">
        <v>150530</v>
      </c>
      <c r="H24" s="21" t="s">
        <v>562</v>
      </c>
    </row>
    <row r="25" spans="1:8" x14ac:dyDescent="0.25">
      <c r="A25" s="21" t="s">
        <v>625</v>
      </c>
      <c r="B25" s="21" t="s">
        <v>626</v>
      </c>
      <c r="C25" s="21" t="s">
        <v>627</v>
      </c>
      <c r="D25" s="21" t="s">
        <v>628</v>
      </c>
      <c r="E25" s="22">
        <v>2.3039109999999998</v>
      </c>
      <c r="F25" s="21" t="s">
        <v>94</v>
      </c>
      <c r="G25" s="23">
        <v>100582</v>
      </c>
      <c r="H25" s="21" t="s">
        <v>562</v>
      </c>
    </row>
    <row r="26" spans="1:8" x14ac:dyDescent="0.25">
      <c r="A26" s="21" t="s">
        <v>629</v>
      </c>
      <c r="B26" s="21" t="s">
        <v>630</v>
      </c>
      <c r="C26" s="21" t="s">
        <v>631</v>
      </c>
      <c r="D26" s="21" t="s">
        <v>632</v>
      </c>
      <c r="E26" s="22">
        <v>2.2010939999999999</v>
      </c>
      <c r="F26" s="21" t="s">
        <v>94</v>
      </c>
      <c r="G26" s="23">
        <v>46595</v>
      </c>
      <c r="H26" s="21" t="s">
        <v>562</v>
      </c>
    </row>
    <row r="27" spans="1:8" x14ac:dyDescent="0.25">
      <c r="A27" s="21" t="s">
        <v>633</v>
      </c>
      <c r="B27" s="21" t="s">
        <v>634</v>
      </c>
      <c r="C27" s="21" t="s">
        <v>635</v>
      </c>
      <c r="D27" s="21" t="s">
        <v>636</v>
      </c>
      <c r="E27" s="22">
        <v>2.1347860000000001</v>
      </c>
      <c r="F27" s="21" t="s">
        <v>94</v>
      </c>
      <c r="G27" s="23">
        <v>465140</v>
      </c>
      <c r="H27" s="21" t="s">
        <v>562</v>
      </c>
    </row>
    <row r="28" spans="1:8" x14ac:dyDescent="0.25">
      <c r="A28" s="21" t="s">
        <v>637</v>
      </c>
      <c r="B28" s="21" t="s">
        <v>638</v>
      </c>
      <c r="C28" s="21" t="s">
        <v>639</v>
      </c>
      <c r="D28" s="21" t="s">
        <v>640</v>
      </c>
      <c r="E28" s="22">
        <v>1.85669</v>
      </c>
      <c r="F28" s="21" t="s">
        <v>94</v>
      </c>
      <c r="G28" s="23">
        <v>94308</v>
      </c>
      <c r="H28" s="21" t="s">
        <v>562</v>
      </c>
    </row>
    <row r="29" spans="1:8" x14ac:dyDescent="0.25">
      <c r="A29" s="21" t="s">
        <v>641</v>
      </c>
      <c r="B29" s="21" t="s">
        <v>642</v>
      </c>
      <c r="C29" s="21" t="s">
        <v>643</v>
      </c>
      <c r="D29" s="21" t="s">
        <v>644</v>
      </c>
      <c r="E29" s="22">
        <v>1.8244910000000001</v>
      </c>
      <c r="F29" s="21" t="s">
        <v>94</v>
      </c>
      <c r="G29" s="23">
        <v>110876</v>
      </c>
      <c r="H29" s="21" t="s">
        <v>562</v>
      </c>
    </row>
    <row r="30" spans="1:8" x14ac:dyDescent="0.25">
      <c r="A30" s="21" t="s">
        <v>645</v>
      </c>
      <c r="B30" s="21" t="s">
        <v>646</v>
      </c>
      <c r="C30" s="21" t="s">
        <v>647</v>
      </c>
      <c r="D30" s="21" t="s">
        <v>648</v>
      </c>
      <c r="E30" s="22">
        <v>1.8222719999999999</v>
      </c>
      <c r="F30" s="21" t="s">
        <v>94</v>
      </c>
      <c r="G30" s="23">
        <v>226293</v>
      </c>
      <c r="H30" s="21" t="s">
        <v>562</v>
      </c>
    </row>
    <row r="31" spans="1:8" x14ac:dyDescent="0.25">
      <c r="A31" s="21" t="s">
        <v>649</v>
      </c>
      <c r="B31" s="21" t="s">
        <v>650</v>
      </c>
      <c r="C31" s="21" t="s">
        <v>651</v>
      </c>
      <c r="D31" s="21" t="s">
        <v>652</v>
      </c>
      <c r="E31" s="22">
        <v>1.7913559999999999</v>
      </c>
      <c r="F31" s="21" t="s">
        <v>94</v>
      </c>
      <c r="G31" s="23">
        <v>25715</v>
      </c>
      <c r="H31" s="21" t="s">
        <v>562</v>
      </c>
    </row>
    <row r="32" spans="1:8" x14ac:dyDescent="0.25">
      <c r="A32" s="21" t="s">
        <v>653</v>
      </c>
      <c r="B32" s="21" t="s">
        <v>498</v>
      </c>
      <c r="C32" s="21" t="s">
        <v>654</v>
      </c>
      <c r="D32" s="21" t="s">
        <v>655</v>
      </c>
      <c r="E32" s="22">
        <v>1.643181</v>
      </c>
      <c r="F32" s="21" t="s">
        <v>94</v>
      </c>
      <c r="G32" s="23">
        <v>182066</v>
      </c>
      <c r="H32" s="21" t="s">
        <v>562</v>
      </c>
    </row>
    <row r="33" spans="1:8" x14ac:dyDescent="0.25">
      <c r="A33" s="21" t="s">
        <v>656</v>
      </c>
      <c r="B33" s="21" t="s">
        <v>657</v>
      </c>
      <c r="C33" s="21" t="s">
        <v>658</v>
      </c>
      <c r="D33" s="21" t="s">
        <v>659</v>
      </c>
      <c r="E33" s="22">
        <v>1.6205510000000001</v>
      </c>
      <c r="F33" s="21" t="s">
        <v>94</v>
      </c>
      <c r="G33" s="23">
        <v>130717</v>
      </c>
      <c r="H33" s="21" t="s">
        <v>562</v>
      </c>
    </row>
    <row r="34" spans="1:8" x14ac:dyDescent="0.25">
      <c r="A34" s="21" t="s">
        <v>660</v>
      </c>
      <c r="B34" s="21" t="s">
        <v>661</v>
      </c>
      <c r="C34" s="21" t="s">
        <v>662</v>
      </c>
      <c r="D34" s="21" t="s">
        <v>663</v>
      </c>
      <c r="E34" s="22">
        <v>1.331153</v>
      </c>
      <c r="F34" s="21" t="s">
        <v>94</v>
      </c>
      <c r="G34" s="23">
        <v>257813</v>
      </c>
      <c r="H34" s="21" t="s">
        <v>562</v>
      </c>
    </row>
    <row r="35" spans="1:8" x14ac:dyDescent="0.25">
      <c r="A35" s="21" t="s">
        <v>664</v>
      </c>
      <c r="B35" s="21" t="s">
        <v>665</v>
      </c>
      <c r="C35" s="21" t="s">
        <v>666</v>
      </c>
      <c r="D35" s="21" t="s">
        <v>667</v>
      </c>
      <c r="E35" s="22">
        <v>1.0293460000000001</v>
      </c>
      <c r="F35" s="21" t="s">
        <v>94</v>
      </c>
      <c r="G35" s="23">
        <v>243993</v>
      </c>
      <c r="H35" s="21" t="s">
        <v>562</v>
      </c>
    </row>
    <row r="36" spans="1:8" x14ac:dyDescent="0.25">
      <c r="A36" s="21" t="s">
        <v>668</v>
      </c>
      <c r="B36" s="21" t="s">
        <v>669</v>
      </c>
      <c r="C36" s="21" t="s">
        <v>670</v>
      </c>
      <c r="D36" s="21" t="s">
        <v>671</v>
      </c>
      <c r="E36" s="22">
        <v>1.023077</v>
      </c>
      <c r="F36" s="21" t="s">
        <v>94</v>
      </c>
      <c r="G36" s="23">
        <v>136793</v>
      </c>
      <c r="H36" s="21" t="s">
        <v>562</v>
      </c>
    </row>
    <row r="37" spans="1:8" x14ac:dyDescent="0.25">
      <c r="A37" s="21" t="s">
        <v>672</v>
      </c>
      <c r="B37" s="21" t="s">
        <v>673</v>
      </c>
      <c r="C37" s="21" t="s">
        <v>674</v>
      </c>
      <c r="D37" s="21" t="s">
        <v>675</v>
      </c>
      <c r="E37" s="22">
        <v>0.96920600000000001</v>
      </c>
      <c r="F37" s="21" t="s">
        <v>94</v>
      </c>
      <c r="G37" s="23">
        <v>255123</v>
      </c>
      <c r="H37" s="21" t="s">
        <v>562</v>
      </c>
    </row>
    <row r="38" spans="1:8" x14ac:dyDescent="0.25">
      <c r="A38" s="21" t="s">
        <v>676</v>
      </c>
      <c r="B38" s="21" t="s">
        <v>677</v>
      </c>
      <c r="C38" s="21" t="s">
        <v>678</v>
      </c>
      <c r="D38" s="21" t="s">
        <v>679</v>
      </c>
      <c r="E38" s="22">
        <v>0.91171500000000005</v>
      </c>
      <c r="F38" s="21" t="s">
        <v>94</v>
      </c>
      <c r="G38" s="23">
        <v>205058</v>
      </c>
      <c r="H38" s="21" t="s">
        <v>562</v>
      </c>
    </row>
    <row r="39" spans="1:8" x14ac:dyDescent="0.25">
      <c r="A39" s="21" t="s">
        <v>680</v>
      </c>
      <c r="B39" s="21" t="s">
        <v>681</v>
      </c>
      <c r="C39" s="21" t="s">
        <v>682</v>
      </c>
      <c r="D39" s="21" t="s">
        <v>683</v>
      </c>
      <c r="E39" s="22">
        <v>0.85744200000000004</v>
      </c>
      <c r="F39" s="21" t="s">
        <v>94</v>
      </c>
      <c r="G39" s="23">
        <v>277907</v>
      </c>
      <c r="H39" s="21" t="s">
        <v>562</v>
      </c>
    </row>
    <row r="40" spans="1:8" x14ac:dyDescent="0.25">
      <c r="A40" s="21" t="s">
        <v>684</v>
      </c>
      <c r="B40" s="21" t="s">
        <v>685</v>
      </c>
      <c r="C40" s="21" t="s">
        <v>686</v>
      </c>
      <c r="D40" s="21" t="s">
        <v>687</v>
      </c>
      <c r="E40" s="22">
        <v>0.80158099999999999</v>
      </c>
      <c r="F40" s="21" t="s">
        <v>94</v>
      </c>
      <c r="G40" s="23">
        <v>162284</v>
      </c>
      <c r="H40" s="21" t="s">
        <v>562</v>
      </c>
    </row>
    <row r="41" spans="1:8" x14ac:dyDescent="0.25">
      <c r="A41" s="21" t="s">
        <v>688</v>
      </c>
      <c r="B41" s="21" t="s">
        <v>689</v>
      </c>
      <c r="C41" s="21" t="s">
        <v>690</v>
      </c>
      <c r="D41" s="21" t="s">
        <v>691</v>
      </c>
      <c r="E41" s="22">
        <v>0.73554399999999998</v>
      </c>
      <c r="F41" s="21" t="s">
        <v>94</v>
      </c>
      <c r="G41" s="23">
        <v>179409</v>
      </c>
      <c r="H41" s="21" t="s">
        <v>562</v>
      </c>
    </row>
    <row r="42" spans="1:8" x14ac:dyDescent="0.25">
      <c r="A42" s="21" t="s">
        <v>692</v>
      </c>
      <c r="B42" s="21" t="s">
        <v>487</v>
      </c>
      <c r="C42" s="21" t="s">
        <v>693</v>
      </c>
      <c r="D42" s="21" t="s">
        <v>694</v>
      </c>
      <c r="E42" s="22">
        <v>0.68095300000000003</v>
      </c>
      <c r="F42" s="21" t="s">
        <v>94</v>
      </c>
      <c r="G42" s="23">
        <v>586330</v>
      </c>
      <c r="H42" s="21" t="s">
        <v>562</v>
      </c>
    </row>
    <row r="43" spans="1:8" x14ac:dyDescent="0.25">
      <c r="A43" s="21" t="s">
        <v>695</v>
      </c>
      <c r="B43" s="21" t="s">
        <v>696</v>
      </c>
      <c r="C43" s="21" t="s">
        <v>697</v>
      </c>
      <c r="D43" s="21" t="s">
        <v>698</v>
      </c>
      <c r="E43" s="22">
        <v>0.65156599999999998</v>
      </c>
      <c r="F43" s="21" t="s">
        <v>94</v>
      </c>
      <c r="G43" s="23">
        <v>49829</v>
      </c>
      <c r="H43" s="21" t="s">
        <v>562</v>
      </c>
    </row>
    <row r="44" spans="1:8" x14ac:dyDescent="0.25">
      <c r="A44" s="21" t="s">
        <v>699</v>
      </c>
      <c r="B44" s="21" t="s">
        <v>700</v>
      </c>
      <c r="C44" s="21" t="s">
        <v>701</v>
      </c>
      <c r="D44" s="21" t="s">
        <v>702</v>
      </c>
      <c r="E44" s="22">
        <v>0.64731099999999997</v>
      </c>
      <c r="F44" s="21" t="s">
        <v>94</v>
      </c>
      <c r="G44" s="23">
        <v>752213</v>
      </c>
      <c r="H44" s="21" t="s">
        <v>562</v>
      </c>
    </row>
    <row r="45" spans="1:8" x14ac:dyDescent="0.25">
      <c r="A45" s="21" t="s">
        <v>703</v>
      </c>
      <c r="B45" s="21" t="s">
        <v>704</v>
      </c>
      <c r="C45" s="21" t="s">
        <v>705</v>
      </c>
      <c r="D45" s="21" t="s">
        <v>706</v>
      </c>
      <c r="E45" s="22">
        <v>0.57145599999999996</v>
      </c>
      <c r="F45" s="21" t="s">
        <v>94</v>
      </c>
      <c r="G45" s="23">
        <v>177180</v>
      </c>
      <c r="H45" s="21" t="s">
        <v>562</v>
      </c>
    </row>
    <row r="46" spans="1:8" x14ac:dyDescent="0.25">
      <c r="A46" s="21" t="s">
        <v>707</v>
      </c>
      <c r="B46" s="21" t="s">
        <v>708</v>
      </c>
      <c r="C46" s="21" t="s">
        <v>709</v>
      </c>
      <c r="D46" s="21" t="s">
        <v>710</v>
      </c>
      <c r="E46" s="22">
        <v>0.53377200000000002</v>
      </c>
      <c r="F46" s="21" t="s">
        <v>94</v>
      </c>
      <c r="G46" s="23">
        <v>39757</v>
      </c>
      <c r="H46" s="21" t="s">
        <v>562</v>
      </c>
    </row>
    <row r="47" spans="1:8" x14ac:dyDescent="0.25">
      <c r="A47" s="21" t="s">
        <v>711</v>
      </c>
      <c r="B47" s="21" t="s">
        <v>712</v>
      </c>
      <c r="C47" s="21" t="s">
        <v>713</v>
      </c>
      <c r="D47" s="21" t="s">
        <v>714</v>
      </c>
      <c r="E47" s="22">
        <v>0.47406300000000001</v>
      </c>
      <c r="F47" s="21" t="s">
        <v>94</v>
      </c>
      <c r="G47" s="23">
        <v>96249</v>
      </c>
      <c r="H47" s="21" t="s">
        <v>562</v>
      </c>
    </row>
    <row r="48" spans="1:8" x14ac:dyDescent="0.25">
      <c r="A48" s="21" t="s">
        <v>715</v>
      </c>
      <c r="B48" s="21" t="s">
        <v>94</v>
      </c>
      <c r="C48" s="21" t="s">
        <v>716</v>
      </c>
      <c r="D48" s="21" t="s">
        <v>94</v>
      </c>
      <c r="E48" s="22">
        <v>0.155167</v>
      </c>
      <c r="F48" s="21" t="s">
        <v>94</v>
      </c>
      <c r="G48" s="23">
        <v>221785.05</v>
      </c>
      <c r="H48" s="21" t="s">
        <v>562</v>
      </c>
    </row>
    <row r="49" spans="1:12" x14ac:dyDescent="0.25">
      <c r="A49" s="21" t="s">
        <v>717</v>
      </c>
      <c r="B49" s="21" t="s">
        <v>94</v>
      </c>
      <c r="C49" s="21" t="s">
        <v>718</v>
      </c>
      <c r="D49" s="21" t="s">
        <v>94</v>
      </c>
      <c r="E49" s="22">
        <v>3.1342000000000002E-2</v>
      </c>
      <c r="F49" s="21" t="s">
        <v>94</v>
      </c>
      <c r="G49" s="23">
        <v>44798.18</v>
      </c>
      <c r="H49" s="21" t="s">
        <v>562</v>
      </c>
    </row>
    <row r="51" spans="1:12" ht="14.45" customHeight="1" x14ac:dyDescent="0.25">
      <c r="A51" s="212" t="s">
        <v>719</v>
      </c>
      <c r="B51" s="212"/>
      <c r="C51" s="212"/>
      <c r="D51" s="212"/>
      <c r="E51" s="212"/>
      <c r="F51" s="212"/>
      <c r="G51" s="212"/>
      <c r="H51" s="212"/>
      <c r="I51" s="212"/>
      <c r="J51" s="25"/>
      <c r="K51" s="25"/>
    </row>
    <row r="52" spans="1:12" x14ac:dyDescent="0.25">
      <c r="A52" s="212"/>
      <c r="B52" s="212"/>
      <c r="C52" s="212"/>
      <c r="D52" s="212"/>
      <c r="E52" s="212"/>
      <c r="F52" s="212"/>
      <c r="G52" s="212"/>
      <c r="H52" s="212"/>
      <c r="I52" s="212"/>
      <c r="J52" s="25"/>
      <c r="K52" s="25"/>
    </row>
    <row r="53" spans="1:12" x14ac:dyDescent="0.25">
      <c r="A53" s="212"/>
      <c r="B53" s="212"/>
      <c r="C53" s="212"/>
      <c r="D53" s="212"/>
      <c r="E53" s="212"/>
      <c r="F53" s="212"/>
      <c r="G53" s="212"/>
      <c r="H53" s="212"/>
      <c r="I53" s="212"/>
      <c r="J53" s="25"/>
      <c r="K53" s="25"/>
    </row>
    <row r="54" spans="1:12" x14ac:dyDescent="0.25">
      <c r="A54" s="24"/>
      <c r="B54" s="24"/>
      <c r="C54" s="24"/>
      <c r="D54" s="24"/>
      <c r="E54" s="24"/>
      <c r="F54" s="24"/>
      <c r="G54" s="24"/>
      <c r="H54" s="24"/>
      <c r="I54" s="24"/>
      <c r="J54" s="25"/>
      <c r="K54" s="25"/>
    </row>
    <row r="55" spans="1:12" ht="14.45" customHeight="1" x14ac:dyDescent="0.25">
      <c r="A55" s="213" t="s">
        <v>720</v>
      </c>
      <c r="B55" s="213"/>
      <c r="C55" s="213"/>
      <c r="D55" s="213"/>
      <c r="E55" s="213"/>
      <c r="F55" s="213"/>
      <c r="G55" s="213"/>
      <c r="H55" s="213"/>
      <c r="I55" s="213"/>
      <c r="J55" s="26"/>
      <c r="K55" s="26"/>
      <c r="L55" s="21"/>
    </row>
    <row r="56" spans="1:12" x14ac:dyDescent="0.25">
      <c r="A56" s="213"/>
      <c r="B56" s="213"/>
      <c r="C56" s="213"/>
      <c r="D56" s="213"/>
      <c r="E56" s="213"/>
      <c r="F56" s="213"/>
      <c r="G56" s="213"/>
      <c r="H56" s="213"/>
      <c r="I56" s="213"/>
      <c r="J56" s="26"/>
      <c r="K56" s="26"/>
      <c r="L56" s="21"/>
    </row>
    <row r="57" spans="1:12" x14ac:dyDescent="0.25">
      <c r="A57" s="27"/>
      <c r="B57" s="27"/>
      <c r="C57" s="27"/>
      <c r="D57" s="27"/>
      <c r="E57" s="27"/>
      <c r="F57" s="27"/>
      <c r="G57" s="27"/>
      <c r="H57" s="27"/>
      <c r="I57" s="27"/>
      <c r="J57" s="26"/>
      <c r="K57" s="26"/>
      <c r="L57" s="21"/>
    </row>
    <row r="58" spans="1:12" s="28" customFormat="1" ht="12.75" x14ac:dyDescent="0.25">
      <c r="A58" s="214" t="s">
        <v>721</v>
      </c>
      <c r="B58" s="214"/>
      <c r="C58" s="214"/>
      <c r="D58" s="214"/>
      <c r="E58" s="214"/>
      <c r="F58" s="214"/>
      <c r="G58" s="214"/>
      <c r="H58" s="214"/>
      <c r="I58" s="214"/>
    </row>
    <row r="59" spans="1:12" s="28" customFormat="1" ht="12.75" x14ac:dyDescent="0.25">
      <c r="A59" s="214"/>
      <c r="B59" s="214"/>
      <c r="C59" s="214"/>
      <c r="D59" s="214"/>
      <c r="E59" s="214"/>
      <c r="F59" s="214"/>
      <c r="G59" s="214"/>
      <c r="H59" s="214"/>
      <c r="I59" s="214"/>
    </row>
    <row r="60" spans="1:12" s="28" customFormat="1" ht="12.75" x14ac:dyDescent="0.25">
      <c r="A60" s="214"/>
      <c r="B60" s="214"/>
      <c r="C60" s="214"/>
      <c r="D60" s="214"/>
      <c r="E60" s="214"/>
      <c r="F60" s="214"/>
      <c r="G60" s="214"/>
      <c r="H60" s="214"/>
      <c r="I60" s="214"/>
    </row>
    <row r="61" spans="1:12" s="28" customFormat="1" ht="12.75" x14ac:dyDescent="0.25">
      <c r="A61" s="214"/>
      <c r="B61" s="214"/>
      <c r="C61" s="214"/>
      <c r="D61" s="214"/>
      <c r="E61" s="214"/>
      <c r="F61" s="214"/>
      <c r="G61" s="214"/>
      <c r="H61" s="214"/>
      <c r="I61" s="214"/>
    </row>
    <row r="62" spans="1:12" s="28" customFormat="1" ht="12.75" x14ac:dyDescent="0.25">
      <c r="A62" s="214"/>
      <c r="B62" s="214"/>
      <c r="C62" s="214"/>
      <c r="D62" s="214"/>
      <c r="E62" s="214"/>
      <c r="F62" s="214"/>
      <c r="G62" s="214"/>
      <c r="H62" s="214"/>
      <c r="I62" s="214"/>
    </row>
    <row r="63" spans="1:12" s="28" customFormat="1" ht="12.75" x14ac:dyDescent="0.25">
      <c r="A63" s="214"/>
      <c r="B63" s="214"/>
      <c r="C63" s="214"/>
      <c r="D63" s="214"/>
      <c r="E63" s="214"/>
      <c r="F63" s="214"/>
      <c r="G63" s="214"/>
      <c r="H63" s="214"/>
      <c r="I63" s="214"/>
    </row>
    <row r="64" spans="1:12" s="28" customFormat="1" ht="12.75" x14ac:dyDescent="0.25">
      <c r="A64" s="214"/>
      <c r="B64" s="214"/>
      <c r="C64" s="214"/>
      <c r="D64" s="214"/>
      <c r="E64" s="214"/>
      <c r="F64" s="214"/>
      <c r="G64" s="214"/>
      <c r="H64" s="214"/>
      <c r="I64" s="214"/>
    </row>
    <row r="65" spans="1:9" s="28" customFormat="1" ht="12.75" x14ac:dyDescent="0.25">
      <c r="A65" s="214"/>
      <c r="B65" s="214"/>
      <c r="C65" s="214"/>
      <c r="D65" s="214"/>
      <c r="E65" s="214"/>
      <c r="F65" s="214"/>
      <c r="G65" s="214"/>
      <c r="H65" s="214"/>
      <c r="I65" s="214"/>
    </row>
    <row r="66" spans="1:9" s="28" customFormat="1" ht="12.75" x14ac:dyDescent="0.25">
      <c r="A66" s="214"/>
      <c r="B66" s="214"/>
      <c r="C66" s="214"/>
      <c r="D66" s="214"/>
      <c r="E66" s="214"/>
      <c r="F66" s="214"/>
      <c r="G66" s="214"/>
      <c r="H66" s="214"/>
      <c r="I66" s="214"/>
    </row>
    <row r="67" spans="1:9" s="28" customFormat="1" ht="12.75" x14ac:dyDescent="0.25">
      <c r="A67" s="214"/>
      <c r="B67" s="214"/>
      <c r="C67" s="214"/>
      <c r="D67" s="214"/>
      <c r="E67" s="214"/>
      <c r="F67" s="214"/>
      <c r="G67" s="214"/>
      <c r="H67" s="214"/>
      <c r="I67" s="214"/>
    </row>
    <row r="68" spans="1:9" s="28" customFormat="1" ht="12.75" x14ac:dyDescent="0.25">
      <c r="A68" s="214"/>
      <c r="B68" s="214"/>
      <c r="C68" s="214"/>
      <c r="D68" s="214"/>
      <c r="E68" s="214"/>
      <c r="F68" s="214"/>
      <c r="G68" s="214"/>
      <c r="H68" s="214"/>
      <c r="I68" s="214"/>
    </row>
    <row r="69" spans="1:9" s="28" customFormat="1" ht="12.75" x14ac:dyDescent="0.25">
      <c r="A69" s="214"/>
      <c r="B69" s="214"/>
      <c r="C69" s="214"/>
      <c r="D69" s="214"/>
      <c r="E69" s="214"/>
      <c r="F69" s="214"/>
      <c r="G69" s="214"/>
      <c r="H69" s="214"/>
      <c r="I69" s="214"/>
    </row>
    <row r="70" spans="1:9" s="28" customFormat="1" ht="12.75" x14ac:dyDescent="0.25">
      <c r="A70" s="214"/>
      <c r="B70" s="214"/>
      <c r="C70" s="214"/>
      <c r="D70" s="214"/>
      <c r="E70" s="214"/>
      <c r="F70" s="214"/>
      <c r="G70" s="214"/>
      <c r="H70" s="214"/>
      <c r="I70" s="214"/>
    </row>
    <row r="71" spans="1:9" s="28" customFormat="1" ht="12.75" x14ac:dyDescent="0.25">
      <c r="A71" s="214"/>
      <c r="B71" s="214"/>
      <c r="C71" s="214"/>
      <c r="D71" s="214"/>
      <c r="E71" s="214"/>
      <c r="F71" s="214"/>
      <c r="G71" s="214"/>
      <c r="H71" s="214"/>
      <c r="I71" s="214"/>
    </row>
    <row r="72" spans="1:9" s="28" customFormat="1" ht="12.75" x14ac:dyDescent="0.25">
      <c r="A72" s="214"/>
      <c r="B72" s="214"/>
      <c r="C72" s="214"/>
      <c r="D72" s="214"/>
      <c r="E72" s="214"/>
      <c r="F72" s="214"/>
      <c r="G72" s="214"/>
      <c r="H72" s="214"/>
      <c r="I72" s="214"/>
    </row>
    <row r="73" spans="1:9" s="28" customFormat="1" ht="12.75" x14ac:dyDescent="0.25">
      <c r="A73" s="214"/>
      <c r="B73" s="214"/>
      <c r="C73" s="214"/>
      <c r="D73" s="214"/>
      <c r="E73" s="214"/>
      <c r="F73" s="214"/>
      <c r="G73" s="214"/>
      <c r="H73" s="214"/>
      <c r="I73" s="214"/>
    </row>
    <row r="74" spans="1:9" s="28" customFormat="1" ht="12.75" x14ac:dyDescent="0.25">
      <c r="A74" s="214"/>
      <c r="B74" s="214"/>
      <c r="C74" s="214"/>
      <c r="D74" s="214"/>
      <c r="E74" s="214"/>
      <c r="F74" s="214"/>
      <c r="G74" s="214"/>
      <c r="H74" s="214"/>
      <c r="I74" s="214"/>
    </row>
    <row r="75" spans="1:9" s="28" customFormat="1" ht="12.75" x14ac:dyDescent="0.25">
      <c r="A75" s="214"/>
      <c r="B75" s="214"/>
      <c r="C75" s="214"/>
      <c r="D75" s="214"/>
      <c r="E75" s="214"/>
      <c r="F75" s="214"/>
      <c r="G75" s="214"/>
      <c r="H75" s="214"/>
      <c r="I75" s="214"/>
    </row>
    <row r="76" spans="1:9" s="28" customFormat="1" ht="12.75" x14ac:dyDescent="0.25">
      <c r="A76" s="214"/>
      <c r="B76" s="214"/>
      <c r="C76" s="214"/>
      <c r="D76" s="214"/>
      <c r="E76" s="214"/>
      <c r="F76" s="214"/>
      <c r="G76" s="214"/>
      <c r="H76" s="214"/>
      <c r="I76" s="214"/>
    </row>
    <row r="77" spans="1:9" s="28" customFormat="1" ht="12.75" x14ac:dyDescent="0.25">
      <c r="A77" s="214"/>
      <c r="B77" s="214"/>
      <c r="C77" s="214"/>
      <c r="D77" s="214"/>
      <c r="E77" s="214"/>
      <c r="F77" s="214"/>
      <c r="G77" s="214"/>
      <c r="H77" s="214"/>
      <c r="I77" s="214"/>
    </row>
    <row r="78" spans="1:9" s="28" customFormat="1" ht="12.75" x14ac:dyDescent="0.25">
      <c r="A78" s="214"/>
      <c r="B78" s="214"/>
      <c r="C78" s="214"/>
      <c r="D78" s="214"/>
      <c r="E78" s="214"/>
      <c r="F78" s="214"/>
      <c r="G78" s="214"/>
      <c r="H78" s="214"/>
      <c r="I78" s="214"/>
    </row>
    <row r="79" spans="1:9" s="28" customFormat="1" ht="12.75" x14ac:dyDescent="0.25">
      <c r="A79" s="214"/>
      <c r="B79" s="214"/>
      <c r="C79" s="214"/>
      <c r="D79" s="214"/>
      <c r="E79" s="214"/>
      <c r="F79" s="214"/>
      <c r="G79" s="214"/>
      <c r="H79" s="214"/>
      <c r="I79" s="214"/>
    </row>
    <row r="80" spans="1:9" s="28" customFormat="1" ht="12.75" x14ac:dyDescent="0.25">
      <c r="A80" s="214"/>
      <c r="B80" s="214"/>
      <c r="C80" s="214"/>
      <c r="D80" s="214"/>
      <c r="E80" s="214"/>
      <c r="F80" s="214"/>
      <c r="G80" s="214"/>
      <c r="H80" s="214"/>
      <c r="I80" s="214"/>
    </row>
    <row r="81" spans="1:9" s="28" customFormat="1" ht="12.75" x14ac:dyDescent="0.25">
      <c r="A81" s="214"/>
      <c r="B81" s="214"/>
      <c r="C81" s="214"/>
      <c r="D81" s="214"/>
      <c r="E81" s="214"/>
      <c r="F81" s="214"/>
      <c r="G81" s="214"/>
      <c r="H81" s="214"/>
      <c r="I81" s="214"/>
    </row>
    <row r="82" spans="1:9" s="28" customFormat="1" ht="12.75" x14ac:dyDescent="0.25">
      <c r="A82" s="214"/>
      <c r="B82" s="214"/>
      <c r="C82" s="214"/>
      <c r="D82" s="214"/>
      <c r="E82" s="214"/>
      <c r="F82" s="214"/>
      <c r="G82" s="214"/>
      <c r="H82" s="214"/>
      <c r="I82" s="214"/>
    </row>
    <row r="83" spans="1:9" s="28" customFormat="1" ht="12.75" x14ac:dyDescent="0.25">
      <c r="A83" s="214"/>
      <c r="B83" s="214"/>
      <c r="C83" s="214"/>
      <c r="D83" s="214"/>
      <c r="E83" s="214"/>
      <c r="F83" s="214"/>
      <c r="G83" s="214"/>
      <c r="H83" s="214"/>
      <c r="I83" s="214"/>
    </row>
    <row r="84" spans="1:9" s="28" customFormat="1" ht="12.75" x14ac:dyDescent="0.25">
      <c r="A84" s="214"/>
      <c r="B84" s="214"/>
      <c r="C84" s="214"/>
      <c r="D84" s="214"/>
      <c r="E84" s="214"/>
      <c r="F84" s="214"/>
      <c r="G84" s="214"/>
      <c r="H84" s="214"/>
      <c r="I84" s="214"/>
    </row>
    <row r="85" spans="1:9" s="28" customFormat="1" ht="12.75" x14ac:dyDescent="0.25">
      <c r="A85" s="214"/>
      <c r="B85" s="214"/>
      <c r="C85" s="214"/>
      <c r="D85" s="214"/>
      <c r="E85" s="214"/>
      <c r="F85" s="214"/>
      <c r="G85" s="214"/>
      <c r="H85" s="214"/>
      <c r="I85" s="214"/>
    </row>
    <row r="86" spans="1:9" s="28" customFormat="1" ht="12.75" x14ac:dyDescent="0.25">
      <c r="A86" s="214"/>
      <c r="B86" s="214"/>
      <c r="C86" s="214"/>
      <c r="D86" s="214"/>
      <c r="E86" s="214"/>
      <c r="F86" s="214"/>
      <c r="G86" s="214"/>
      <c r="H86" s="214"/>
      <c r="I86" s="214"/>
    </row>
    <row r="87" spans="1:9" s="28" customFormat="1" ht="12.75" x14ac:dyDescent="0.25">
      <c r="A87" s="214"/>
      <c r="B87" s="214"/>
      <c r="C87" s="214"/>
      <c r="D87" s="214"/>
      <c r="E87" s="214"/>
      <c r="F87" s="214"/>
      <c r="G87" s="214"/>
      <c r="H87" s="214"/>
      <c r="I87" s="214"/>
    </row>
    <row r="88" spans="1:9" s="28" customFormat="1" ht="12.75" x14ac:dyDescent="0.25">
      <c r="A88" s="214"/>
      <c r="B88" s="214"/>
      <c r="C88" s="214"/>
      <c r="D88" s="214"/>
      <c r="E88" s="214"/>
      <c r="F88" s="214"/>
      <c r="G88" s="214"/>
      <c r="H88" s="214"/>
      <c r="I88" s="214"/>
    </row>
    <row r="89" spans="1:9" s="28" customFormat="1" ht="12.75" x14ac:dyDescent="0.25">
      <c r="A89" s="214"/>
      <c r="B89" s="214"/>
      <c r="C89" s="214"/>
      <c r="D89" s="214"/>
      <c r="E89" s="214"/>
      <c r="F89" s="214"/>
      <c r="G89" s="214"/>
      <c r="H89" s="214"/>
      <c r="I89" s="214"/>
    </row>
    <row r="90" spans="1:9" s="28" customFormat="1" ht="12.75" x14ac:dyDescent="0.25">
      <c r="A90" s="214"/>
      <c r="B90" s="214"/>
      <c r="C90" s="214"/>
      <c r="D90" s="214"/>
      <c r="E90" s="214"/>
      <c r="F90" s="214"/>
      <c r="G90" s="214"/>
      <c r="H90" s="214"/>
      <c r="I90" s="214"/>
    </row>
    <row r="91" spans="1:9" s="28" customFormat="1" ht="13.7" customHeight="1" x14ac:dyDescent="0.25">
      <c r="A91" s="214"/>
      <c r="B91" s="214"/>
      <c r="C91" s="214"/>
      <c r="D91" s="214"/>
      <c r="E91" s="214"/>
      <c r="F91" s="214"/>
      <c r="G91" s="214"/>
      <c r="H91" s="214"/>
      <c r="I91" s="214"/>
    </row>
    <row r="92" spans="1:9" s="28" customFormat="1" ht="13.7" customHeight="1" x14ac:dyDescent="0.25">
      <c r="A92" s="214"/>
      <c r="B92" s="214"/>
      <c r="C92" s="214"/>
      <c r="D92" s="214"/>
      <c r="E92" s="214"/>
      <c r="F92" s="214"/>
      <c r="G92" s="214"/>
      <c r="H92" s="214"/>
      <c r="I92" s="214"/>
    </row>
    <row r="93" spans="1:9" s="28" customFormat="1" ht="13.7" customHeight="1" x14ac:dyDescent="0.25">
      <c r="A93" s="214"/>
      <c r="B93" s="214"/>
      <c r="C93" s="214"/>
      <c r="D93" s="214"/>
      <c r="E93" s="214"/>
      <c r="F93" s="214"/>
      <c r="G93" s="214"/>
      <c r="H93" s="214"/>
      <c r="I93" s="214"/>
    </row>
    <row r="94" spans="1:9" s="28" customFormat="1" ht="13.7" customHeight="1" x14ac:dyDescent="0.25">
      <c r="A94" s="214"/>
      <c r="B94" s="214"/>
      <c r="C94" s="214"/>
      <c r="D94" s="214"/>
      <c r="E94" s="214"/>
      <c r="F94" s="214"/>
      <c r="G94" s="214"/>
      <c r="H94" s="214"/>
      <c r="I94" s="214"/>
    </row>
    <row r="95" spans="1:9" s="28" customFormat="1" ht="13.7" customHeight="1" x14ac:dyDescent="0.25">
      <c r="A95" s="214"/>
      <c r="B95" s="214"/>
      <c r="C95" s="214"/>
      <c r="D95" s="214"/>
      <c r="E95" s="214"/>
      <c r="F95" s="214"/>
      <c r="G95" s="214"/>
      <c r="H95" s="214"/>
      <c r="I95" s="214"/>
    </row>
    <row r="96" spans="1:9" s="28" customFormat="1" ht="13.7" customHeight="1" x14ac:dyDescent="0.25">
      <c r="A96" s="214"/>
      <c r="B96" s="214"/>
      <c r="C96" s="214"/>
      <c r="D96" s="214"/>
      <c r="E96" s="214"/>
      <c r="F96" s="214"/>
      <c r="G96" s="214"/>
      <c r="H96" s="214"/>
      <c r="I96" s="214"/>
    </row>
    <row r="97" spans="1:9" s="28" customFormat="1" ht="13.7" customHeight="1" x14ac:dyDescent="0.25">
      <c r="A97" s="214"/>
      <c r="B97" s="214"/>
      <c r="C97" s="214"/>
      <c r="D97" s="214"/>
      <c r="E97" s="214"/>
      <c r="F97" s="214"/>
      <c r="G97" s="214"/>
      <c r="H97" s="214"/>
      <c r="I97" s="214"/>
    </row>
    <row r="98" spans="1:9" s="28" customFormat="1" ht="13.7" customHeight="1" x14ac:dyDescent="0.25">
      <c r="A98" s="214"/>
      <c r="B98" s="214"/>
      <c r="C98" s="214"/>
      <c r="D98" s="214"/>
      <c r="E98" s="214"/>
      <c r="F98" s="214"/>
      <c r="G98" s="214"/>
      <c r="H98" s="214"/>
      <c r="I98" s="214"/>
    </row>
    <row r="99" spans="1:9" s="28" customFormat="1" ht="13.7" customHeight="1" x14ac:dyDescent="0.25">
      <c r="A99" s="214"/>
      <c r="B99" s="214"/>
      <c r="C99" s="214"/>
      <c r="D99" s="214"/>
      <c r="E99" s="214"/>
      <c r="F99" s="214"/>
      <c r="G99" s="214"/>
      <c r="H99" s="214"/>
      <c r="I99" s="214"/>
    </row>
    <row r="100" spans="1:9" s="28" customFormat="1" ht="13.7" customHeight="1" x14ac:dyDescent="0.25">
      <c r="A100" s="214"/>
      <c r="B100" s="214"/>
      <c r="C100" s="214"/>
      <c r="D100" s="214"/>
      <c r="E100" s="214"/>
      <c r="F100" s="214"/>
      <c r="G100" s="214"/>
      <c r="H100" s="214"/>
      <c r="I100" s="214"/>
    </row>
    <row r="101" spans="1:9" s="28" customFormat="1" ht="13.7" customHeight="1" x14ac:dyDescent="0.25">
      <c r="A101" s="214"/>
      <c r="B101" s="214"/>
      <c r="C101" s="214"/>
      <c r="D101" s="214"/>
      <c r="E101" s="214"/>
      <c r="F101" s="214"/>
      <c r="G101" s="214"/>
      <c r="H101" s="214"/>
      <c r="I101" s="214"/>
    </row>
    <row r="102" spans="1:9" s="28" customFormat="1" ht="13.7" customHeight="1" x14ac:dyDescent="0.25">
      <c r="A102" s="214"/>
      <c r="B102" s="214"/>
      <c r="C102" s="214"/>
      <c r="D102" s="214"/>
      <c r="E102" s="214"/>
      <c r="F102" s="214"/>
      <c r="G102" s="214"/>
      <c r="H102" s="214"/>
      <c r="I102" s="214"/>
    </row>
    <row r="103" spans="1:9" s="28" customFormat="1" ht="13.7" customHeight="1" x14ac:dyDescent="0.25">
      <c r="A103" s="214"/>
      <c r="B103" s="214"/>
      <c r="C103" s="214"/>
      <c r="D103" s="214"/>
      <c r="E103" s="214"/>
      <c r="F103" s="214"/>
      <c r="G103" s="214"/>
      <c r="H103" s="214"/>
      <c r="I103" s="214"/>
    </row>
    <row r="104" spans="1:9" s="28" customFormat="1" ht="13.7" customHeight="1" x14ac:dyDescent="0.25">
      <c r="A104" s="214"/>
      <c r="B104" s="214"/>
      <c r="C104" s="214"/>
      <c r="D104" s="214"/>
      <c r="E104" s="214"/>
      <c r="F104" s="214"/>
      <c r="G104" s="214"/>
      <c r="H104" s="214"/>
      <c r="I104" s="214"/>
    </row>
    <row r="105" spans="1:9" s="28" customFormat="1" ht="13.7" customHeight="1" x14ac:dyDescent="0.25">
      <c r="A105" s="214"/>
      <c r="B105" s="214"/>
      <c r="C105" s="214"/>
      <c r="D105" s="214"/>
      <c r="E105" s="214"/>
      <c r="F105" s="214"/>
      <c r="G105" s="214"/>
      <c r="H105" s="214"/>
      <c r="I105" s="214"/>
    </row>
    <row r="106" spans="1:9" s="28" customFormat="1" ht="13.7" customHeight="1" x14ac:dyDescent="0.25">
      <c r="A106" s="214"/>
      <c r="B106" s="214"/>
      <c r="C106" s="214"/>
      <c r="D106" s="214"/>
      <c r="E106" s="214"/>
      <c r="F106" s="214"/>
      <c r="G106" s="214"/>
      <c r="H106" s="214"/>
      <c r="I106" s="214"/>
    </row>
    <row r="107" spans="1:9" s="28" customFormat="1" ht="13.7" customHeight="1" x14ac:dyDescent="0.25">
      <c r="A107" s="214"/>
      <c r="B107" s="214"/>
      <c r="C107" s="214"/>
      <c r="D107" s="214"/>
      <c r="E107" s="214"/>
      <c r="F107" s="214"/>
      <c r="G107" s="214"/>
      <c r="H107" s="214"/>
      <c r="I107" s="214"/>
    </row>
    <row r="108" spans="1:9" s="28" customFormat="1" ht="13.7" customHeight="1" x14ac:dyDescent="0.25">
      <c r="A108" s="214"/>
      <c r="B108" s="214"/>
      <c r="C108" s="214"/>
      <c r="D108" s="214"/>
      <c r="E108" s="214"/>
      <c r="F108" s="214"/>
      <c r="G108" s="214"/>
      <c r="H108" s="214"/>
      <c r="I108" s="214"/>
    </row>
    <row r="109" spans="1:9" s="28" customFormat="1" ht="13.7" customHeight="1" x14ac:dyDescent="0.25">
      <c r="A109" s="214"/>
      <c r="B109" s="214"/>
      <c r="C109" s="214"/>
      <c r="D109" s="214"/>
      <c r="E109" s="214"/>
      <c r="F109" s="214"/>
      <c r="G109" s="214"/>
      <c r="H109" s="214"/>
      <c r="I109" s="214"/>
    </row>
    <row r="110" spans="1:9" s="28" customFormat="1" ht="20.45" customHeight="1" x14ac:dyDescent="0.25">
      <c r="A110" s="214"/>
      <c r="B110" s="214"/>
      <c r="C110" s="214"/>
      <c r="D110" s="214"/>
      <c r="E110" s="214"/>
      <c r="F110" s="214"/>
      <c r="G110" s="214"/>
      <c r="H110" s="214"/>
      <c r="I110" s="214"/>
    </row>
    <row r="111" spans="1:9" s="28" customFormat="1" ht="0.95" hidden="1" customHeight="1" x14ac:dyDescent="0.25">
      <c r="A111" s="214"/>
      <c r="B111" s="214"/>
      <c r="C111" s="214"/>
      <c r="D111" s="214"/>
      <c r="E111" s="214"/>
      <c r="F111" s="214"/>
      <c r="G111" s="214"/>
      <c r="H111" s="214"/>
      <c r="I111" s="214"/>
    </row>
    <row r="112" spans="1:9" s="28" customFormat="1" ht="13.5" hidden="1" customHeight="1" x14ac:dyDescent="0.25">
      <c r="A112" s="214"/>
      <c r="B112" s="214"/>
      <c r="C112" s="214"/>
      <c r="D112" s="214"/>
      <c r="E112" s="214"/>
      <c r="F112" s="214"/>
      <c r="G112" s="214"/>
      <c r="H112" s="214"/>
      <c r="I112" s="214"/>
    </row>
    <row r="113" spans="1:11" s="28" customFormat="1" ht="1.5" customHeight="1" x14ac:dyDescent="0.25">
      <c r="A113" s="214"/>
      <c r="B113" s="214"/>
      <c r="C113" s="214"/>
      <c r="D113" s="214"/>
      <c r="E113" s="214"/>
      <c r="F113" s="214"/>
      <c r="G113" s="214"/>
      <c r="H113" s="214"/>
      <c r="I113" s="214"/>
    </row>
    <row r="114" spans="1:11" s="28" customFormat="1" ht="8.4499999999999993" customHeight="1" x14ac:dyDescent="0.25">
      <c r="A114" s="214"/>
      <c r="B114" s="214"/>
      <c r="C114" s="214"/>
      <c r="D114" s="214"/>
      <c r="E114" s="214"/>
      <c r="F114" s="214"/>
      <c r="G114" s="214"/>
      <c r="H114" s="214"/>
      <c r="I114" s="214"/>
    </row>
    <row r="115" spans="1:11" s="28" customFormat="1" ht="26.45" customHeight="1" x14ac:dyDescent="0.25">
      <c r="A115" s="214"/>
      <c r="B115" s="214"/>
      <c r="C115" s="214"/>
      <c r="D115" s="214"/>
      <c r="E115" s="214"/>
      <c r="F115" s="214"/>
      <c r="G115" s="214"/>
      <c r="H115" s="214"/>
      <c r="I115" s="214"/>
    </row>
    <row r="116" spans="1:11" s="28" customFormat="1" ht="13.7" customHeight="1" x14ac:dyDescent="0.25">
      <c r="A116" s="29"/>
      <c r="B116" s="29"/>
      <c r="C116" s="29"/>
      <c r="D116" s="29"/>
      <c r="E116" s="29"/>
      <c r="F116" s="29"/>
      <c r="G116" s="29"/>
      <c r="H116" s="29"/>
      <c r="I116" s="29"/>
    </row>
    <row r="117" spans="1:11" s="28" customFormat="1" ht="13.35" customHeight="1" x14ac:dyDescent="0.25">
      <c r="A117" s="215" t="s">
        <v>722</v>
      </c>
      <c r="B117" s="215"/>
      <c r="C117" s="215"/>
      <c r="D117" s="215"/>
      <c r="E117" s="215"/>
      <c r="F117" s="215"/>
      <c r="G117" s="215"/>
      <c r="H117" s="215"/>
      <c r="I117" s="215"/>
    </row>
    <row r="118" spans="1:11" s="28" customFormat="1" ht="12.6" customHeight="1" x14ac:dyDescent="0.25">
      <c r="A118" s="215"/>
      <c r="B118" s="215"/>
      <c r="C118" s="215"/>
      <c r="D118" s="215"/>
      <c r="E118" s="215"/>
      <c r="F118" s="215"/>
      <c r="G118" s="215"/>
      <c r="H118" s="215"/>
      <c r="I118" s="215"/>
    </row>
    <row r="119" spans="1:11" s="28" customFormat="1" ht="12.6" customHeight="1" x14ac:dyDescent="0.25">
      <c r="A119" s="215"/>
      <c r="B119" s="215"/>
      <c r="C119" s="215"/>
      <c r="D119" s="215"/>
      <c r="E119" s="215"/>
      <c r="F119" s="215"/>
      <c r="G119" s="215"/>
      <c r="H119" s="215"/>
      <c r="I119" s="215"/>
    </row>
    <row r="120" spans="1:11" s="28" customFormat="1" ht="12.6" customHeight="1" x14ac:dyDescent="0.25">
      <c r="A120" s="215"/>
      <c r="B120" s="215"/>
      <c r="C120" s="215"/>
      <c r="D120" s="215"/>
      <c r="E120" s="215"/>
      <c r="F120" s="215"/>
      <c r="G120" s="215"/>
      <c r="H120" s="215"/>
      <c r="I120" s="215"/>
    </row>
    <row r="121" spans="1:11" s="28" customFormat="1" ht="12.6" customHeight="1" x14ac:dyDescent="0.25">
      <c r="A121" s="215"/>
      <c r="B121" s="215"/>
      <c r="C121" s="215"/>
      <c r="D121" s="215"/>
      <c r="E121" s="215"/>
      <c r="F121" s="215"/>
      <c r="G121" s="215"/>
      <c r="H121" s="215"/>
      <c r="I121" s="215"/>
    </row>
    <row r="122" spans="1:11" s="28" customFormat="1" ht="12.6" customHeight="1" x14ac:dyDescent="0.25">
      <c r="A122" s="215"/>
      <c r="B122" s="215"/>
      <c r="C122" s="215"/>
      <c r="D122" s="215"/>
      <c r="E122" s="215"/>
      <c r="F122" s="215"/>
      <c r="G122" s="215"/>
      <c r="H122" s="215"/>
      <c r="I122" s="215"/>
    </row>
    <row r="123" spans="1:11" s="28" customFormat="1" ht="12.6" customHeight="1" x14ac:dyDescent="0.25">
      <c r="A123" s="215"/>
      <c r="B123" s="215"/>
      <c r="C123" s="215"/>
      <c r="D123" s="215"/>
      <c r="E123" s="215"/>
      <c r="F123" s="215"/>
      <c r="G123" s="215"/>
      <c r="H123" s="215"/>
      <c r="I123" s="215"/>
    </row>
    <row r="124" spans="1:11" s="28" customFormat="1" ht="12.75" x14ac:dyDescent="0.25">
      <c r="A124" s="30"/>
      <c r="B124" s="29"/>
      <c r="C124" s="29"/>
      <c r="D124" s="29"/>
      <c r="E124" s="29"/>
      <c r="F124" s="29"/>
      <c r="G124" s="29"/>
      <c r="H124" s="29"/>
      <c r="I124" s="29"/>
    </row>
    <row r="125" spans="1:11" ht="14.45" customHeight="1" x14ac:dyDescent="0.25">
      <c r="A125" s="214" t="s">
        <v>723</v>
      </c>
      <c r="B125" s="214"/>
      <c r="C125" s="214"/>
      <c r="D125" s="214"/>
      <c r="E125" s="214"/>
      <c r="F125" s="214"/>
      <c r="G125" s="214"/>
      <c r="H125" s="214"/>
      <c r="I125" s="214"/>
      <c r="J125" s="31"/>
      <c r="K125" s="31"/>
    </row>
    <row r="126" spans="1:11" ht="14.45" customHeight="1" x14ac:dyDescent="0.25">
      <c r="A126" s="214"/>
      <c r="B126" s="214"/>
      <c r="C126" s="214"/>
      <c r="D126" s="214"/>
      <c r="E126" s="214"/>
      <c r="F126" s="214"/>
      <c r="G126" s="214"/>
      <c r="H126" s="214"/>
      <c r="I126" s="214"/>
      <c r="J126" s="31"/>
      <c r="K126" s="31"/>
    </row>
    <row r="127" spans="1:11" x14ac:dyDescent="0.25">
      <c r="A127" s="214"/>
      <c r="B127" s="214"/>
      <c r="C127" s="214"/>
      <c r="D127" s="214"/>
      <c r="E127" s="214"/>
      <c r="F127" s="214"/>
      <c r="G127" s="214"/>
      <c r="H127" s="214"/>
      <c r="I127" s="214"/>
      <c r="J127" s="31"/>
      <c r="K127" s="31"/>
    </row>
    <row r="128" spans="1:11" x14ac:dyDescent="0.25">
      <c r="A128" s="214"/>
      <c r="B128" s="214"/>
      <c r="C128" s="214"/>
      <c r="D128" s="214"/>
      <c r="E128" s="214"/>
      <c r="F128" s="214"/>
      <c r="G128" s="214"/>
      <c r="H128" s="214"/>
      <c r="I128" s="214"/>
      <c r="J128" s="31"/>
      <c r="K128" s="31"/>
    </row>
    <row r="129" spans="1:11" x14ac:dyDescent="0.25">
      <c r="A129" s="214"/>
      <c r="B129" s="214"/>
      <c r="C129" s="214"/>
      <c r="D129" s="214"/>
      <c r="E129" s="214"/>
      <c r="F129" s="214"/>
      <c r="G129" s="214"/>
      <c r="H129" s="214"/>
      <c r="I129" s="214"/>
      <c r="J129" s="31"/>
      <c r="K129" s="31"/>
    </row>
    <row r="130" spans="1:11" x14ac:dyDescent="0.25">
      <c r="A130" s="214"/>
      <c r="B130" s="214"/>
      <c r="C130" s="214"/>
      <c r="D130" s="214"/>
      <c r="E130" s="214"/>
      <c r="F130" s="214"/>
      <c r="G130" s="214"/>
      <c r="H130" s="214"/>
      <c r="I130" s="214"/>
      <c r="J130" s="31"/>
      <c r="K130" s="31"/>
    </row>
    <row r="131" spans="1:11" ht="3" customHeight="1" x14ac:dyDescent="0.25">
      <c r="A131" s="214"/>
      <c r="B131" s="214"/>
      <c r="C131" s="214"/>
      <c r="D131" s="214"/>
      <c r="E131" s="214"/>
      <c r="F131" s="214"/>
      <c r="G131" s="214"/>
      <c r="H131" s="214"/>
      <c r="I131" s="214"/>
      <c r="J131" s="31"/>
      <c r="K131" s="31"/>
    </row>
    <row r="132" spans="1:11" ht="12" customHeight="1" x14ac:dyDescent="0.25">
      <c r="A132" s="214"/>
      <c r="B132" s="214"/>
      <c r="C132" s="214"/>
      <c r="D132" s="214"/>
      <c r="E132" s="214"/>
      <c r="F132" s="214"/>
      <c r="G132" s="214"/>
      <c r="H132" s="214"/>
      <c r="I132" s="214"/>
      <c r="J132" s="31"/>
      <c r="K132" s="31"/>
    </row>
    <row r="133" spans="1:11" x14ac:dyDescent="0.25">
      <c r="A133" s="32"/>
      <c r="B133" s="33"/>
      <c r="C133" s="33"/>
      <c r="D133" s="33"/>
      <c r="E133" s="33"/>
      <c r="F133" s="33"/>
      <c r="G133" s="33"/>
      <c r="H133" s="33"/>
      <c r="I133" s="33"/>
      <c r="J133" s="31"/>
      <c r="K133" s="31"/>
    </row>
    <row r="134" spans="1:11" ht="14.45" customHeight="1" x14ac:dyDescent="0.25">
      <c r="A134" s="211" t="s">
        <v>724</v>
      </c>
      <c r="B134" s="211"/>
      <c r="C134" s="211"/>
      <c r="D134" s="211"/>
      <c r="E134" s="211"/>
      <c r="F134" s="211"/>
      <c r="G134" s="211"/>
      <c r="H134" s="211"/>
      <c r="I134" s="211"/>
      <c r="J134" s="31"/>
      <c r="K134" s="31"/>
    </row>
    <row r="135" spans="1:11" x14ac:dyDescent="0.25">
      <c r="A135" s="211"/>
      <c r="B135" s="211"/>
      <c r="C135" s="211"/>
      <c r="D135" s="211"/>
      <c r="E135" s="211"/>
      <c r="F135" s="211"/>
      <c r="G135" s="211"/>
      <c r="H135" s="211"/>
      <c r="I135" s="211"/>
    </row>
    <row r="136" spans="1:11" x14ac:dyDescent="0.25">
      <c r="A136" s="211"/>
      <c r="B136" s="211"/>
      <c r="C136" s="211"/>
      <c r="D136" s="211"/>
      <c r="E136" s="211"/>
      <c r="F136" s="211"/>
      <c r="G136" s="211"/>
      <c r="H136" s="211"/>
      <c r="I136" s="211"/>
    </row>
    <row r="137" spans="1:11" x14ac:dyDescent="0.25">
      <c r="A137" s="211"/>
      <c r="B137" s="211"/>
      <c r="C137" s="211"/>
      <c r="D137" s="211"/>
      <c r="E137" s="211"/>
      <c r="F137" s="211"/>
      <c r="G137" s="211"/>
      <c r="H137" s="211"/>
      <c r="I137" s="211"/>
    </row>
    <row r="138" spans="1:11" x14ac:dyDescent="0.25">
      <c r="A138" s="211"/>
      <c r="B138" s="211"/>
      <c r="C138" s="211"/>
      <c r="D138" s="211"/>
      <c r="E138" s="211"/>
      <c r="F138" s="211"/>
      <c r="G138" s="211"/>
      <c r="H138" s="211"/>
      <c r="I138" s="211"/>
    </row>
    <row r="139" spans="1:11" x14ac:dyDescent="0.25">
      <c r="A139" s="211"/>
      <c r="B139" s="211"/>
      <c r="C139" s="211"/>
      <c r="D139" s="211"/>
      <c r="E139" s="211"/>
      <c r="F139" s="211"/>
      <c r="G139" s="211"/>
      <c r="H139" s="211"/>
      <c r="I139" s="211"/>
    </row>
    <row r="140" spans="1:11" x14ac:dyDescent="0.25">
      <c r="A140" s="211"/>
      <c r="B140" s="211"/>
      <c r="C140" s="211"/>
      <c r="D140" s="211"/>
      <c r="E140" s="211"/>
      <c r="F140" s="211"/>
      <c r="G140" s="211"/>
      <c r="H140" s="211"/>
      <c r="I140" s="211"/>
    </row>
    <row r="141" spans="1:11" x14ac:dyDescent="0.25">
      <c r="A141" s="211"/>
      <c r="B141" s="211"/>
      <c r="C141" s="211"/>
      <c r="D141" s="211"/>
      <c r="E141" s="211"/>
      <c r="F141" s="211"/>
      <c r="G141" s="211"/>
      <c r="H141" s="211"/>
      <c r="I141" s="211"/>
    </row>
    <row r="142" spans="1:11" x14ac:dyDescent="0.25">
      <c r="A142" s="211"/>
      <c r="B142" s="211"/>
      <c r="C142" s="211"/>
      <c r="D142" s="211"/>
      <c r="E142" s="211"/>
      <c r="F142" s="211"/>
      <c r="G142" s="211"/>
      <c r="H142" s="211"/>
      <c r="I142" s="211"/>
    </row>
    <row r="143" spans="1:11" x14ac:dyDescent="0.25">
      <c r="A143" s="211"/>
      <c r="B143" s="211"/>
      <c r="C143" s="211"/>
      <c r="D143" s="211"/>
      <c r="E143" s="211"/>
      <c r="F143" s="211"/>
      <c r="G143" s="211"/>
      <c r="H143" s="211"/>
      <c r="I143" s="211"/>
    </row>
    <row r="144" spans="1:11" x14ac:dyDescent="0.25">
      <c r="A144" s="211"/>
      <c r="B144" s="211"/>
      <c r="C144" s="211"/>
      <c r="D144" s="211"/>
      <c r="E144" s="211"/>
      <c r="F144" s="211"/>
      <c r="G144" s="211"/>
      <c r="H144" s="211"/>
      <c r="I144" s="211"/>
    </row>
  </sheetData>
  <mergeCells count="6">
    <mergeCell ref="A134:I144"/>
    <mergeCell ref="A51:I53"/>
    <mergeCell ref="A55:I56"/>
    <mergeCell ref="A58:I115"/>
    <mergeCell ref="A117:I123"/>
    <mergeCell ref="A125:I132"/>
  </mergeCells>
  <pageMargins left="0.7" right="0.7" top="0.75" bottom="0.75" header="0.3" footer="0.3"/>
  <pageSetup paperSize="9" orientation="portrait" verticalDpi="0" r:id="rId1"/>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0B9DB-88A6-49DA-8F03-49C6E71DC9D2}">
  <sheetPr>
    <tabColor rgb="FFFFFF00"/>
  </sheetPr>
  <dimension ref="C3:AD43"/>
  <sheetViews>
    <sheetView zoomScale="90" zoomScaleNormal="90" workbookViewId="0">
      <selection activeCell="AA34" sqref="AA34"/>
    </sheetView>
  </sheetViews>
  <sheetFormatPr defaultRowHeight="15" x14ac:dyDescent="0.25"/>
  <cols>
    <col min="4" max="4" width="9.5703125" bestFit="1" customWidth="1"/>
    <col min="30" max="30" width="10.42578125" bestFit="1" customWidth="1"/>
  </cols>
  <sheetData>
    <row r="3" spans="3:12" x14ac:dyDescent="0.25">
      <c r="C3" t="s">
        <v>10</v>
      </c>
      <c r="D3" t="s">
        <v>19</v>
      </c>
      <c r="K3" t="s">
        <v>11</v>
      </c>
      <c r="L3" s="1">
        <v>0.4</v>
      </c>
    </row>
    <row r="4" spans="3:12" x14ac:dyDescent="0.25">
      <c r="C4">
        <v>2023</v>
      </c>
      <c r="D4" s="5">
        <v>1559.53</v>
      </c>
      <c r="F4" s="3">
        <f>(D7/D4)^(1/3)-1</f>
        <v>6.1499688572794531E-2</v>
      </c>
      <c r="K4" t="s">
        <v>12</v>
      </c>
      <c r="L4" s="1">
        <v>0.3</v>
      </c>
    </row>
    <row r="5" spans="3:12" x14ac:dyDescent="0.25">
      <c r="C5">
        <v>2024</v>
      </c>
      <c r="D5" s="5">
        <v>1655.44</v>
      </c>
      <c r="K5" t="s">
        <v>13</v>
      </c>
      <c r="L5" s="1">
        <v>0.25</v>
      </c>
    </row>
    <row r="6" spans="3:12" x14ac:dyDescent="0.25">
      <c r="C6" t="s">
        <v>15</v>
      </c>
      <c r="D6" s="5">
        <v>1757.25</v>
      </c>
      <c r="K6" t="s">
        <v>14</v>
      </c>
      <c r="L6" s="1">
        <v>0.05</v>
      </c>
    </row>
    <row r="7" spans="3:12" x14ac:dyDescent="0.25">
      <c r="C7" t="s">
        <v>16</v>
      </c>
      <c r="D7" s="5">
        <v>1865.32</v>
      </c>
    </row>
    <row r="9" spans="3:12" x14ac:dyDescent="0.25">
      <c r="C9" t="s">
        <v>20</v>
      </c>
      <c r="D9" s="5">
        <v>2832.66</v>
      </c>
    </row>
    <row r="37" spans="3:30" x14ac:dyDescent="0.25">
      <c r="C37" t="s">
        <v>10</v>
      </c>
      <c r="D37" t="s">
        <v>17</v>
      </c>
      <c r="J37" t="s">
        <v>10</v>
      </c>
      <c r="K37" t="s">
        <v>18</v>
      </c>
      <c r="Q37" t="s">
        <v>10</v>
      </c>
      <c r="R37" t="s">
        <v>21</v>
      </c>
      <c r="AC37" t="s">
        <v>26</v>
      </c>
      <c r="AD37" s="5">
        <f>8949.9+2590.2</f>
        <v>11540.099999999999</v>
      </c>
    </row>
    <row r="38" spans="3:30" x14ac:dyDescent="0.25">
      <c r="C38" s="2">
        <v>2023</v>
      </c>
      <c r="D38">
        <v>34124</v>
      </c>
      <c r="F38" s="3">
        <f>(D41/D38)^(1/3)-1</f>
        <v>0.27663321180884393</v>
      </c>
      <c r="J38" s="2">
        <v>2023</v>
      </c>
      <c r="K38" s="3">
        <v>0.317</v>
      </c>
      <c r="M38" s="3"/>
      <c r="Q38" s="2">
        <v>2023</v>
      </c>
      <c r="R38">
        <v>6.32</v>
      </c>
      <c r="T38" s="3">
        <f>(R41/R38)^(1/3)-1</f>
        <v>0.66933468593725998</v>
      </c>
      <c r="AC38" t="s">
        <v>27</v>
      </c>
      <c r="AD38">
        <v>4925.7</v>
      </c>
    </row>
    <row r="39" spans="3:30" x14ac:dyDescent="0.25">
      <c r="C39" s="2">
        <v>2024</v>
      </c>
      <c r="D39">
        <v>45043</v>
      </c>
      <c r="J39" s="2">
        <v>2024</v>
      </c>
      <c r="K39" s="3">
        <v>0.376</v>
      </c>
      <c r="Q39" s="2">
        <v>2024</v>
      </c>
      <c r="R39">
        <v>12.99</v>
      </c>
      <c r="AC39" t="s">
        <v>28</v>
      </c>
      <c r="AD39" s="5">
        <f>21850.4+7670.5-8949.9-2590.2-4925.7</f>
        <v>13055.099999999999</v>
      </c>
    </row>
    <row r="40" spans="3:30" x14ac:dyDescent="0.25">
      <c r="C40" s="2" t="s">
        <v>15</v>
      </c>
      <c r="D40">
        <v>60000</v>
      </c>
      <c r="J40" s="2" t="s">
        <v>15</v>
      </c>
      <c r="K40" s="3">
        <v>0.42</v>
      </c>
      <c r="Q40" s="2" t="s">
        <v>15</v>
      </c>
      <c r="R40">
        <v>23.3</v>
      </c>
      <c r="AC40" t="s">
        <v>22</v>
      </c>
      <c r="AD40" s="5">
        <f>5035.8+3716.6</f>
        <v>8752.4</v>
      </c>
    </row>
    <row r="41" spans="3:30" x14ac:dyDescent="0.25">
      <c r="C41" s="2" t="s">
        <v>16</v>
      </c>
      <c r="D41">
        <v>71000</v>
      </c>
      <c r="J41" s="2" t="s">
        <v>16</v>
      </c>
      <c r="K41" s="3">
        <v>0.44500000000000001</v>
      </c>
      <c r="Q41" s="2" t="s">
        <v>16</v>
      </c>
      <c r="R41">
        <v>29.4</v>
      </c>
      <c r="AC41" t="s">
        <v>23</v>
      </c>
      <c r="AD41" s="5">
        <f>2457.6+1935.3</f>
        <v>4392.8999999999996</v>
      </c>
    </row>
    <row r="42" spans="3:30" x14ac:dyDescent="0.25">
      <c r="C42" s="2"/>
      <c r="J42" s="2"/>
      <c r="K42" s="3"/>
      <c r="Q42" s="2"/>
      <c r="AC42" t="s">
        <v>24</v>
      </c>
      <c r="AD42" s="5">
        <f>779.9+693.5</f>
        <v>1473.4</v>
      </c>
    </row>
    <row r="43" spans="3:30" x14ac:dyDescent="0.25">
      <c r="AC43" t="s">
        <v>25</v>
      </c>
      <c r="AD43" s="5">
        <f>251.4+651.6</f>
        <v>903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vt:i4>
      </vt:variant>
    </vt:vector>
  </HeadingPairs>
  <TitlesOfParts>
    <vt:vector size="27" baseType="lpstr">
      <vt:lpstr>Valuation Summary</vt:lpstr>
      <vt:lpstr>Multiples Valuation</vt:lpstr>
      <vt:lpstr>CAPM and WACC</vt:lpstr>
      <vt:lpstr>Free Cash Flow Valuation</vt:lpstr>
      <vt:lpstr>JNJ</vt:lpstr>
      <vt:lpstr>MRK</vt:lpstr>
      <vt:lpstr>PFE</vt:lpstr>
      <vt:lpstr>BMY</vt:lpstr>
      <vt:lpstr>VTRS</vt:lpstr>
      <vt:lpstr>OGN</vt:lpstr>
      <vt:lpstr>PRGO</vt:lpstr>
      <vt:lpstr>LLY</vt:lpstr>
      <vt:lpstr>Tax Rates</vt:lpstr>
      <vt:lpstr>Decimal Format</vt:lpstr>
      <vt:lpstr>Excess Returns and Beta</vt:lpstr>
      <vt:lpstr>Comps Selection</vt:lpstr>
      <vt:lpstr>Comps Valuation</vt:lpstr>
      <vt:lpstr>Comps Cap Structure</vt:lpstr>
      <vt:lpstr>Screening</vt:lpstr>
      <vt:lpstr>holdings</vt:lpstr>
      <vt:lpstr>Industry</vt:lpstr>
      <vt:lpstr>'Comps Valuation'!Print_Area</vt:lpstr>
      <vt:lpstr>'Free Cash Flow Valuation'!Print_Area</vt:lpstr>
      <vt:lpstr>'Multiples Valuation'!Print_Area</vt:lpstr>
      <vt:lpstr>'Valuation Summary'!Print_Area</vt:lpstr>
      <vt:lpstr>Screening!Print_Titles</vt:lpstr>
      <vt:lpstr>'Tax Rates'!Print_Titles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Ramabadran, Anand</cp:lastModifiedBy>
  <cp:lastPrinted>2025-04-19T16:13:50Z</cp:lastPrinted>
  <dcterms:created xsi:type="dcterms:W3CDTF">2025-04-07T11:22:25Z</dcterms:created>
  <dcterms:modified xsi:type="dcterms:W3CDTF">2025-04-22T00:34:09Z</dcterms:modified>
</cp:coreProperties>
</file>